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sa\Documents\frm_project\excel_models\"/>
    </mc:Choice>
  </mc:AlternateContent>
  <xr:revisionPtr revIDLastSave="0" documentId="13_ncr:1_{5CC10742-21FE-4376-AF25-DDA5961332D3}" xr6:coauthVersionLast="47" xr6:coauthVersionMax="47" xr10:uidLastSave="{00000000-0000-0000-0000-000000000000}"/>
  <bookViews>
    <workbookView xWindow="28680" yWindow="0" windowWidth="29040" windowHeight="15720" xr2:uid="{CEF10077-ECB1-4F38-8726-AFD98E2663BD}"/>
  </bookViews>
  <sheets>
    <sheet name="GK Pricer" sheetId="6" r:id="rId1"/>
    <sheet name="GK Bulk" sheetId="5" r:id="rId2"/>
    <sheet name="MonteCarlo" sheetId="4" r:id="rId3"/>
    <sheet name="Data Validation" sheetId="3" state="hidden" r:id="rId4"/>
  </sheets>
  <definedNames>
    <definedName name="CP">'GK Pricer'!$G$4</definedName>
    <definedName name="d1_">'GK Pricer'!$G$21</definedName>
    <definedName name="d2_">'GK Pricer'!$G$22</definedName>
    <definedName name="Domestic_Ccy_Notional">'GK Pricer'!$G$14</definedName>
    <definedName name="F">'GK Pricer'!$G$11</definedName>
    <definedName name="Foreign_Ccy_Notional">'GK Pricer'!$G$13</definedName>
    <definedName name="H">'GK Pricer'!$G$50</definedName>
    <definedName name="K">'GK Pricer'!$G$6</definedName>
    <definedName name="Methodology">'GK Pricer'!$C$17</definedName>
    <definedName name="Monte_Carlo_Runtime">MonteCarlo!$P$5</definedName>
    <definedName name="Notional_amount">'GK Pricer'!$C$14</definedName>
    <definedName name="Notional_Ccy">'GK Pricer'!$C$15</definedName>
    <definedName name="Number_Of_Refreshes">MonteCarlo!$P$3</definedName>
    <definedName name="q_">'GK Pricer'!$G$16</definedName>
    <definedName name="r_">'GK Pricer'!$G$15</definedName>
    <definedName name="r_d">'GK Pricer'!$G$7</definedName>
    <definedName name="r_d_basis_adj">'GK Pricer'!$G$12</definedName>
    <definedName name="r_f">'GK Pricer'!$G$8</definedName>
    <definedName name="ResultCurrency">'GK Pricer'!$L$3</definedName>
    <definedName name="ResultDomesticFXSpotRate">'GK Pricer'!$L$4</definedName>
    <definedName name="ResultNotionalFXSpotRate">'GK Pricer'!$L$5</definedName>
    <definedName name="S0">'GK Pricer'!$G$5</definedName>
    <definedName name="T">'GK Pricer'!$G$10</definedName>
    <definedName name="μ">'GK Pricer'!$G$17</definedName>
    <definedName name="σ">'GK Pricer'!$G$9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6" l="1"/>
  <c r="G4" i="6" a="1"/>
  <c r="G4" i="6" s="1"/>
  <c r="L4" i="6" a="1"/>
  <c r="L4" i="6" s="1"/>
  <c r="G5" i="6"/>
  <c r="L5" i="6"/>
  <c r="G6" i="6"/>
  <c r="G7" i="6"/>
  <c r="G15" i="6" s="1" a="1"/>
  <c r="G15" i="6" s="1"/>
  <c r="G8" i="6"/>
  <c r="G12" i="6" s="1"/>
  <c r="G9" i="6"/>
  <c r="M9" i="6"/>
  <c r="G10" i="6"/>
  <c r="M10" i="6"/>
  <c r="G11" i="6"/>
  <c r="M11" i="6"/>
  <c r="M12" i="6"/>
  <c r="G13" i="6"/>
  <c r="M13" i="6"/>
  <c r="G14" i="6"/>
  <c r="M14" i="6"/>
  <c r="M15" i="6"/>
  <c r="G16" i="6"/>
  <c r="M16" i="6"/>
  <c r="M17" i="6"/>
  <c r="M21" i="6"/>
  <c r="M22" i="6"/>
  <c r="G38" i="6" a="1"/>
  <c r="G38" i="6" s="1"/>
  <c r="H39" i="6"/>
  <c r="G50" i="6"/>
  <c r="AL2" i="5"/>
  <c r="Q5" i="5" a="1"/>
  <c r="Q5" i="5"/>
  <c r="R5" i="5"/>
  <c r="S5" i="5"/>
  <c r="T5" i="5"/>
  <c r="U5" i="5" s="1"/>
  <c r="Y5" i="5" s="1" a="1"/>
  <c r="Y5" i="5" s="1"/>
  <c r="V5" i="5" a="1"/>
  <c r="V5" i="5" s="1"/>
  <c r="W5" i="5" a="1"/>
  <c r="W5" i="5"/>
  <c r="X5" i="5"/>
  <c r="Z5" i="5"/>
  <c r="Q6" i="5" a="1"/>
  <c r="Q6" i="5" s="1"/>
  <c r="R6" i="5"/>
  <c r="S6" i="5"/>
  <c r="T6" i="5"/>
  <c r="U6" i="5" s="1"/>
  <c r="Y6" i="5" s="1" a="1"/>
  <c r="Y6" i="5" s="1"/>
  <c r="V6" i="5" a="1"/>
  <c r="V6" i="5"/>
  <c r="W6" i="5" a="1"/>
  <c r="W6" i="5" s="1"/>
  <c r="X6" i="5"/>
  <c r="Z6" i="5"/>
  <c r="M3" i="4"/>
  <c r="L4" i="4"/>
  <c r="P4" i="4"/>
  <c r="M5" i="4"/>
  <c r="K6" i="4"/>
  <c r="M6" i="4"/>
  <c r="P6" i="4"/>
  <c r="K8" i="4"/>
  <c r="M8" i="4"/>
  <c r="K9" i="4"/>
  <c r="M9" i="4"/>
  <c r="K10" i="4"/>
  <c r="M10" i="4"/>
  <c r="I15" i="4"/>
  <c r="J15" i="4"/>
  <c r="J3" i="4" s="1"/>
  <c r="L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B4016" i="4"/>
  <c r="B4017" i="4"/>
  <c r="B4018" i="4" s="1"/>
  <c r="B4019" i="4" s="1"/>
  <c r="B4020" i="4" s="1"/>
  <c r="B4021" i="4" s="1"/>
  <c r="B4022" i="4" s="1"/>
  <c r="B4023" i="4" s="1"/>
  <c r="B4024" i="4" s="1"/>
  <c r="B4025" i="4" s="1"/>
  <c r="B4026" i="4" s="1"/>
  <c r="B4027" i="4" s="1"/>
  <c r="B4028" i="4" s="1"/>
  <c r="B4029" i="4"/>
  <c r="B4030" i="4" s="1"/>
  <c r="B4031" i="4" s="1"/>
  <c r="B4032" i="4" s="1"/>
  <c r="B4033" i="4" s="1"/>
  <c r="B4034" i="4" s="1"/>
  <c r="B4035" i="4" s="1"/>
  <c r="B4036" i="4" s="1"/>
  <c r="B4037" i="4" s="1"/>
  <c r="B4038" i="4" s="1"/>
  <c r="B4039" i="4" s="1"/>
  <c r="B4040" i="4" s="1"/>
  <c r="B4041" i="4" s="1"/>
  <c r="B4042" i="4" s="1"/>
  <c r="B4043" i="4" s="1"/>
  <c r="B4044" i="4" s="1"/>
  <c r="B4045" i="4" s="1"/>
  <c r="B4046" i="4" s="1"/>
  <c r="B4047" i="4" s="1"/>
  <c r="B4048" i="4" s="1"/>
  <c r="B4049" i="4" s="1"/>
  <c r="B4050" i="4" s="1"/>
  <c r="B4051" i="4" s="1"/>
  <c r="B4052" i="4" s="1"/>
  <c r="B4053" i="4" s="1"/>
  <c r="B4054" i="4" s="1"/>
  <c r="B4055" i="4" s="1"/>
  <c r="B4056" i="4" s="1"/>
  <c r="B4057" i="4" s="1"/>
  <c r="B4058" i="4" s="1"/>
  <c r="B4059" i="4" s="1"/>
  <c r="B4060" i="4" s="1"/>
  <c r="B4061" i="4" s="1"/>
  <c r="B4062" i="4" s="1"/>
  <c r="B4063" i="4" s="1"/>
  <c r="B4064" i="4" s="1"/>
  <c r="B4065" i="4" s="1"/>
  <c r="B4066" i="4" s="1"/>
  <c r="B4067" i="4" s="1"/>
  <c r="B4068" i="4" s="1"/>
  <c r="B4069" i="4" s="1"/>
  <c r="B4070" i="4" s="1"/>
  <c r="B4071" i="4" s="1"/>
  <c r="B4072" i="4" s="1"/>
  <c r="B4073" i="4" s="1"/>
  <c r="B4074" i="4" s="1"/>
  <c r="B4075" i="4" s="1"/>
  <c r="B4076" i="4" s="1"/>
  <c r="B4077" i="4" s="1"/>
  <c r="B4078" i="4" s="1"/>
  <c r="B4079" i="4" s="1"/>
  <c r="B4080" i="4" s="1"/>
  <c r="B4081" i="4" s="1"/>
  <c r="B4082" i="4" s="1"/>
  <c r="B4083" i="4" s="1"/>
  <c r="B4084" i="4" s="1"/>
  <c r="B4085" i="4" s="1"/>
  <c r="B4086" i="4" s="1"/>
  <c r="B4087" i="4" s="1"/>
  <c r="B4088" i="4" s="1"/>
  <c r="B4089" i="4" s="1"/>
  <c r="B4090" i="4" s="1"/>
  <c r="B4091" i="4" s="1"/>
  <c r="B4092" i="4" s="1"/>
  <c r="B4093" i="4" s="1"/>
  <c r="B4094" i="4" s="1"/>
  <c r="B4095" i="4" s="1"/>
  <c r="B4096" i="4" s="1"/>
  <c r="B4097" i="4" s="1"/>
  <c r="B4098" i="4" s="1"/>
  <c r="B4099" i="4" s="1"/>
  <c r="B4100" i="4" s="1"/>
  <c r="B4101" i="4" s="1"/>
  <c r="B4102" i="4" s="1"/>
  <c r="B4103" i="4" s="1"/>
  <c r="B4104" i="4" s="1"/>
  <c r="B4105" i="4" s="1"/>
  <c r="B4106" i="4" s="1"/>
  <c r="B4107" i="4" s="1"/>
  <c r="B4108" i="4" s="1"/>
  <c r="B4109" i="4" s="1"/>
  <c r="B4110" i="4" s="1"/>
  <c r="B4111" i="4" s="1"/>
  <c r="B4112" i="4" s="1"/>
  <c r="B4113" i="4" s="1"/>
  <c r="B4114" i="4" s="1"/>
  <c r="B4115" i="4" s="1"/>
  <c r="B4116" i="4" s="1"/>
  <c r="B4117" i="4" s="1"/>
  <c r="B4118" i="4" s="1"/>
  <c r="B4119" i="4" s="1"/>
  <c r="B4120" i="4" s="1"/>
  <c r="B4121" i="4" s="1"/>
  <c r="B4122" i="4" s="1"/>
  <c r="B4123" i="4" s="1"/>
  <c r="B4124" i="4" s="1"/>
  <c r="B4125" i="4" s="1"/>
  <c r="B4126" i="4" s="1"/>
  <c r="B4127" i="4" s="1"/>
  <c r="B4128" i="4" s="1"/>
  <c r="B4129" i="4" s="1"/>
  <c r="B4130" i="4" s="1"/>
  <c r="B4131" i="4" s="1"/>
  <c r="B4132" i="4" s="1"/>
  <c r="B4133" i="4" s="1"/>
  <c r="B4134" i="4" s="1"/>
  <c r="B4135" i="4" s="1"/>
  <c r="B4136" i="4" s="1"/>
  <c r="B4137" i="4" s="1"/>
  <c r="B4138" i="4" s="1"/>
  <c r="B4139" i="4" s="1"/>
  <c r="B4140" i="4" s="1"/>
  <c r="B4141" i="4" s="1"/>
  <c r="B4142" i="4" s="1"/>
  <c r="B4143" i="4" s="1"/>
  <c r="B4144" i="4" s="1"/>
  <c r="B4145" i="4" s="1"/>
  <c r="B4146" i="4" s="1"/>
  <c r="B4147" i="4" s="1"/>
  <c r="B4148" i="4" s="1"/>
  <c r="B4149" i="4" s="1"/>
  <c r="B4150" i="4" s="1"/>
  <c r="B4151" i="4" s="1"/>
  <c r="B4152" i="4" s="1"/>
  <c r="B4153" i="4" s="1"/>
  <c r="B4154" i="4" s="1"/>
  <c r="B4155" i="4" s="1"/>
  <c r="B4156" i="4" s="1"/>
  <c r="B4157" i="4" s="1"/>
  <c r="B4158" i="4" s="1"/>
  <c r="B4159" i="4" s="1"/>
  <c r="B4160" i="4" s="1"/>
  <c r="B4161" i="4" s="1"/>
  <c r="B4162" i="4" s="1"/>
  <c r="B4163" i="4" s="1"/>
  <c r="B4164" i="4" s="1"/>
  <c r="B4165" i="4" s="1"/>
  <c r="B4166" i="4" s="1"/>
  <c r="B4167" i="4" s="1"/>
  <c r="B4168" i="4" s="1"/>
  <c r="B4169" i="4" s="1"/>
  <c r="B4170" i="4" s="1"/>
  <c r="B4171" i="4" s="1"/>
  <c r="B4172" i="4" s="1"/>
  <c r="B4173" i="4" s="1"/>
  <c r="B4174" i="4" s="1"/>
  <c r="B4175" i="4" s="1"/>
  <c r="B4176" i="4" s="1"/>
  <c r="B4177" i="4" s="1"/>
  <c r="B4178" i="4" s="1"/>
  <c r="B4179" i="4" s="1"/>
  <c r="B4180" i="4" s="1"/>
  <c r="B4181" i="4" s="1"/>
  <c r="B4182" i="4" s="1"/>
  <c r="B4183" i="4" s="1"/>
  <c r="B4184" i="4" s="1"/>
  <c r="B4185" i="4" s="1"/>
  <c r="B4186" i="4" s="1"/>
  <c r="B4187" i="4" s="1"/>
  <c r="B4188" i="4" s="1"/>
  <c r="B4189" i="4" s="1"/>
  <c r="B4190" i="4" s="1"/>
  <c r="B4191" i="4" s="1"/>
  <c r="B4192" i="4" s="1"/>
  <c r="B4193" i="4" s="1"/>
  <c r="B4194" i="4" s="1"/>
  <c r="B4195" i="4" s="1"/>
  <c r="B4196" i="4" s="1"/>
  <c r="B4197" i="4" s="1"/>
  <c r="B4198" i="4" s="1"/>
  <c r="B4199" i="4" s="1"/>
  <c r="B4200" i="4" s="1"/>
  <c r="B4201" i="4" s="1"/>
  <c r="B4202" i="4" s="1"/>
  <c r="B4203" i="4" s="1"/>
  <c r="B4204" i="4" s="1"/>
  <c r="B4205" i="4" s="1"/>
  <c r="B4206" i="4" s="1"/>
  <c r="B4207" i="4" s="1"/>
  <c r="B4208" i="4" s="1"/>
  <c r="B4209" i="4" s="1"/>
  <c r="B4210" i="4" s="1"/>
  <c r="B4211" i="4" s="1"/>
  <c r="B4212" i="4" s="1"/>
  <c r="B4213" i="4" s="1"/>
  <c r="B4214" i="4" s="1"/>
  <c r="B4215" i="4" s="1"/>
  <c r="B4216" i="4" s="1"/>
  <c r="B4217" i="4" s="1"/>
  <c r="B4218" i="4" s="1"/>
  <c r="B4219" i="4" s="1"/>
  <c r="B4220" i="4" s="1"/>
  <c r="B4221" i="4" s="1"/>
  <c r="B4222" i="4" s="1"/>
  <c r="B4223" i="4" s="1"/>
  <c r="B4224" i="4" s="1"/>
  <c r="B4225" i="4" s="1"/>
  <c r="B4226" i="4" s="1"/>
  <c r="B4227" i="4" s="1"/>
  <c r="B4228" i="4" s="1"/>
  <c r="B4229" i="4" s="1"/>
  <c r="B4230" i="4" s="1"/>
  <c r="B4231" i="4" s="1"/>
  <c r="B4232" i="4" s="1"/>
  <c r="B4233" i="4" s="1"/>
  <c r="B4234" i="4" s="1"/>
  <c r="B4235" i="4" s="1"/>
  <c r="B4236" i="4" s="1"/>
  <c r="B4237" i="4" s="1"/>
  <c r="B4238" i="4" s="1"/>
  <c r="B4239" i="4" s="1"/>
  <c r="B4240" i="4" s="1"/>
  <c r="B4241" i="4" s="1"/>
  <c r="B4242" i="4" s="1"/>
  <c r="B4243" i="4" s="1"/>
  <c r="B4244" i="4" s="1"/>
  <c r="B4245" i="4" s="1"/>
  <c r="B4246" i="4" s="1"/>
  <c r="B4247" i="4" s="1"/>
  <c r="B4248" i="4" s="1"/>
  <c r="B4249" i="4" s="1"/>
  <c r="B4250" i="4" s="1"/>
  <c r="B4251" i="4" s="1"/>
  <c r="B4252" i="4" s="1"/>
  <c r="B4253" i="4" s="1"/>
  <c r="B4254" i="4" s="1"/>
  <c r="B4255" i="4" s="1"/>
  <c r="B4256" i="4" s="1"/>
  <c r="B4257" i="4" s="1"/>
  <c r="B4258" i="4" s="1"/>
  <c r="B4259" i="4" s="1"/>
  <c r="B4260" i="4" s="1"/>
  <c r="B4261" i="4" s="1"/>
  <c r="B4262" i="4" s="1"/>
  <c r="B4263" i="4" s="1"/>
  <c r="B4264" i="4" s="1"/>
  <c r="B4265" i="4" s="1"/>
  <c r="B4266" i="4" s="1"/>
  <c r="B4267" i="4" s="1"/>
  <c r="B4268" i="4" s="1"/>
  <c r="B4269" i="4" s="1"/>
  <c r="B4270" i="4" s="1"/>
  <c r="B4271" i="4" s="1"/>
  <c r="B4272" i="4" s="1"/>
  <c r="B4273" i="4" s="1"/>
  <c r="B4274" i="4" s="1"/>
  <c r="B4275" i="4" s="1"/>
  <c r="B4276" i="4" s="1"/>
  <c r="B4277" i="4" s="1"/>
  <c r="B4278" i="4" s="1"/>
  <c r="B4279" i="4" s="1"/>
  <c r="B4280" i="4" s="1"/>
  <c r="B4281" i="4" s="1"/>
  <c r="B4282" i="4" s="1"/>
  <c r="B4283" i="4" s="1"/>
  <c r="B4284" i="4" s="1"/>
  <c r="B4285" i="4" s="1"/>
  <c r="B4286" i="4" s="1"/>
  <c r="B4287" i="4" s="1"/>
  <c r="B4288" i="4" s="1"/>
  <c r="B4289" i="4" s="1"/>
  <c r="B4290" i="4" s="1"/>
  <c r="B4291" i="4" s="1"/>
  <c r="B4292" i="4" s="1"/>
  <c r="B4293" i="4" s="1"/>
  <c r="B4294" i="4" s="1"/>
  <c r="B4295" i="4" s="1"/>
  <c r="B4296" i="4" s="1"/>
  <c r="B4297" i="4" s="1"/>
  <c r="B4298" i="4" s="1"/>
  <c r="B4299" i="4" s="1"/>
  <c r="B4300" i="4" s="1"/>
  <c r="B4301" i="4" s="1"/>
  <c r="B4302" i="4" s="1"/>
  <c r="B4303" i="4" s="1"/>
  <c r="B4304" i="4" s="1"/>
  <c r="B4305" i="4" s="1"/>
  <c r="B4306" i="4" s="1"/>
  <c r="B4307" i="4" s="1"/>
  <c r="B4308" i="4" s="1"/>
  <c r="B4309" i="4" s="1"/>
  <c r="B4310" i="4" s="1"/>
  <c r="B4311" i="4" s="1"/>
  <c r="B4312" i="4" s="1"/>
  <c r="B4313" i="4" s="1"/>
  <c r="B4314" i="4" s="1"/>
  <c r="B4315" i="4" s="1"/>
  <c r="B4316" i="4" s="1"/>
  <c r="B4317" i="4" s="1"/>
  <c r="B4318" i="4" s="1"/>
  <c r="B4319" i="4" s="1"/>
  <c r="B4320" i="4" s="1"/>
  <c r="B4321" i="4" s="1"/>
  <c r="B4322" i="4" s="1"/>
  <c r="B4323" i="4" s="1"/>
  <c r="B4324" i="4" s="1"/>
  <c r="B4325" i="4" s="1"/>
  <c r="B4326" i="4" s="1"/>
  <c r="B4327" i="4" s="1"/>
  <c r="B4328" i="4" s="1"/>
  <c r="B4329" i="4" s="1"/>
  <c r="B4330" i="4" s="1"/>
  <c r="B4331" i="4" s="1"/>
  <c r="B4332" i="4" s="1"/>
  <c r="B4333" i="4" s="1"/>
  <c r="B4334" i="4" s="1"/>
  <c r="B4335" i="4" s="1"/>
  <c r="B4336" i="4" s="1"/>
  <c r="B4337" i="4" s="1"/>
  <c r="B4338" i="4" s="1"/>
  <c r="B4339" i="4" s="1"/>
  <c r="B4340" i="4" s="1"/>
  <c r="B4341" i="4" s="1"/>
  <c r="B4342" i="4" s="1"/>
  <c r="B4343" i="4" s="1"/>
  <c r="B4344" i="4" s="1"/>
  <c r="B4345" i="4" s="1"/>
  <c r="B4346" i="4" s="1"/>
  <c r="B4347" i="4" s="1"/>
  <c r="B4348" i="4" s="1"/>
  <c r="B4349" i="4" s="1"/>
  <c r="B4350" i="4" s="1"/>
  <c r="B4351" i="4" s="1"/>
  <c r="B4352" i="4" s="1"/>
  <c r="B4353" i="4" s="1"/>
  <c r="B4354" i="4" s="1"/>
  <c r="B4355" i="4" s="1"/>
  <c r="B4356" i="4" s="1"/>
  <c r="B4357" i="4" s="1"/>
  <c r="B4358" i="4" s="1"/>
  <c r="B4359" i="4" s="1"/>
  <c r="B4360" i="4" s="1"/>
  <c r="B4361" i="4" s="1"/>
  <c r="B4362" i="4" s="1"/>
  <c r="B4363" i="4" s="1"/>
  <c r="B4364" i="4" s="1"/>
  <c r="B4365" i="4" s="1"/>
  <c r="B4366" i="4" s="1"/>
  <c r="B4367" i="4" s="1"/>
  <c r="B4368" i="4" s="1"/>
  <c r="B4369" i="4" s="1"/>
  <c r="B4370" i="4" s="1"/>
  <c r="B4371" i="4" s="1"/>
  <c r="B4372" i="4" s="1"/>
  <c r="B4373" i="4" s="1"/>
  <c r="B4374" i="4" s="1"/>
  <c r="B4375" i="4" s="1"/>
  <c r="B4376" i="4" s="1"/>
  <c r="B4377" i="4" s="1"/>
  <c r="B4378" i="4" s="1"/>
  <c r="B4379" i="4" s="1"/>
  <c r="B4380" i="4" s="1"/>
  <c r="B4381" i="4" s="1"/>
  <c r="B4382" i="4" s="1"/>
  <c r="B4383" i="4" s="1"/>
  <c r="B4384" i="4" s="1"/>
  <c r="B4385" i="4" s="1"/>
  <c r="B4386" i="4" s="1"/>
  <c r="B4387" i="4" s="1"/>
  <c r="B4388" i="4" s="1"/>
  <c r="B4389" i="4" s="1"/>
  <c r="B4390" i="4" s="1"/>
  <c r="B4391" i="4" s="1"/>
  <c r="B4392" i="4" s="1"/>
  <c r="B4393" i="4" s="1"/>
  <c r="B4394" i="4" s="1"/>
  <c r="B4395" i="4" s="1"/>
  <c r="B4396" i="4" s="1"/>
  <c r="B4397" i="4" s="1"/>
  <c r="B4398" i="4" s="1"/>
  <c r="B4399" i="4" s="1"/>
  <c r="B4400" i="4" s="1"/>
  <c r="B4401" i="4" s="1"/>
  <c r="B4402" i="4" s="1"/>
  <c r="B4403" i="4" s="1"/>
  <c r="B4404" i="4" s="1"/>
  <c r="B4405" i="4" s="1"/>
  <c r="B4406" i="4" s="1"/>
  <c r="B4407" i="4" s="1"/>
  <c r="B4408" i="4" s="1"/>
  <c r="B4409" i="4" s="1"/>
  <c r="B4410" i="4" s="1"/>
  <c r="B4411" i="4" s="1"/>
  <c r="B4412" i="4" s="1"/>
  <c r="B4413" i="4" s="1"/>
  <c r="B4414" i="4" s="1"/>
  <c r="B4415" i="4" s="1"/>
  <c r="B4416" i="4" s="1"/>
  <c r="B4417" i="4" s="1"/>
  <c r="B4418" i="4" s="1"/>
  <c r="B4419" i="4" s="1"/>
  <c r="B4420" i="4" s="1"/>
  <c r="B4421" i="4" s="1"/>
  <c r="B4422" i="4" s="1"/>
  <c r="B4423" i="4" s="1"/>
  <c r="B4424" i="4" s="1"/>
  <c r="B4425" i="4" s="1"/>
  <c r="B4426" i="4" s="1"/>
  <c r="B4427" i="4" s="1"/>
  <c r="B4428" i="4" s="1"/>
  <c r="B4429" i="4" s="1"/>
  <c r="B4430" i="4" s="1"/>
  <c r="B4431" i="4" s="1"/>
  <c r="B4432" i="4" s="1"/>
  <c r="B4433" i="4" s="1"/>
  <c r="B4434" i="4" s="1"/>
  <c r="B4435" i="4" s="1"/>
  <c r="B4436" i="4" s="1"/>
  <c r="B4437" i="4" s="1"/>
  <c r="B4438" i="4" s="1"/>
  <c r="B4439" i="4" s="1"/>
  <c r="B4440" i="4" s="1"/>
  <c r="B4441" i="4" s="1"/>
  <c r="B4442" i="4" s="1"/>
  <c r="B4443" i="4" s="1"/>
  <c r="B4444" i="4" s="1"/>
  <c r="B4445" i="4" s="1"/>
  <c r="B4446" i="4" s="1"/>
  <c r="B4447" i="4" s="1"/>
  <c r="B4448" i="4" s="1"/>
  <c r="B4449" i="4" s="1"/>
  <c r="B4450" i="4" s="1"/>
  <c r="B4451" i="4" s="1"/>
  <c r="B4452" i="4" s="1"/>
  <c r="B4453" i="4" s="1"/>
  <c r="B4454" i="4" s="1"/>
  <c r="B4455" i="4" s="1"/>
  <c r="B4456" i="4" s="1"/>
  <c r="B4457" i="4" s="1"/>
  <c r="B4458" i="4" s="1"/>
  <c r="B4459" i="4" s="1"/>
  <c r="B4460" i="4" s="1"/>
  <c r="B4461" i="4" s="1"/>
  <c r="B4462" i="4" s="1"/>
  <c r="B4463" i="4" s="1"/>
  <c r="B4464" i="4" s="1"/>
  <c r="B4465" i="4" s="1"/>
  <c r="B4466" i="4" s="1"/>
  <c r="B4467" i="4" s="1"/>
  <c r="B4468" i="4" s="1"/>
  <c r="B4469" i="4" s="1"/>
  <c r="B4470" i="4" s="1"/>
  <c r="B4471" i="4" s="1"/>
  <c r="B4472" i="4" s="1"/>
  <c r="B4473" i="4" s="1"/>
  <c r="B4474" i="4" s="1"/>
  <c r="B4475" i="4" s="1"/>
  <c r="B4476" i="4" s="1"/>
  <c r="B4477" i="4" s="1"/>
  <c r="B4478" i="4" s="1"/>
  <c r="B4479" i="4" s="1"/>
  <c r="B4480" i="4" s="1"/>
  <c r="B4481" i="4" s="1"/>
  <c r="B4482" i="4" s="1"/>
  <c r="B4483" i="4" s="1"/>
  <c r="B4484" i="4" s="1"/>
  <c r="B4485" i="4" s="1"/>
  <c r="B4486" i="4" s="1"/>
  <c r="B4487" i="4" s="1"/>
  <c r="B4488" i="4" s="1"/>
  <c r="B4489" i="4" s="1"/>
  <c r="B4490" i="4" s="1"/>
  <c r="B4491" i="4" s="1"/>
  <c r="B4492" i="4" s="1"/>
  <c r="B4493" i="4" s="1"/>
  <c r="B4494" i="4" s="1"/>
  <c r="B4495" i="4" s="1"/>
  <c r="B4496" i="4" s="1"/>
  <c r="B4497" i="4" s="1"/>
  <c r="B4498" i="4" s="1"/>
  <c r="B4499" i="4" s="1"/>
  <c r="B4500" i="4" s="1"/>
  <c r="B4501" i="4" s="1"/>
  <c r="B4502" i="4" s="1"/>
  <c r="B4503" i="4" s="1"/>
  <c r="B4504" i="4" s="1"/>
  <c r="B4505" i="4" s="1"/>
  <c r="B4506" i="4" s="1"/>
  <c r="B4507" i="4" s="1"/>
  <c r="B4508" i="4" s="1"/>
  <c r="B4509" i="4" s="1"/>
  <c r="B4510" i="4" s="1"/>
  <c r="B4511" i="4" s="1"/>
  <c r="B4512" i="4" s="1"/>
  <c r="B4513" i="4" s="1"/>
  <c r="B4514" i="4" s="1"/>
  <c r="B4515" i="4" s="1"/>
  <c r="B4516" i="4" s="1"/>
  <c r="B4517" i="4" s="1"/>
  <c r="B4518" i="4" s="1"/>
  <c r="B4519" i="4" s="1"/>
  <c r="B4520" i="4" s="1"/>
  <c r="B4521" i="4" s="1"/>
  <c r="B4522" i="4" s="1"/>
  <c r="B4523" i="4" s="1"/>
  <c r="B4524" i="4" s="1"/>
  <c r="B4525" i="4" s="1"/>
  <c r="B4526" i="4" s="1"/>
  <c r="B4527" i="4" s="1"/>
  <c r="B4528" i="4" s="1"/>
  <c r="B4529" i="4" s="1"/>
  <c r="B4530" i="4" s="1"/>
  <c r="B4531" i="4" s="1"/>
  <c r="B4532" i="4" s="1"/>
  <c r="B4533" i="4" s="1"/>
  <c r="B4534" i="4" s="1"/>
  <c r="B4535" i="4" s="1"/>
  <c r="B4536" i="4" s="1"/>
  <c r="B4537" i="4" s="1"/>
  <c r="B4538" i="4" s="1"/>
  <c r="B4539" i="4" s="1"/>
  <c r="B4540" i="4" s="1"/>
  <c r="B4541" i="4" s="1"/>
  <c r="B4542" i="4" s="1"/>
  <c r="B4543" i="4" s="1"/>
  <c r="B4544" i="4" s="1"/>
  <c r="B4545" i="4" s="1"/>
  <c r="B4546" i="4" s="1"/>
  <c r="B4547" i="4" s="1"/>
  <c r="B4548" i="4" s="1"/>
  <c r="B4549" i="4" s="1"/>
  <c r="B4550" i="4" s="1"/>
  <c r="B4551" i="4" s="1"/>
  <c r="B4552" i="4" s="1"/>
  <c r="B4553" i="4" s="1"/>
  <c r="B4554" i="4" s="1"/>
  <c r="B4555" i="4" s="1"/>
  <c r="B4556" i="4" s="1"/>
  <c r="B4557" i="4" s="1"/>
  <c r="B4558" i="4" s="1"/>
  <c r="B4559" i="4" s="1"/>
  <c r="B4560" i="4" s="1"/>
  <c r="B4561" i="4" s="1"/>
  <c r="B4562" i="4" s="1"/>
  <c r="B4563" i="4" s="1"/>
  <c r="B4564" i="4" s="1"/>
  <c r="B4565" i="4" s="1"/>
  <c r="B4566" i="4" s="1"/>
  <c r="B4567" i="4" s="1"/>
  <c r="B4568" i="4" s="1"/>
  <c r="B4569" i="4" s="1"/>
  <c r="B4570" i="4" s="1"/>
  <c r="B4571" i="4" s="1"/>
  <c r="B4572" i="4" s="1"/>
  <c r="B4573" i="4" s="1"/>
  <c r="B4574" i="4" s="1"/>
  <c r="B4575" i="4" s="1"/>
  <c r="B4576" i="4" s="1"/>
  <c r="B4577" i="4" s="1"/>
  <c r="B4578" i="4" s="1"/>
  <c r="B4579" i="4" s="1"/>
  <c r="B4580" i="4" s="1"/>
  <c r="B4581" i="4" s="1"/>
  <c r="B4582" i="4" s="1"/>
  <c r="B4583" i="4" s="1"/>
  <c r="B4584" i="4" s="1"/>
  <c r="B4585" i="4" s="1"/>
  <c r="B4586" i="4" s="1"/>
  <c r="B4587" i="4" s="1"/>
  <c r="B4588" i="4" s="1"/>
  <c r="B4589" i="4" s="1"/>
  <c r="B4590" i="4" s="1"/>
  <c r="B4591" i="4" s="1"/>
  <c r="B4592" i="4" s="1"/>
  <c r="B4593" i="4" s="1"/>
  <c r="B4594" i="4" s="1"/>
  <c r="B4595" i="4" s="1"/>
  <c r="B4596" i="4" s="1"/>
  <c r="B4597" i="4" s="1"/>
  <c r="B4598" i="4" s="1"/>
  <c r="B4599" i="4" s="1"/>
  <c r="B4600" i="4" s="1"/>
  <c r="B4601" i="4" s="1"/>
  <c r="B4602" i="4" s="1"/>
  <c r="B4603" i="4" s="1"/>
  <c r="B4604" i="4" s="1"/>
  <c r="B4605" i="4" s="1"/>
  <c r="B4606" i="4" s="1"/>
  <c r="B4607" i="4" s="1"/>
  <c r="B4608" i="4" s="1"/>
  <c r="B4609" i="4" s="1"/>
  <c r="B4610" i="4" s="1"/>
  <c r="B4611" i="4" s="1"/>
  <c r="B4612" i="4" s="1"/>
  <c r="B4613" i="4" s="1"/>
  <c r="B4614" i="4" s="1"/>
  <c r="B4615" i="4" s="1"/>
  <c r="B4616" i="4" s="1"/>
  <c r="B4617" i="4" s="1"/>
  <c r="B4618" i="4" s="1"/>
  <c r="B4619" i="4" s="1"/>
  <c r="B4620" i="4" s="1"/>
  <c r="B4621" i="4" s="1"/>
  <c r="B4622" i="4" s="1"/>
  <c r="B4623" i="4" s="1"/>
  <c r="B4624" i="4" s="1"/>
  <c r="B4625" i="4" s="1"/>
  <c r="B4626" i="4" s="1"/>
  <c r="B4627" i="4" s="1"/>
  <c r="B4628" i="4" s="1"/>
  <c r="B4629" i="4" s="1"/>
  <c r="B4630" i="4" s="1"/>
  <c r="B4631" i="4" s="1"/>
  <c r="B4632" i="4" s="1"/>
  <c r="B4633" i="4" s="1"/>
  <c r="B4634" i="4" s="1"/>
  <c r="B4635" i="4" s="1"/>
  <c r="B4636" i="4" s="1"/>
  <c r="B4637" i="4" s="1"/>
  <c r="B4638" i="4" s="1"/>
  <c r="B4639" i="4" s="1"/>
  <c r="B4640" i="4" s="1"/>
  <c r="B4641" i="4" s="1"/>
  <c r="B4642" i="4" s="1"/>
  <c r="B4643" i="4" s="1"/>
  <c r="B4644" i="4" s="1"/>
  <c r="B4645" i="4" s="1"/>
  <c r="B4646" i="4" s="1"/>
  <c r="B4647" i="4" s="1"/>
  <c r="B4648" i="4" s="1"/>
  <c r="B4649" i="4" s="1"/>
  <c r="B4650" i="4" s="1"/>
  <c r="B4651" i="4" s="1"/>
  <c r="B4652" i="4" s="1"/>
  <c r="B4653" i="4" s="1"/>
  <c r="B4654" i="4" s="1"/>
  <c r="B4655" i="4" s="1"/>
  <c r="B4656" i="4" s="1"/>
  <c r="B4657" i="4" s="1"/>
  <c r="B4658" i="4" s="1"/>
  <c r="B4659" i="4" s="1"/>
  <c r="B4660" i="4" s="1"/>
  <c r="B4661" i="4" s="1"/>
  <c r="B4662" i="4" s="1"/>
  <c r="B4663" i="4" s="1"/>
  <c r="B4664" i="4" s="1"/>
  <c r="B4665" i="4" s="1"/>
  <c r="B4666" i="4" s="1"/>
  <c r="B4667" i="4" s="1"/>
  <c r="B4668" i="4" s="1"/>
  <c r="B4669" i="4" s="1"/>
  <c r="B4670" i="4" s="1"/>
  <c r="B4671" i="4" s="1"/>
  <c r="B4672" i="4" s="1"/>
  <c r="B4673" i="4" s="1"/>
  <c r="B4674" i="4" s="1"/>
  <c r="B4675" i="4" s="1"/>
  <c r="B4676" i="4" s="1"/>
  <c r="B4677" i="4" s="1"/>
  <c r="B4678" i="4" s="1"/>
  <c r="B4679" i="4" s="1"/>
  <c r="B4680" i="4" s="1"/>
  <c r="B4681" i="4" s="1"/>
  <c r="B4682" i="4" s="1"/>
  <c r="B4683" i="4" s="1"/>
  <c r="B4684" i="4" s="1"/>
  <c r="B4685" i="4" s="1"/>
  <c r="B4686" i="4" s="1"/>
  <c r="B4687" i="4" s="1"/>
  <c r="B4688" i="4" s="1"/>
  <c r="B4689" i="4" s="1"/>
  <c r="B4690" i="4" s="1"/>
  <c r="B4691" i="4" s="1"/>
  <c r="B4692" i="4" s="1"/>
  <c r="B4693" i="4" s="1"/>
  <c r="B4694" i="4" s="1"/>
  <c r="B4695" i="4" s="1"/>
  <c r="B4696" i="4" s="1"/>
  <c r="B4697" i="4" s="1"/>
  <c r="B4698" i="4" s="1"/>
  <c r="B4699" i="4" s="1"/>
  <c r="B4700" i="4" s="1"/>
  <c r="B4701" i="4" s="1"/>
  <c r="B4702" i="4" s="1"/>
  <c r="B4703" i="4" s="1"/>
  <c r="B4704" i="4" s="1"/>
  <c r="B4705" i="4" s="1"/>
  <c r="B4706" i="4" s="1"/>
  <c r="B4707" i="4" s="1"/>
  <c r="B4708" i="4" s="1"/>
  <c r="B4709" i="4" s="1"/>
  <c r="B4710" i="4" s="1"/>
  <c r="B4711" i="4" s="1"/>
  <c r="B4712" i="4" s="1"/>
  <c r="B4713" i="4" s="1"/>
  <c r="B4714" i="4" s="1"/>
  <c r="B4715" i="4" s="1"/>
  <c r="B4716" i="4" s="1"/>
  <c r="B4717" i="4" s="1"/>
  <c r="B4718" i="4" s="1"/>
  <c r="B4719" i="4" s="1"/>
  <c r="B4720" i="4" s="1"/>
  <c r="B4721" i="4" s="1"/>
  <c r="B4722" i="4" s="1"/>
  <c r="B4723" i="4" s="1"/>
  <c r="B4724" i="4" s="1"/>
  <c r="B4725" i="4" s="1"/>
  <c r="B4726" i="4" s="1"/>
  <c r="B4727" i="4" s="1"/>
  <c r="B4728" i="4" s="1"/>
  <c r="B4729" i="4" s="1"/>
  <c r="B4730" i="4" s="1"/>
  <c r="B4731" i="4" s="1"/>
  <c r="B4732" i="4" s="1"/>
  <c r="B4733" i="4" s="1"/>
  <c r="B4734" i="4" s="1"/>
  <c r="B4735" i="4" s="1"/>
  <c r="B4736" i="4" s="1"/>
  <c r="B4737" i="4" s="1"/>
  <c r="B4738" i="4" s="1"/>
  <c r="B4739" i="4" s="1"/>
  <c r="B4740" i="4" s="1"/>
  <c r="B4741" i="4" s="1"/>
  <c r="B4742" i="4" s="1"/>
  <c r="B4743" i="4" s="1"/>
  <c r="B4744" i="4" s="1"/>
  <c r="B4745" i="4" s="1"/>
  <c r="B4746" i="4" s="1"/>
  <c r="B4747" i="4" s="1"/>
  <c r="B4748" i="4" s="1"/>
  <c r="B4749" i="4" s="1"/>
  <c r="B4750" i="4" s="1"/>
  <c r="B4751" i="4" s="1"/>
  <c r="B4752" i="4" s="1"/>
  <c r="B4753" i="4" s="1"/>
  <c r="B4754" i="4" s="1"/>
  <c r="B4755" i="4" s="1"/>
  <c r="B4756" i="4" s="1"/>
  <c r="B4757" i="4" s="1"/>
  <c r="B4758" i="4" s="1"/>
  <c r="B4759" i="4" s="1"/>
  <c r="B4760" i="4" s="1"/>
  <c r="B4761" i="4" s="1"/>
  <c r="B4762" i="4" s="1"/>
  <c r="B4763" i="4" s="1"/>
  <c r="B4764" i="4" s="1"/>
  <c r="B4765" i="4" s="1"/>
  <c r="B4766" i="4" s="1"/>
  <c r="B4767" i="4" s="1"/>
  <c r="B4768" i="4" s="1"/>
  <c r="B4769" i="4" s="1"/>
  <c r="B4770" i="4" s="1"/>
  <c r="B4771" i="4" s="1"/>
  <c r="B4772" i="4" s="1"/>
  <c r="B4773" i="4" s="1"/>
  <c r="B4774" i="4" s="1"/>
  <c r="B4775" i="4" s="1"/>
  <c r="B4776" i="4" s="1"/>
  <c r="B4777" i="4" s="1"/>
  <c r="B4778" i="4" s="1"/>
  <c r="B4779" i="4" s="1"/>
  <c r="B4780" i="4" s="1"/>
  <c r="B4781" i="4" s="1"/>
  <c r="B4782" i="4" s="1"/>
  <c r="B4783" i="4" s="1"/>
  <c r="B4784" i="4" s="1"/>
  <c r="B4785" i="4" s="1"/>
  <c r="B4786" i="4" s="1"/>
  <c r="B4787" i="4" s="1"/>
  <c r="B4788" i="4" s="1"/>
  <c r="B4789" i="4" s="1"/>
  <c r="B4790" i="4" s="1"/>
  <c r="B4791" i="4" s="1"/>
  <c r="B4792" i="4" s="1"/>
  <c r="B4793" i="4" s="1"/>
  <c r="B4794" i="4" s="1"/>
  <c r="B4795" i="4" s="1"/>
  <c r="B4796" i="4" s="1"/>
  <c r="B4797" i="4" s="1"/>
  <c r="B4798" i="4" s="1"/>
  <c r="B4799" i="4" s="1"/>
  <c r="B4800" i="4" s="1"/>
  <c r="B4801" i="4" s="1"/>
  <c r="B4802" i="4" s="1"/>
  <c r="B4803" i="4" s="1"/>
  <c r="B4804" i="4" s="1"/>
  <c r="B4805" i="4" s="1"/>
  <c r="B4806" i="4" s="1"/>
  <c r="B4807" i="4" s="1"/>
  <c r="B4808" i="4" s="1"/>
  <c r="B4809" i="4" s="1"/>
  <c r="B4810" i="4" s="1"/>
  <c r="B4811" i="4" s="1"/>
  <c r="B4812" i="4" s="1"/>
  <c r="B4813" i="4" s="1"/>
  <c r="B4814" i="4" s="1"/>
  <c r="B4815" i="4" s="1"/>
  <c r="B4816" i="4" s="1"/>
  <c r="B4817" i="4" s="1"/>
  <c r="B4818" i="4" s="1"/>
  <c r="B4819" i="4" s="1"/>
  <c r="B4820" i="4" s="1"/>
  <c r="B4821" i="4" s="1"/>
  <c r="B4822" i="4" s="1"/>
  <c r="B4823" i="4" s="1"/>
  <c r="B4824" i="4" s="1"/>
  <c r="B4825" i="4" s="1"/>
  <c r="B4826" i="4" s="1"/>
  <c r="B4827" i="4" s="1"/>
  <c r="B4828" i="4" s="1"/>
  <c r="B4829" i="4" s="1"/>
  <c r="B4830" i="4" s="1"/>
  <c r="B4831" i="4" s="1"/>
  <c r="B4832" i="4" s="1"/>
  <c r="B4833" i="4" s="1"/>
  <c r="B4834" i="4" s="1"/>
  <c r="B4835" i="4" s="1"/>
  <c r="B4836" i="4" s="1"/>
  <c r="B4837" i="4" s="1"/>
  <c r="B4838" i="4" s="1"/>
  <c r="B4839" i="4" s="1"/>
  <c r="B4840" i="4" s="1"/>
  <c r="B4841" i="4" s="1"/>
  <c r="B4842" i="4" s="1"/>
  <c r="B4843" i="4" s="1"/>
  <c r="B4844" i="4" s="1"/>
  <c r="B4845" i="4" s="1"/>
  <c r="B4846" i="4" s="1"/>
  <c r="B4847" i="4" s="1"/>
  <c r="B4848" i="4" s="1"/>
  <c r="B4849" i="4" s="1"/>
  <c r="B4850" i="4" s="1"/>
  <c r="B4851" i="4" s="1"/>
  <c r="B4852" i="4" s="1"/>
  <c r="B4853" i="4" s="1"/>
  <c r="B4854" i="4" s="1"/>
  <c r="B4855" i="4" s="1"/>
  <c r="B4856" i="4" s="1"/>
  <c r="B4857" i="4" s="1"/>
  <c r="B4858" i="4" s="1"/>
  <c r="B4859" i="4" s="1"/>
  <c r="B4860" i="4" s="1"/>
  <c r="B4861" i="4" s="1"/>
  <c r="B4862" i="4" s="1"/>
  <c r="B4863" i="4" s="1"/>
  <c r="B4864" i="4" s="1"/>
  <c r="B4865" i="4" s="1"/>
  <c r="B4866" i="4" s="1"/>
  <c r="B4867" i="4" s="1"/>
  <c r="B4868" i="4" s="1"/>
  <c r="B4869" i="4" s="1"/>
  <c r="B4870" i="4" s="1"/>
  <c r="B4871" i="4" s="1"/>
  <c r="B4872" i="4" s="1"/>
  <c r="B4873" i="4" s="1"/>
  <c r="B4874" i="4" s="1"/>
  <c r="B4875" i="4" s="1"/>
  <c r="B4876" i="4" s="1"/>
  <c r="B4877" i="4" s="1"/>
  <c r="B4878" i="4" s="1"/>
  <c r="B4879" i="4" s="1"/>
  <c r="B4880" i="4" s="1"/>
  <c r="B4881" i="4" s="1"/>
  <c r="B4882" i="4" s="1"/>
  <c r="B4883" i="4" s="1"/>
  <c r="B4884" i="4" s="1"/>
  <c r="B4885" i="4" s="1"/>
  <c r="B4886" i="4" s="1"/>
  <c r="B4887" i="4" s="1"/>
  <c r="B4888" i="4" s="1"/>
  <c r="B4889" i="4" s="1"/>
  <c r="B4890" i="4" s="1"/>
  <c r="B4891" i="4" s="1"/>
  <c r="B4892" i="4" s="1"/>
  <c r="B4893" i="4" s="1"/>
  <c r="B4894" i="4" s="1"/>
  <c r="B4895" i="4" s="1"/>
  <c r="B4896" i="4" s="1"/>
  <c r="B4897" i="4" s="1"/>
  <c r="B4898" i="4" s="1"/>
  <c r="B4899" i="4" s="1"/>
  <c r="B4900" i="4" s="1"/>
  <c r="B4901" i="4" s="1"/>
  <c r="B4902" i="4" s="1"/>
  <c r="B4903" i="4" s="1"/>
  <c r="B4904" i="4" s="1"/>
  <c r="B4905" i="4" s="1"/>
  <c r="B4906" i="4" s="1"/>
  <c r="B4907" i="4" s="1"/>
  <c r="B4908" i="4" s="1"/>
  <c r="B4909" i="4" s="1"/>
  <c r="B4910" i="4" s="1"/>
  <c r="B4911" i="4" s="1"/>
  <c r="B4912" i="4" s="1"/>
  <c r="B4913" i="4" s="1"/>
  <c r="B4914" i="4" s="1"/>
  <c r="B4915" i="4" s="1"/>
  <c r="B4916" i="4" s="1"/>
  <c r="B4917" i="4" s="1"/>
  <c r="B4918" i="4" s="1"/>
  <c r="B4919" i="4" s="1"/>
  <c r="B4920" i="4" s="1"/>
  <c r="B4921" i="4" s="1"/>
  <c r="B4922" i="4" s="1"/>
  <c r="B4923" i="4" s="1"/>
  <c r="B4924" i="4" s="1"/>
  <c r="B4925" i="4" s="1"/>
  <c r="B4926" i="4" s="1"/>
  <c r="B4927" i="4" s="1"/>
  <c r="B4928" i="4" s="1"/>
  <c r="B4929" i="4" s="1"/>
  <c r="B4930" i="4" s="1"/>
  <c r="B4931" i="4" s="1"/>
  <c r="B4932" i="4" s="1"/>
  <c r="B4933" i="4" s="1"/>
  <c r="B4934" i="4" s="1"/>
  <c r="B4935" i="4" s="1"/>
  <c r="B4936" i="4" s="1"/>
  <c r="B4937" i="4" s="1"/>
  <c r="B4938" i="4" s="1"/>
  <c r="B4939" i="4" s="1"/>
  <c r="B4940" i="4" s="1"/>
  <c r="B4941" i="4" s="1"/>
  <c r="B4942" i="4" s="1"/>
  <c r="B4943" i="4" s="1"/>
  <c r="B4944" i="4" s="1"/>
  <c r="B4945" i="4" s="1"/>
  <c r="B4946" i="4" s="1"/>
  <c r="B4947" i="4" s="1"/>
  <c r="B4948" i="4" s="1"/>
  <c r="B4949" i="4" s="1"/>
  <c r="B4950" i="4" s="1"/>
  <c r="B4951" i="4" s="1"/>
  <c r="B4952" i="4" s="1"/>
  <c r="B4953" i="4" s="1"/>
  <c r="B4954" i="4" s="1"/>
  <c r="B4955" i="4" s="1"/>
  <c r="B4956" i="4" s="1"/>
  <c r="B4957" i="4" s="1"/>
  <c r="B4958" i="4" s="1"/>
  <c r="B4959" i="4" s="1"/>
  <c r="B4960" i="4" s="1"/>
  <c r="B4961" i="4" s="1"/>
  <c r="B4962" i="4" s="1"/>
  <c r="B4963" i="4" s="1"/>
  <c r="B4964" i="4" s="1"/>
  <c r="B4965" i="4" s="1"/>
  <c r="B4966" i="4" s="1"/>
  <c r="B4967" i="4" s="1"/>
  <c r="B4968" i="4" s="1"/>
  <c r="B4969" i="4" s="1"/>
  <c r="B4970" i="4" s="1"/>
  <c r="B4971" i="4" s="1"/>
  <c r="B4972" i="4" s="1"/>
  <c r="B4973" i="4" s="1"/>
  <c r="B4974" i="4" s="1"/>
  <c r="B4975" i="4" s="1"/>
  <c r="B4976" i="4" s="1"/>
  <c r="B4977" i="4" s="1"/>
  <c r="B4978" i="4" s="1"/>
  <c r="B4979" i="4" s="1"/>
  <c r="B4980" i="4" s="1"/>
  <c r="B4981" i="4" s="1"/>
  <c r="B4982" i="4" s="1"/>
  <c r="B4983" i="4" s="1"/>
  <c r="B4984" i="4" s="1"/>
  <c r="B4985" i="4" s="1"/>
  <c r="B4986" i="4" s="1"/>
  <c r="B4987" i="4" s="1"/>
  <c r="B4988" i="4" s="1"/>
  <c r="B4989" i="4" s="1"/>
  <c r="B4990" i="4" s="1"/>
  <c r="B4991" i="4" s="1"/>
  <c r="B4992" i="4" s="1"/>
  <c r="B4993" i="4" s="1"/>
  <c r="B4994" i="4" s="1"/>
  <c r="B4995" i="4" s="1"/>
  <c r="B4996" i="4" s="1"/>
  <c r="B4997" i="4" s="1"/>
  <c r="B4998" i="4" s="1"/>
  <c r="B4999" i="4" s="1"/>
  <c r="B5000" i="4" s="1"/>
  <c r="B5001" i="4" s="1"/>
  <c r="B5002" i="4" s="1"/>
  <c r="B5003" i="4" s="1"/>
  <c r="B5004" i="4" s="1"/>
  <c r="B5005" i="4" s="1"/>
  <c r="B5006" i="4" s="1"/>
  <c r="B5007" i="4" s="1"/>
  <c r="B5008" i="4" s="1"/>
  <c r="B5009" i="4" s="1"/>
  <c r="B5010" i="4" s="1"/>
  <c r="B5011" i="4" s="1"/>
  <c r="B5012" i="4" s="1"/>
  <c r="B5013" i="4" s="1"/>
  <c r="B5014" i="4" s="1"/>
  <c r="B5015" i="4" s="1"/>
  <c r="D2351" i="4" l="1"/>
  <c r="F2351" i="4" s="1"/>
  <c r="D2139" i="4"/>
  <c r="F2139" i="4" s="1"/>
  <c r="D2378" i="4"/>
  <c r="F2378" i="4" s="1"/>
  <c r="D2136" i="4"/>
  <c r="F2136" i="4" s="1"/>
  <c r="D1141" i="4"/>
  <c r="D1274" i="4"/>
  <c r="F1274" i="4" s="1"/>
  <c r="D1377" i="4"/>
  <c r="F1377" i="4" s="1"/>
  <c r="D1485" i="4"/>
  <c r="D490" i="4"/>
  <c r="D849" i="4"/>
  <c r="D1650" i="4"/>
  <c r="F1650" i="4" s="1"/>
  <c r="D1291" i="4"/>
  <c r="F1291" i="4" s="1"/>
  <c r="D515" i="4"/>
  <c r="D460" i="4"/>
  <c r="D1172" i="4"/>
  <c r="D944" i="4"/>
  <c r="D912" i="4"/>
  <c r="F912" i="4" s="1"/>
  <c r="D816" i="4"/>
  <c r="D1352" i="4"/>
  <c r="F1352" i="4" s="1"/>
  <c r="D1264" i="4"/>
  <c r="D1219" i="4"/>
  <c r="D974" i="4"/>
  <c r="F974" i="4" s="1"/>
  <c r="D966" i="4"/>
  <c r="F966" i="4" s="1"/>
  <c r="D847" i="4"/>
  <c r="D1492" i="4"/>
  <c r="F1492" i="4" s="1"/>
  <c r="D1462" i="4"/>
  <c r="F1462" i="4" s="1"/>
  <c r="D1367" i="4"/>
  <c r="F1367" i="4" s="1"/>
  <c r="D1202" i="4"/>
  <c r="F1202" i="4" s="1"/>
  <c r="D1116" i="4"/>
  <c r="D1077" i="4"/>
  <c r="F1077" i="4" s="1"/>
  <c r="D1476" i="4"/>
  <c r="F1476" i="4" s="1"/>
  <c r="D1468" i="4"/>
  <c r="F1468" i="4" s="1"/>
  <c r="D1350" i="4"/>
  <c r="F1350" i="4" s="1"/>
  <c r="D1130" i="4"/>
  <c r="D1099" i="4"/>
  <c r="D980" i="4"/>
  <c r="D1269" i="4"/>
  <c r="F1269" i="4" s="1"/>
  <c r="D1253" i="4"/>
  <c r="D1168" i="4"/>
  <c r="D1053" i="4"/>
  <c r="F1053" i="4" s="1"/>
  <c r="D1039" i="4"/>
  <c r="D940" i="4"/>
  <c r="D852" i="4"/>
  <c r="D844" i="4"/>
  <c r="D780" i="4"/>
  <c r="D728" i="4"/>
  <c r="F728" i="4" s="1"/>
  <c r="D720" i="4"/>
  <c r="F720" i="4" s="1"/>
  <c r="D664" i="4"/>
  <c r="F664" i="4" s="1"/>
  <c r="D585" i="4"/>
  <c r="D577" i="4"/>
  <c r="F577" i="4" s="1"/>
  <c r="D372" i="4"/>
  <c r="F372" i="4" s="1"/>
  <c r="D293" i="4"/>
  <c r="D285" i="4"/>
  <c r="D237" i="4"/>
  <c r="D165" i="4"/>
  <c r="F165" i="4" s="1"/>
  <c r="D157" i="4"/>
  <c r="D109" i="4"/>
  <c r="G17" i="6"/>
  <c r="D2464" i="4" s="1"/>
  <c r="G48" i="6"/>
  <c r="G49" i="6" s="1"/>
  <c r="J4" i="4"/>
  <c r="D950" i="4"/>
  <c r="F950" i="4" s="1"/>
  <c r="D894" i="4"/>
  <c r="F894" i="4" s="1"/>
  <c r="D886" i="4"/>
  <c r="F886" i="4" s="1"/>
  <c r="D878" i="4"/>
  <c r="F878" i="4" s="1"/>
  <c r="D854" i="4"/>
  <c r="F854" i="4" s="1"/>
  <c r="D806" i="4"/>
  <c r="D790" i="4"/>
  <c r="D767" i="4"/>
  <c r="D751" i="4"/>
  <c r="F751" i="4" s="1"/>
  <c r="D695" i="4"/>
  <c r="D687" i="4"/>
  <c r="D679" i="4"/>
  <c r="D640" i="4"/>
  <c r="D616" i="4"/>
  <c r="D536" i="4"/>
  <c r="D411" i="4"/>
  <c r="D403" i="4"/>
  <c r="F403" i="4" s="1"/>
  <c r="D387" i="4"/>
  <c r="F387" i="4" s="1"/>
  <c r="D347" i="4"/>
  <c r="D332" i="4"/>
  <c r="F332" i="4" s="1"/>
  <c r="D324" i="4"/>
  <c r="D316" i="4"/>
  <c r="D300" i="4"/>
  <c r="F300" i="4" s="1"/>
  <c r="D268" i="4"/>
  <c r="D979" i="4"/>
  <c r="D957" i="4"/>
  <c r="D933" i="4"/>
  <c r="D925" i="4"/>
  <c r="F925" i="4" s="1"/>
  <c r="D917" i="4"/>
  <c r="F917" i="4" s="1"/>
  <c r="D893" i="4"/>
  <c r="F893" i="4" s="1"/>
  <c r="D861" i="4"/>
  <c r="D853" i="4"/>
  <c r="F853" i="4" s="1"/>
  <c r="D845" i="4"/>
  <c r="D829" i="4"/>
  <c r="F829" i="4" s="1"/>
  <c r="D805" i="4"/>
  <c r="F805" i="4" s="1"/>
  <c r="D789" i="4"/>
  <c r="D766" i="4"/>
  <c r="D742" i="4"/>
  <c r="D734" i="4"/>
  <c r="D726" i="4"/>
  <c r="D718" i="4"/>
  <c r="D678" i="4"/>
  <c r="D662" i="4"/>
  <c r="D647" i="4"/>
  <c r="D599" i="4"/>
  <c r="D575" i="4"/>
  <c r="D567" i="4"/>
  <c r="D551" i="4"/>
  <c r="D418" i="4"/>
  <c r="F418" i="4" s="1"/>
  <c r="D410" i="4"/>
  <c r="D402" i="4"/>
  <c r="F402" i="4" s="1"/>
  <c r="D394" i="4"/>
  <c r="F394" i="4" s="1"/>
  <c r="D378" i="4"/>
  <c r="F378" i="4" s="1"/>
  <c r="D227" i="4"/>
  <c r="F227" i="4" s="1"/>
  <c r="D211" i="4"/>
  <c r="D195" i="4"/>
  <c r="D171" i="4"/>
  <c r="D163" i="4"/>
  <c r="D155" i="4"/>
  <c r="D131" i="4"/>
  <c r="D99" i="4"/>
  <c r="D91" i="4"/>
  <c r="D701" i="4"/>
  <c r="F701" i="4" s="1"/>
  <c r="D685" i="4"/>
  <c r="D661" i="4"/>
  <c r="D638" i="4"/>
  <c r="F638" i="4" s="1"/>
  <c r="D614" i="4"/>
  <c r="D590" i="4"/>
  <c r="D582" i="4"/>
  <c r="F582" i="4" s="1"/>
  <c r="D574" i="4"/>
  <c r="F574" i="4" s="1"/>
  <c r="D566" i="4"/>
  <c r="F566" i="4" s="1"/>
  <c r="D502" i="4"/>
  <c r="D486" i="4"/>
  <c r="F486" i="4" s="1"/>
  <c r="D478" i="4"/>
  <c r="F478" i="4" s="1"/>
  <c r="D463" i="4"/>
  <c r="D433" i="4"/>
  <c r="D369" i="4"/>
  <c r="D353" i="4"/>
  <c r="D314" i="4"/>
  <c r="D306" i="4"/>
  <c r="D298" i="4"/>
  <c r="F298" i="4" s="1"/>
  <c r="D290" i="4"/>
  <c r="D274" i="4"/>
  <c r="F274" i="4" s="1"/>
  <c r="D242" i="4"/>
  <c r="F242" i="4" s="1"/>
  <c r="D969" i="4"/>
  <c r="D947" i="4"/>
  <c r="D939" i="4"/>
  <c r="F939" i="4" s="1"/>
  <c r="D931" i="4"/>
  <c r="D923" i="4"/>
  <c r="D883" i="4"/>
  <c r="D875" i="4"/>
  <c r="D867" i="4"/>
  <c r="D859" i="4"/>
  <c r="D843" i="4"/>
  <c r="F843" i="4" s="1"/>
  <c r="D819" i="4"/>
  <c r="D811" i="4"/>
  <c r="D795" i="4"/>
  <c r="D779" i="4"/>
  <c r="D756" i="4"/>
  <c r="D748" i="4"/>
  <c r="D740" i="4"/>
  <c r="F740" i="4" s="1"/>
  <c r="D732" i="4"/>
  <c r="F732" i="4" s="1"/>
  <c r="D716" i="4"/>
  <c r="D684" i="4"/>
  <c r="F684" i="4" s="1"/>
  <c r="D676" i="4"/>
  <c r="F676" i="4" s="1"/>
  <c r="D668" i="4"/>
  <c r="F668" i="4" s="1"/>
  <c r="D653" i="4"/>
  <c r="D629" i="4"/>
  <c r="D621" i="4"/>
  <c r="D613" i="4"/>
  <c r="D525" i="4"/>
  <c r="D501" i="4"/>
  <c r="F501" i="4" s="1"/>
  <c r="D493" i="4"/>
  <c r="D485" i="4"/>
  <c r="F485" i="4" s="1"/>
  <c r="D477" i="4"/>
  <c r="F477" i="4" s="1"/>
  <c r="D462" i="4"/>
  <c r="D408" i="4"/>
  <c r="F408" i="4" s="1"/>
  <c r="D392" i="4"/>
  <c r="F392" i="4" s="1"/>
  <c r="D384" i="4"/>
  <c r="F384" i="4" s="1"/>
  <c r="D368" i="4"/>
  <c r="F368" i="4" s="1"/>
  <c r="D344" i="4"/>
  <c r="D337" i="4"/>
  <c r="D329" i="4"/>
  <c r="F329" i="4" s="1"/>
  <c r="D321" i="4"/>
  <c r="F321" i="4" s="1"/>
  <c r="D281" i="4"/>
  <c r="D273" i="4"/>
  <c r="D265" i="4"/>
  <c r="D257" i="4"/>
  <c r="F257" i="4" s="1"/>
  <c r="D842" i="4"/>
  <c r="D818" i="4"/>
  <c r="F818" i="4" s="1"/>
  <c r="D810" i="4"/>
  <c r="D802" i="4"/>
  <c r="D794" i="4"/>
  <c r="D778" i="4"/>
  <c r="F778" i="4" s="1"/>
  <c r="D755" i="4"/>
  <c r="D747" i="4"/>
  <c r="D739" i="4"/>
  <c r="D731" i="4"/>
  <c r="D715" i="4"/>
  <c r="D691" i="4"/>
  <c r="D683" i="4"/>
  <c r="D675" i="4"/>
  <c r="D667" i="4"/>
  <c r="F667" i="4" s="1"/>
  <c r="D652" i="4"/>
  <c r="F652" i="4" s="1"/>
  <c r="D628" i="4"/>
  <c r="F628" i="4" s="1"/>
  <c r="D620" i="4"/>
  <c r="F620" i="4" s="1"/>
  <c r="D540" i="4"/>
  <c r="D532" i="4"/>
  <c r="D454" i="4"/>
  <c r="D431" i="4"/>
  <c r="F431" i="4" s="1"/>
  <c r="D423" i="4"/>
  <c r="D415" i="4"/>
  <c r="F415" i="4" s="1"/>
  <c r="D407" i="4"/>
  <c r="D391" i="4"/>
  <c r="D383" i="4"/>
  <c r="F383" i="4" s="1"/>
  <c r="D80" i="4"/>
  <c r="F80" i="4" s="1"/>
  <c r="D72" i="4"/>
  <c r="D64" i="4"/>
  <c r="D56" i="4"/>
  <c r="F56" i="4" s="1"/>
  <c r="D40" i="4"/>
  <c r="D32" i="4"/>
  <c r="F32" i="4" s="1"/>
  <c r="D16" i="4"/>
  <c r="E16" i="4" s="1"/>
  <c r="D631" i="4"/>
  <c r="D623" i="4"/>
  <c r="D608" i="4"/>
  <c r="D600" i="4"/>
  <c r="F600" i="4" s="1"/>
  <c r="D584" i="4"/>
  <c r="D576" i="4"/>
  <c r="F576" i="4" s="1"/>
  <c r="D560" i="4"/>
  <c r="F560" i="4" s="1"/>
  <c r="D552" i="4"/>
  <c r="D545" i="4"/>
  <c r="D538" i="4"/>
  <c r="D523" i="4"/>
  <c r="F523" i="4" s="1"/>
  <c r="D516" i="4"/>
  <c r="D500" i="4"/>
  <c r="D492" i="4"/>
  <c r="F492" i="4" s="1"/>
  <c r="D484" i="4"/>
  <c r="D476" i="4"/>
  <c r="F476" i="4" s="1"/>
  <c r="D461" i="4"/>
  <c r="D455" i="4"/>
  <c r="D440" i="4"/>
  <c r="F440" i="4" s="1"/>
  <c r="D432" i="4"/>
  <c r="F432" i="4" s="1"/>
  <c r="D425" i="4"/>
  <c r="D417" i="4"/>
  <c r="F417" i="4" s="1"/>
  <c r="D401" i="4"/>
  <c r="D393" i="4"/>
  <c r="F393" i="4" s="1"/>
  <c r="D377" i="4"/>
  <c r="D370" i="4"/>
  <c r="D362" i="4"/>
  <c r="D354" i="4"/>
  <c r="F354" i="4" s="1"/>
  <c r="D339" i="4"/>
  <c r="D331" i="4"/>
  <c r="D315" i="4"/>
  <c r="D307" i="4"/>
  <c r="D299" i="4"/>
  <c r="D291" i="4"/>
  <c r="D275" i="4"/>
  <c r="D267" i="4"/>
  <c r="D252" i="4"/>
  <c r="F252" i="4" s="1"/>
  <c r="D244" i="4"/>
  <c r="D236" i="4"/>
  <c r="D228" i="4"/>
  <c r="F228" i="4" s="1"/>
  <c r="D212" i="4"/>
  <c r="D204" i="4"/>
  <c r="D188" i="4"/>
  <c r="D180" i="4"/>
  <c r="F180" i="4" s="1"/>
  <c r="D172" i="4"/>
  <c r="D164" i="4"/>
  <c r="D148" i="4"/>
  <c r="F148" i="4" s="1"/>
  <c r="D140" i="4"/>
  <c r="D124" i="4"/>
  <c r="D116" i="4"/>
  <c r="D108" i="4"/>
  <c r="D100" i="4"/>
  <c r="D86" i="4"/>
  <c r="F86" i="4" s="1"/>
  <c r="D79" i="4"/>
  <c r="F79" i="4" s="1"/>
  <c r="D71" i="4"/>
  <c r="D63" i="4"/>
  <c r="F63" i="4" s="1"/>
  <c r="D55" i="4"/>
  <c r="F55" i="4" s="1"/>
  <c r="D47" i="4"/>
  <c r="F47" i="4" s="1"/>
  <c r="D39" i="4"/>
  <c r="F39" i="4" s="1"/>
  <c r="D23" i="4"/>
  <c r="L3" i="4"/>
  <c r="L5" i="4" s="1"/>
  <c r="D226" i="4"/>
  <c r="F226" i="4" s="1"/>
  <c r="D218" i="4"/>
  <c r="F218" i="4" s="1"/>
  <c r="D210" i="4"/>
  <c r="D202" i="4"/>
  <c r="F202" i="4" s="1"/>
  <c r="D194" i="4"/>
  <c r="F194" i="4" s="1"/>
  <c r="D186" i="4"/>
  <c r="F186" i="4" s="1"/>
  <c r="D178" i="4"/>
  <c r="F178" i="4" s="1"/>
  <c r="D170" i="4"/>
  <c r="F170" i="4" s="1"/>
  <c r="D162" i="4"/>
  <c r="F162" i="4" s="1"/>
  <c r="D154" i="4"/>
  <c r="D146" i="4"/>
  <c r="D138" i="4"/>
  <c r="D130" i="4"/>
  <c r="F130" i="4" s="1"/>
  <c r="D122" i="4"/>
  <c r="F122" i="4" s="1"/>
  <c r="D114" i="4"/>
  <c r="D106" i="4"/>
  <c r="D98" i="4"/>
  <c r="D90" i="4"/>
  <c r="F90" i="4" s="1"/>
  <c r="D84" i="4"/>
  <c r="D77" i="4"/>
  <c r="D69" i="4"/>
  <c r="D61" i="4"/>
  <c r="D53" i="4"/>
  <c r="D45" i="4"/>
  <c r="D37" i="4"/>
  <c r="F37" i="4" s="1"/>
  <c r="D29" i="4"/>
  <c r="D21" i="4"/>
  <c r="D597" i="4"/>
  <c r="D589" i="4"/>
  <c r="D581" i="4"/>
  <c r="D573" i="4"/>
  <c r="D565" i="4"/>
  <c r="D557" i="4"/>
  <c r="D549" i="4"/>
  <c r="D542" i="4"/>
  <c r="D535" i="4"/>
  <c r="D528" i="4"/>
  <c r="F528" i="4" s="1"/>
  <c r="D513" i="4"/>
  <c r="D505" i="4"/>
  <c r="D497" i="4"/>
  <c r="D489" i="4"/>
  <c r="D481" i="4"/>
  <c r="D474" i="4"/>
  <c r="F474" i="4" s="1"/>
  <c r="D466" i="4"/>
  <c r="F466" i="4" s="1"/>
  <c r="D452" i="4"/>
  <c r="F452" i="4" s="1"/>
  <c r="D445" i="4"/>
  <c r="F445" i="4" s="1"/>
  <c r="D437" i="4"/>
  <c r="F437" i="4" s="1"/>
  <c r="D429" i="4"/>
  <c r="F429" i="4" s="1"/>
  <c r="D422" i="4"/>
  <c r="F422" i="4" s="1"/>
  <c r="D414" i="4"/>
  <c r="F414" i="4" s="1"/>
  <c r="D406" i="4"/>
  <c r="D398" i="4"/>
  <c r="D390" i="4"/>
  <c r="D382" i="4"/>
  <c r="F382" i="4" s="1"/>
  <c r="D367" i="4"/>
  <c r="F367" i="4" s="1"/>
  <c r="D359" i="4"/>
  <c r="F359" i="4" s="1"/>
  <c r="D351" i="4"/>
  <c r="D343" i="4"/>
  <c r="D336" i="4"/>
  <c r="F336" i="4" s="1"/>
  <c r="D328" i="4"/>
  <c r="F328" i="4" s="1"/>
  <c r="D320" i="4"/>
  <c r="D312" i="4"/>
  <c r="D304" i="4"/>
  <c r="F304" i="4" s="1"/>
  <c r="D296" i="4"/>
  <c r="D288" i="4"/>
  <c r="D280" i="4"/>
  <c r="F280" i="4" s="1"/>
  <c r="D272" i="4"/>
  <c r="D264" i="4"/>
  <c r="D256" i="4"/>
  <c r="F256" i="4" s="1"/>
  <c r="D249" i="4"/>
  <c r="D241" i="4"/>
  <c r="F241" i="4" s="1"/>
  <c r="D233" i="4"/>
  <c r="D225" i="4"/>
  <c r="F225" i="4" s="1"/>
  <c r="D217" i="4"/>
  <c r="D209" i="4"/>
  <c r="D201" i="4"/>
  <c r="F201" i="4" s="1"/>
  <c r="D193" i="4"/>
  <c r="D185" i="4"/>
  <c r="F185" i="4" s="1"/>
  <c r="D177" i="4"/>
  <c r="F177" i="4" s="1"/>
  <c r="D169" i="4"/>
  <c r="F169" i="4" s="1"/>
  <c r="D161" i="4"/>
  <c r="D153" i="4"/>
  <c r="D145" i="4"/>
  <c r="D137" i="4"/>
  <c r="D129" i="4"/>
  <c r="D121" i="4"/>
  <c r="F121" i="4" s="1"/>
  <c r="D113" i="4"/>
  <c r="D105" i="4"/>
  <c r="D97" i="4"/>
  <c r="F97" i="4" s="1"/>
  <c r="D89" i="4"/>
  <c r="D83" i="4"/>
  <c r="F83" i="4" s="1"/>
  <c r="D76" i="4"/>
  <c r="F76" i="4" s="1"/>
  <c r="D68" i="4"/>
  <c r="F68" i="4" s="1"/>
  <c r="D60" i="4"/>
  <c r="D52" i="4"/>
  <c r="D44" i="4"/>
  <c r="F44" i="4" s="1"/>
  <c r="D36" i="4"/>
  <c r="D28" i="4"/>
  <c r="D20" i="4"/>
  <c r="F20" i="4" s="1"/>
  <c r="D643" i="4"/>
  <c r="F643" i="4" s="1"/>
  <c r="D635" i="4"/>
  <c r="F635" i="4" s="1"/>
  <c r="D619" i="4"/>
  <c r="D612" i="4"/>
  <c r="D604" i="4"/>
  <c r="F604" i="4" s="1"/>
  <c r="D596" i="4"/>
  <c r="F596" i="4" s="1"/>
  <c r="D588" i="4"/>
  <c r="F588" i="4" s="1"/>
  <c r="D580" i="4"/>
  <c r="D572" i="4"/>
  <c r="D564" i="4"/>
  <c r="D556" i="4"/>
  <c r="D527" i="4"/>
  <c r="D520" i="4"/>
  <c r="D512" i="4"/>
  <c r="D504" i="4"/>
  <c r="D496" i="4"/>
  <c r="F496" i="4" s="1"/>
  <c r="D488" i="4"/>
  <c r="F488" i="4" s="1"/>
  <c r="D480" i="4"/>
  <c r="F480" i="4" s="1"/>
  <c r="D473" i="4"/>
  <c r="D465" i="4"/>
  <c r="F465" i="4" s="1"/>
  <c r="D458" i="4"/>
  <c r="F458" i="4" s="1"/>
  <c r="D451" i="4"/>
  <c r="F451" i="4" s="1"/>
  <c r="D444" i="4"/>
  <c r="F444" i="4" s="1"/>
  <c r="D436" i="4"/>
  <c r="F436" i="4" s="1"/>
  <c r="D421" i="4"/>
  <c r="F421" i="4" s="1"/>
  <c r="D413" i="4"/>
  <c r="D405" i="4"/>
  <c r="F405" i="4" s="1"/>
  <c r="D397" i="4"/>
  <c r="F397" i="4" s="1"/>
  <c r="D389" i="4"/>
  <c r="F389" i="4" s="1"/>
  <c r="D381" i="4"/>
  <c r="D374" i="4"/>
  <c r="D366" i="4"/>
  <c r="F366" i="4" s="1"/>
  <c r="D358" i="4"/>
  <c r="F358" i="4" s="1"/>
  <c r="D350" i="4"/>
  <c r="F350" i="4" s="1"/>
  <c r="D342" i="4"/>
  <c r="F342" i="4" s="1"/>
  <c r="D335" i="4"/>
  <c r="D327" i="4"/>
  <c r="D319" i="4"/>
  <c r="D311" i="4"/>
  <c r="D303" i="4"/>
  <c r="F303" i="4" s="1"/>
  <c r="D295" i="4"/>
  <c r="D287" i="4"/>
  <c r="D279" i="4"/>
  <c r="D271" i="4"/>
  <c r="D263" i="4"/>
  <c r="F263" i="4" s="1"/>
  <c r="D248" i="4"/>
  <c r="F248" i="4" s="1"/>
  <c r="D240" i="4"/>
  <c r="D232" i="4"/>
  <c r="F232" i="4" s="1"/>
  <c r="D224" i="4"/>
  <c r="F224" i="4" s="1"/>
  <c r="D216" i="4"/>
  <c r="D208" i="4"/>
  <c r="F208" i="4" s="1"/>
  <c r="D200" i="4"/>
  <c r="D192" i="4"/>
  <c r="D184" i="4"/>
  <c r="D176" i="4"/>
  <c r="F176" i="4" s="1"/>
  <c r="D168" i="4"/>
  <c r="F168" i="4" s="1"/>
  <c r="D160" i="4"/>
  <c r="D152" i="4"/>
  <c r="D144" i="4"/>
  <c r="F144" i="4" s="1"/>
  <c r="D136" i="4"/>
  <c r="D128" i="4"/>
  <c r="F128" i="4" s="1"/>
  <c r="D120" i="4"/>
  <c r="D112" i="4"/>
  <c r="F112" i="4" s="1"/>
  <c r="D104" i="4"/>
  <c r="F104" i="4" s="1"/>
  <c r="D96" i="4"/>
  <c r="D82" i="4"/>
  <c r="F82" i="4" s="1"/>
  <c r="D75" i="4"/>
  <c r="F75" i="4" s="1"/>
  <c r="D67" i="4"/>
  <c r="D59" i="4"/>
  <c r="D51" i="4"/>
  <c r="D43" i="4"/>
  <c r="F43" i="4" s="1"/>
  <c r="D35" i="4"/>
  <c r="F35" i="4" s="1"/>
  <c r="D27" i="4"/>
  <c r="F27" i="4" s="1"/>
  <c r="D19" i="4"/>
  <c r="G46" i="6"/>
  <c r="G47" i="6" s="1"/>
  <c r="D657" i="4"/>
  <c r="D650" i="4"/>
  <c r="F650" i="4" s="1"/>
  <c r="D642" i="4"/>
  <c r="D634" i="4"/>
  <c r="F634" i="4" s="1"/>
  <c r="D626" i="4"/>
  <c r="D618" i="4"/>
  <c r="D611" i="4"/>
  <c r="F611" i="4" s="1"/>
  <c r="D603" i="4"/>
  <c r="D595" i="4"/>
  <c r="F595" i="4" s="1"/>
  <c r="D587" i="4"/>
  <c r="D579" i="4"/>
  <c r="F579" i="4" s="1"/>
  <c r="D571" i="4"/>
  <c r="D563" i="4"/>
  <c r="F563" i="4" s="1"/>
  <c r="D555" i="4"/>
  <c r="D526" i="4"/>
  <c r="D519" i="4"/>
  <c r="D511" i="4"/>
  <c r="D503" i="4"/>
  <c r="F503" i="4" s="1"/>
  <c r="D495" i="4"/>
  <c r="D487" i="4"/>
  <c r="D479" i="4"/>
  <c r="D472" i="4"/>
  <c r="F472" i="4" s="1"/>
  <c r="D464" i="4"/>
  <c r="F464" i="4" s="1"/>
  <c r="D450" i="4"/>
  <c r="D443" i="4"/>
  <c r="D435" i="4"/>
  <c r="D420" i="4"/>
  <c r="F420" i="4" s="1"/>
  <c r="D412" i="4"/>
  <c r="F412" i="4" s="1"/>
  <c r="D404" i="4"/>
  <c r="F404" i="4" s="1"/>
  <c r="D396" i="4"/>
  <c r="D388" i="4"/>
  <c r="D380" i="4"/>
  <c r="F380" i="4" s="1"/>
  <c r="D373" i="4"/>
  <c r="D365" i="4"/>
  <c r="F365" i="4" s="1"/>
  <c r="D357" i="4"/>
  <c r="D349" i="4"/>
  <c r="D341" i="4"/>
  <c r="D334" i="4"/>
  <c r="F334" i="4" s="1"/>
  <c r="D326" i="4"/>
  <c r="F326" i="4" s="1"/>
  <c r="D318" i="4"/>
  <c r="F318" i="4" s="1"/>
  <c r="D310" i="4"/>
  <c r="D302" i="4"/>
  <c r="F302" i="4" s="1"/>
  <c r="D294" i="4"/>
  <c r="D286" i="4"/>
  <c r="F286" i="4" s="1"/>
  <c r="D278" i="4"/>
  <c r="F278" i="4" s="1"/>
  <c r="D270" i="4"/>
  <c r="F270" i="4" s="1"/>
  <c r="D262" i="4"/>
  <c r="F262" i="4" s="1"/>
  <c r="D255" i="4"/>
  <c r="F255" i="4" s="1"/>
  <c r="D247" i="4"/>
  <c r="D239" i="4"/>
  <c r="D231" i="4"/>
  <c r="D223" i="4"/>
  <c r="F223" i="4" s="1"/>
  <c r="D215" i="4"/>
  <c r="D207" i="4"/>
  <c r="D199" i="4"/>
  <c r="D191" i="4"/>
  <c r="D183" i="4"/>
  <c r="D175" i="4"/>
  <c r="D167" i="4"/>
  <c r="F167" i="4" s="1"/>
  <c r="D159" i="4"/>
  <c r="F159" i="4" s="1"/>
  <c r="D151" i="4"/>
  <c r="D143" i="4"/>
  <c r="F143" i="4" s="1"/>
  <c r="D135" i="4"/>
  <c r="D127" i="4"/>
  <c r="D119" i="4"/>
  <c r="F119" i="4" s="1"/>
  <c r="D111" i="4"/>
  <c r="F111" i="4" s="1"/>
  <c r="D103" i="4"/>
  <c r="F103" i="4" s="1"/>
  <c r="D95" i="4"/>
  <c r="F95" i="4" s="1"/>
  <c r="D88" i="4"/>
  <c r="F88" i="4" s="1"/>
  <c r="D74" i="4"/>
  <c r="D66" i="4"/>
  <c r="D58" i="4"/>
  <c r="F58" i="4" s="1"/>
  <c r="D50" i="4"/>
  <c r="D42" i="4"/>
  <c r="D34" i="4"/>
  <c r="D26" i="4"/>
  <c r="F26" i="4" s="1"/>
  <c r="D18" i="4"/>
  <c r="F18" i="4" s="1"/>
  <c r="D174" i="4"/>
  <c r="D166" i="4"/>
  <c r="F166" i="4" s="1"/>
  <c r="D158" i="4"/>
  <c r="F158" i="4" s="1"/>
  <c r="D150" i="4"/>
  <c r="D142" i="4"/>
  <c r="D134" i="4"/>
  <c r="D126" i="4"/>
  <c r="D118" i="4"/>
  <c r="D110" i="4"/>
  <c r="D102" i="4"/>
  <c r="F102" i="4" s="1"/>
  <c r="D94" i="4"/>
  <c r="F94" i="4" s="1"/>
  <c r="D81" i="4"/>
  <c r="D73" i="4"/>
  <c r="D65" i="4"/>
  <c r="F65" i="4" s="1"/>
  <c r="D57" i="4"/>
  <c r="D49" i="4"/>
  <c r="F49" i="4" s="1"/>
  <c r="D41" i="4"/>
  <c r="F41" i="4" s="1"/>
  <c r="D33" i="4"/>
  <c r="D25" i="4"/>
  <c r="F25" i="4" s="1"/>
  <c r="D17" i="4"/>
  <c r="E170" i="4"/>
  <c r="AI6" i="5"/>
  <c r="AQ6" i="5" s="1"/>
  <c r="AE6" i="5"/>
  <c r="AM6" i="5" s="1"/>
  <c r="AA5" i="5" a="1"/>
  <c r="AA5" i="5" s="1"/>
  <c r="AB5" i="5" s="1"/>
  <c r="AE5" i="5"/>
  <c r="AM5" i="5" s="1"/>
  <c r="AA6" i="5" a="1"/>
  <c r="AA6" i="5" s="1"/>
  <c r="AB6" i="5" s="1"/>
  <c r="AC6" i="5" s="1"/>
  <c r="AK6" i="5" s="1"/>
  <c r="AS6" i="5" s="1"/>
  <c r="J5" i="4"/>
  <c r="D627" i="4"/>
  <c r="F627" i="4" s="1"/>
  <c r="C2516" i="4" a="1"/>
  <c r="E33" i="4" l="1"/>
  <c r="F33" i="4"/>
  <c r="E413" i="4"/>
  <c r="F413" i="4"/>
  <c r="E129" i="4"/>
  <c r="F129" i="4"/>
  <c r="E390" i="4"/>
  <c r="F390" i="4"/>
  <c r="E69" i="4"/>
  <c r="F69" i="4"/>
  <c r="E204" i="4"/>
  <c r="F204" i="4"/>
  <c r="E623" i="4"/>
  <c r="F623" i="4"/>
  <c r="E802" i="4"/>
  <c r="F802" i="4"/>
  <c r="E867" i="4"/>
  <c r="F867" i="4"/>
  <c r="E647" i="4"/>
  <c r="F647" i="4"/>
  <c r="E157" i="4"/>
  <c r="F157" i="4"/>
  <c r="E1485" i="4"/>
  <c r="F1485" i="4"/>
  <c r="E110" i="4"/>
  <c r="F110" i="4"/>
  <c r="E174" i="4"/>
  <c r="F174" i="4"/>
  <c r="E74" i="4"/>
  <c r="F74" i="4"/>
  <c r="E207" i="4"/>
  <c r="F207" i="4"/>
  <c r="E396" i="4"/>
  <c r="F396" i="4"/>
  <c r="E555" i="4"/>
  <c r="F555" i="4"/>
  <c r="E618" i="4"/>
  <c r="F618" i="4"/>
  <c r="E96" i="4"/>
  <c r="F96" i="4"/>
  <c r="E160" i="4"/>
  <c r="F160" i="4"/>
  <c r="E295" i="4"/>
  <c r="F295" i="4"/>
  <c r="E572" i="4"/>
  <c r="F572" i="4"/>
  <c r="E137" i="4"/>
  <c r="F137" i="4"/>
  <c r="E264" i="4"/>
  <c r="F264" i="4"/>
  <c r="E398" i="4"/>
  <c r="F398" i="4"/>
  <c r="E535" i="4"/>
  <c r="F535" i="4"/>
  <c r="E597" i="4"/>
  <c r="F597" i="4"/>
  <c r="E77" i="4"/>
  <c r="F77" i="4"/>
  <c r="E138" i="4"/>
  <c r="F138" i="4"/>
  <c r="E124" i="4"/>
  <c r="F124" i="4"/>
  <c r="E212" i="4"/>
  <c r="F212" i="4"/>
  <c r="E299" i="4"/>
  <c r="F299" i="4"/>
  <c r="E377" i="4"/>
  <c r="F377" i="4"/>
  <c r="E461" i="4"/>
  <c r="F461" i="4"/>
  <c r="E545" i="4"/>
  <c r="F545" i="4"/>
  <c r="E631" i="4"/>
  <c r="F631" i="4"/>
  <c r="E540" i="4"/>
  <c r="F540" i="4"/>
  <c r="E715" i="4"/>
  <c r="F715" i="4"/>
  <c r="E810" i="4"/>
  <c r="F810" i="4"/>
  <c r="E653" i="4"/>
  <c r="F653" i="4"/>
  <c r="E756" i="4"/>
  <c r="F756" i="4"/>
  <c r="E875" i="4"/>
  <c r="F875" i="4"/>
  <c r="E463" i="4"/>
  <c r="F463" i="4"/>
  <c r="E614" i="4"/>
  <c r="F614" i="4"/>
  <c r="E155" i="4"/>
  <c r="F155" i="4"/>
  <c r="E662" i="4"/>
  <c r="F662" i="4"/>
  <c r="E933" i="4"/>
  <c r="F933" i="4"/>
  <c r="E347" i="4"/>
  <c r="F347" i="4"/>
  <c r="E687" i="4"/>
  <c r="F687" i="4"/>
  <c r="E1168" i="4"/>
  <c r="F1168" i="4"/>
  <c r="E1172" i="4"/>
  <c r="F1172" i="4"/>
  <c r="E193" i="4"/>
  <c r="F193" i="4"/>
  <c r="E589" i="4"/>
  <c r="F589" i="4"/>
  <c r="E748" i="4"/>
  <c r="F748" i="4"/>
  <c r="E131" i="4"/>
  <c r="F131" i="4"/>
  <c r="E679" i="4"/>
  <c r="F679" i="4"/>
  <c r="E215" i="4"/>
  <c r="F215" i="4"/>
  <c r="E580" i="4"/>
  <c r="F580" i="4"/>
  <c r="E145" i="4"/>
  <c r="F145" i="4"/>
  <c r="E209" i="4"/>
  <c r="F209" i="4"/>
  <c r="E272" i="4"/>
  <c r="F272" i="4"/>
  <c r="E406" i="4"/>
  <c r="F406" i="4"/>
  <c r="E542" i="4"/>
  <c r="F542" i="4"/>
  <c r="E21" i="4"/>
  <c r="F21" i="4"/>
  <c r="E84" i="4"/>
  <c r="F84" i="4"/>
  <c r="E146" i="4"/>
  <c r="F146" i="4"/>
  <c r="E210" i="4"/>
  <c r="F210" i="4"/>
  <c r="E140" i="4"/>
  <c r="F140" i="4"/>
  <c r="E307" i="4"/>
  <c r="F307" i="4"/>
  <c r="E552" i="4"/>
  <c r="F552" i="4"/>
  <c r="E391" i="4"/>
  <c r="F391" i="4"/>
  <c r="E731" i="4"/>
  <c r="F731" i="4"/>
  <c r="E337" i="4"/>
  <c r="F337" i="4"/>
  <c r="E779" i="4"/>
  <c r="F779" i="4"/>
  <c r="E883" i="4"/>
  <c r="F883" i="4"/>
  <c r="E290" i="4"/>
  <c r="F290" i="4"/>
  <c r="E163" i="4"/>
  <c r="F163" i="4"/>
  <c r="E410" i="4"/>
  <c r="F410" i="4"/>
  <c r="E678" i="4"/>
  <c r="F678" i="4"/>
  <c r="E957" i="4"/>
  <c r="F957" i="4"/>
  <c r="E695" i="4"/>
  <c r="F695" i="4"/>
  <c r="E237" i="4"/>
  <c r="F237" i="4"/>
  <c r="E1253" i="4"/>
  <c r="F1253" i="4"/>
  <c r="E460" i="4"/>
  <c r="F460" i="4"/>
  <c r="E66" i="4"/>
  <c r="F66" i="4"/>
  <c r="E388" i="4"/>
  <c r="F388" i="4"/>
  <c r="E152" i="4"/>
  <c r="F152" i="4"/>
  <c r="E116" i="4"/>
  <c r="F116" i="4"/>
  <c r="E455" i="4"/>
  <c r="F455" i="4"/>
  <c r="E433" i="4"/>
  <c r="F433" i="4"/>
  <c r="E341" i="4"/>
  <c r="F341" i="4"/>
  <c r="E479" i="4"/>
  <c r="F479" i="4"/>
  <c r="E626" i="4"/>
  <c r="F626" i="4"/>
  <c r="E126" i="4"/>
  <c r="F126" i="4"/>
  <c r="E349" i="4"/>
  <c r="F349" i="4"/>
  <c r="E487" i="4"/>
  <c r="F487" i="4"/>
  <c r="E571" i="4"/>
  <c r="F571" i="4"/>
  <c r="E240" i="4"/>
  <c r="F240" i="4"/>
  <c r="E311" i="4"/>
  <c r="F311" i="4"/>
  <c r="E374" i="4"/>
  <c r="F374" i="4"/>
  <c r="E504" i="4"/>
  <c r="F504" i="4"/>
  <c r="E28" i="4"/>
  <c r="F28" i="4"/>
  <c r="E89" i="4"/>
  <c r="F89" i="4"/>
  <c r="E153" i="4"/>
  <c r="F153" i="4"/>
  <c r="E217" i="4"/>
  <c r="F217" i="4"/>
  <c r="E343" i="4"/>
  <c r="F343" i="4"/>
  <c r="E481" i="4"/>
  <c r="F481" i="4"/>
  <c r="E549" i="4"/>
  <c r="F549" i="4"/>
  <c r="E29" i="4"/>
  <c r="F29" i="4"/>
  <c r="E154" i="4"/>
  <c r="F154" i="4"/>
  <c r="E71" i="4"/>
  <c r="F71" i="4"/>
  <c r="E236" i="4"/>
  <c r="F236" i="4"/>
  <c r="E315" i="4"/>
  <c r="F315" i="4"/>
  <c r="E401" i="4"/>
  <c r="F401" i="4"/>
  <c r="E484" i="4"/>
  <c r="F484" i="4"/>
  <c r="E407" i="4"/>
  <c r="F407" i="4"/>
  <c r="E739" i="4"/>
  <c r="F739" i="4"/>
  <c r="E842" i="4"/>
  <c r="F842" i="4"/>
  <c r="E344" i="4"/>
  <c r="F344" i="4"/>
  <c r="E493" i="4"/>
  <c r="F493" i="4"/>
  <c r="E795" i="4"/>
  <c r="F795" i="4"/>
  <c r="E923" i="4"/>
  <c r="F923" i="4"/>
  <c r="E661" i="4"/>
  <c r="F661" i="4"/>
  <c r="E171" i="4"/>
  <c r="F171" i="4"/>
  <c r="E718" i="4"/>
  <c r="F718" i="4"/>
  <c r="E845" i="4"/>
  <c r="F845" i="4"/>
  <c r="E979" i="4"/>
  <c r="F979" i="4"/>
  <c r="E285" i="4"/>
  <c r="F285" i="4"/>
  <c r="E780" i="4"/>
  <c r="F780" i="4"/>
  <c r="E1116" i="4"/>
  <c r="F1116" i="4"/>
  <c r="E1219" i="4"/>
  <c r="F1219" i="4"/>
  <c r="E515" i="4"/>
  <c r="F515" i="4"/>
  <c r="E1141" i="4"/>
  <c r="F1141" i="4"/>
  <c r="E199" i="4"/>
  <c r="F199" i="4"/>
  <c r="E287" i="4"/>
  <c r="F287" i="4"/>
  <c r="E291" i="4"/>
  <c r="F291" i="4"/>
  <c r="E538" i="4"/>
  <c r="F538" i="4"/>
  <c r="E691" i="4"/>
  <c r="F691" i="4"/>
  <c r="E629" i="4"/>
  <c r="F629" i="4"/>
  <c r="E847" i="4"/>
  <c r="F847" i="4"/>
  <c r="E118" i="4"/>
  <c r="F118" i="4"/>
  <c r="E57" i="4"/>
  <c r="F57" i="4"/>
  <c r="E134" i="4"/>
  <c r="F134" i="4"/>
  <c r="E34" i="4"/>
  <c r="F34" i="4"/>
  <c r="E231" i="4"/>
  <c r="F231" i="4"/>
  <c r="E294" i="4"/>
  <c r="F294" i="4"/>
  <c r="E357" i="4"/>
  <c r="F357" i="4"/>
  <c r="E495" i="4"/>
  <c r="F495" i="4"/>
  <c r="E642" i="4"/>
  <c r="F642" i="4"/>
  <c r="E51" i="4"/>
  <c r="F51" i="4"/>
  <c r="E120" i="4"/>
  <c r="F120" i="4"/>
  <c r="E184" i="4"/>
  <c r="F184" i="4"/>
  <c r="E319" i="4"/>
  <c r="F319" i="4"/>
  <c r="E381" i="4"/>
  <c r="F381" i="4"/>
  <c r="E512" i="4"/>
  <c r="F512" i="4"/>
  <c r="E36" i="4"/>
  <c r="F36" i="4"/>
  <c r="E161" i="4"/>
  <c r="F161" i="4"/>
  <c r="E288" i="4"/>
  <c r="F288" i="4"/>
  <c r="E351" i="4"/>
  <c r="F351" i="4"/>
  <c r="E489" i="4"/>
  <c r="F489" i="4"/>
  <c r="E557" i="4"/>
  <c r="F557" i="4"/>
  <c r="E98" i="4"/>
  <c r="F98" i="4"/>
  <c r="E164" i="4"/>
  <c r="F164" i="4"/>
  <c r="E244" i="4"/>
  <c r="F244" i="4"/>
  <c r="E331" i="4"/>
  <c r="F331" i="4"/>
  <c r="E40" i="4"/>
  <c r="F40" i="4"/>
  <c r="E747" i="4"/>
  <c r="F747" i="4"/>
  <c r="E811" i="4"/>
  <c r="F811" i="4"/>
  <c r="E931" i="4"/>
  <c r="F931" i="4"/>
  <c r="E306" i="4"/>
  <c r="F306" i="4"/>
  <c r="E502" i="4"/>
  <c r="F502" i="4"/>
  <c r="E685" i="4"/>
  <c r="F685" i="4"/>
  <c r="E195" i="4"/>
  <c r="F195" i="4"/>
  <c r="E551" i="4"/>
  <c r="F551" i="4"/>
  <c r="E726" i="4"/>
  <c r="F726" i="4"/>
  <c r="E268" i="4"/>
  <c r="F268" i="4"/>
  <c r="E411" i="4"/>
  <c r="F411" i="4"/>
  <c r="E767" i="4"/>
  <c r="F767" i="4"/>
  <c r="E293" i="4"/>
  <c r="F293" i="4"/>
  <c r="E844" i="4"/>
  <c r="F844" i="4"/>
  <c r="E980" i="4"/>
  <c r="F980" i="4"/>
  <c r="E1264" i="4"/>
  <c r="F1264" i="4"/>
  <c r="E73" i="4"/>
  <c r="F73" i="4"/>
  <c r="E142" i="4"/>
  <c r="F142" i="4"/>
  <c r="E42" i="4"/>
  <c r="F42" i="4"/>
  <c r="E175" i="4"/>
  <c r="F175" i="4"/>
  <c r="E239" i="4"/>
  <c r="F239" i="4"/>
  <c r="E435" i="4"/>
  <c r="F435" i="4"/>
  <c r="E587" i="4"/>
  <c r="F587" i="4"/>
  <c r="E59" i="4"/>
  <c r="F59" i="4"/>
  <c r="E192" i="4"/>
  <c r="F192" i="4"/>
  <c r="E327" i="4"/>
  <c r="F327" i="4"/>
  <c r="E520" i="4"/>
  <c r="F520" i="4"/>
  <c r="E105" i="4"/>
  <c r="F105" i="4"/>
  <c r="E233" i="4"/>
  <c r="F233" i="4"/>
  <c r="E296" i="4"/>
  <c r="F296" i="4"/>
  <c r="E497" i="4"/>
  <c r="F497" i="4"/>
  <c r="E565" i="4"/>
  <c r="F565" i="4"/>
  <c r="E45" i="4"/>
  <c r="F45" i="4"/>
  <c r="E106" i="4"/>
  <c r="F106" i="4"/>
  <c r="E172" i="4"/>
  <c r="F172" i="4"/>
  <c r="E339" i="4"/>
  <c r="F339" i="4"/>
  <c r="E425" i="4"/>
  <c r="F425" i="4"/>
  <c r="E500" i="4"/>
  <c r="F500" i="4"/>
  <c r="E584" i="4"/>
  <c r="F584" i="4"/>
  <c r="E423" i="4"/>
  <c r="F423" i="4"/>
  <c r="E755" i="4"/>
  <c r="F755" i="4"/>
  <c r="E265" i="4"/>
  <c r="F265" i="4"/>
  <c r="E525" i="4"/>
  <c r="F525" i="4"/>
  <c r="E716" i="4"/>
  <c r="F716" i="4"/>
  <c r="E819" i="4"/>
  <c r="F819" i="4"/>
  <c r="E314" i="4"/>
  <c r="F314" i="4"/>
  <c r="E211" i="4"/>
  <c r="F211" i="4"/>
  <c r="E567" i="4"/>
  <c r="F567" i="4"/>
  <c r="E734" i="4"/>
  <c r="F734" i="4"/>
  <c r="E861" i="4"/>
  <c r="F861" i="4"/>
  <c r="E536" i="4"/>
  <c r="F536" i="4"/>
  <c r="E790" i="4"/>
  <c r="F790" i="4"/>
  <c r="E852" i="4"/>
  <c r="F852" i="4"/>
  <c r="E1099" i="4"/>
  <c r="F1099" i="4"/>
  <c r="E135" i="4"/>
  <c r="F135" i="4"/>
  <c r="E526" i="4"/>
  <c r="F526" i="4"/>
  <c r="E216" i="4"/>
  <c r="F216" i="4"/>
  <c r="E564" i="4"/>
  <c r="F564" i="4"/>
  <c r="E320" i="4"/>
  <c r="F320" i="4"/>
  <c r="E462" i="4"/>
  <c r="F462" i="4"/>
  <c r="E590" i="4"/>
  <c r="F590" i="4"/>
  <c r="E789" i="4"/>
  <c r="F789" i="4"/>
  <c r="E81" i="4"/>
  <c r="F81" i="4"/>
  <c r="E150" i="4"/>
  <c r="F150" i="4"/>
  <c r="E50" i="4"/>
  <c r="F50" i="4"/>
  <c r="E183" i="4"/>
  <c r="F183" i="4"/>
  <c r="E247" i="4"/>
  <c r="F247" i="4"/>
  <c r="E310" i="4"/>
  <c r="F310" i="4"/>
  <c r="E373" i="4"/>
  <c r="F373" i="4"/>
  <c r="E443" i="4"/>
  <c r="F443" i="4"/>
  <c r="E511" i="4"/>
  <c r="F511" i="4"/>
  <c r="E657" i="4"/>
  <c r="F657" i="4"/>
  <c r="E67" i="4"/>
  <c r="F67" i="4"/>
  <c r="E136" i="4"/>
  <c r="F136" i="4"/>
  <c r="E200" i="4"/>
  <c r="F200" i="4"/>
  <c r="E271" i="4"/>
  <c r="F271" i="4"/>
  <c r="E335" i="4"/>
  <c r="F335" i="4"/>
  <c r="E527" i="4"/>
  <c r="F527" i="4"/>
  <c r="E612" i="4"/>
  <c r="F612" i="4"/>
  <c r="E52" i="4"/>
  <c r="F52" i="4"/>
  <c r="E113" i="4"/>
  <c r="F113" i="4"/>
  <c r="E505" i="4"/>
  <c r="F505" i="4"/>
  <c r="E573" i="4"/>
  <c r="F573" i="4"/>
  <c r="E53" i="4"/>
  <c r="F53" i="4"/>
  <c r="E114" i="4"/>
  <c r="F114" i="4"/>
  <c r="E23" i="4"/>
  <c r="F23" i="4"/>
  <c r="E100" i="4"/>
  <c r="F100" i="4"/>
  <c r="E267" i="4"/>
  <c r="F267" i="4"/>
  <c r="E516" i="4"/>
  <c r="F516" i="4"/>
  <c r="E64" i="4"/>
  <c r="F64" i="4"/>
  <c r="E675" i="4"/>
  <c r="F675" i="4"/>
  <c r="E273" i="4"/>
  <c r="F273" i="4"/>
  <c r="E613" i="4"/>
  <c r="F613" i="4"/>
  <c r="E947" i="4"/>
  <c r="F947" i="4"/>
  <c r="E353" i="4"/>
  <c r="F353" i="4"/>
  <c r="E91" i="4"/>
  <c r="F91" i="4"/>
  <c r="E575" i="4"/>
  <c r="F575" i="4"/>
  <c r="E742" i="4"/>
  <c r="F742" i="4"/>
  <c r="E316" i="4"/>
  <c r="F316" i="4"/>
  <c r="E616" i="4"/>
  <c r="F616" i="4"/>
  <c r="E806" i="4"/>
  <c r="F806" i="4"/>
  <c r="E2464" i="4"/>
  <c r="F2464" i="4"/>
  <c r="E940" i="4"/>
  <c r="F940" i="4"/>
  <c r="E1130" i="4"/>
  <c r="F1130" i="4"/>
  <c r="E816" i="4"/>
  <c r="F816" i="4"/>
  <c r="E849" i="4"/>
  <c r="F849" i="4"/>
  <c r="E19" i="4"/>
  <c r="F19" i="4"/>
  <c r="E370" i="4"/>
  <c r="F370" i="4"/>
  <c r="E532" i="4"/>
  <c r="F532" i="4"/>
  <c r="E944" i="4"/>
  <c r="F944" i="4"/>
  <c r="E151" i="4"/>
  <c r="F151" i="4"/>
  <c r="E17" i="4"/>
  <c r="F17" i="4"/>
  <c r="E127" i="4"/>
  <c r="F127" i="4"/>
  <c r="E191" i="4"/>
  <c r="F191" i="4"/>
  <c r="E450" i="4"/>
  <c r="F450" i="4"/>
  <c r="E519" i="4"/>
  <c r="F519" i="4"/>
  <c r="E603" i="4"/>
  <c r="F603" i="4"/>
  <c r="E279" i="4"/>
  <c r="F279" i="4"/>
  <c r="E473" i="4"/>
  <c r="F473" i="4"/>
  <c r="E556" i="4"/>
  <c r="F556" i="4"/>
  <c r="E619" i="4"/>
  <c r="F619" i="4"/>
  <c r="E60" i="4"/>
  <c r="F60" i="4"/>
  <c r="E249" i="4"/>
  <c r="F249" i="4"/>
  <c r="E312" i="4"/>
  <c r="F312" i="4"/>
  <c r="E513" i="4"/>
  <c r="F513" i="4"/>
  <c r="E581" i="4"/>
  <c r="F581" i="4"/>
  <c r="E61" i="4"/>
  <c r="F61" i="4"/>
  <c r="E108" i="4"/>
  <c r="F108" i="4"/>
  <c r="E188" i="4"/>
  <c r="F188" i="4"/>
  <c r="E275" i="4"/>
  <c r="F275" i="4"/>
  <c r="E362" i="4"/>
  <c r="F362" i="4"/>
  <c r="E608" i="4"/>
  <c r="F608" i="4"/>
  <c r="E72" i="4"/>
  <c r="F72" i="4"/>
  <c r="E454" i="4"/>
  <c r="F454" i="4"/>
  <c r="E683" i="4"/>
  <c r="F683" i="4"/>
  <c r="E794" i="4"/>
  <c r="F794" i="4"/>
  <c r="E281" i="4"/>
  <c r="F281" i="4"/>
  <c r="E621" i="4"/>
  <c r="F621" i="4"/>
  <c r="E859" i="4"/>
  <c r="F859" i="4"/>
  <c r="E969" i="4"/>
  <c r="F969" i="4"/>
  <c r="E369" i="4"/>
  <c r="F369" i="4"/>
  <c r="E99" i="4"/>
  <c r="F99" i="4"/>
  <c r="E599" i="4"/>
  <c r="F599" i="4"/>
  <c r="E766" i="4"/>
  <c r="F766" i="4"/>
  <c r="E324" i="4"/>
  <c r="F324" i="4"/>
  <c r="E640" i="4"/>
  <c r="F640" i="4"/>
  <c r="E109" i="4"/>
  <c r="F109" i="4"/>
  <c r="E585" i="4"/>
  <c r="F585" i="4"/>
  <c r="E1039" i="4"/>
  <c r="F1039" i="4"/>
  <c r="E490" i="4"/>
  <c r="F490" i="4"/>
  <c r="E252" i="4"/>
  <c r="E853" i="4"/>
  <c r="E300" i="4"/>
  <c r="E86" i="4"/>
  <c r="E939" i="4"/>
  <c r="E701" i="4"/>
  <c r="E372" i="4"/>
  <c r="E566" i="4"/>
  <c r="E667" i="4"/>
  <c r="E56" i="4"/>
  <c r="E1650" i="4"/>
  <c r="E384" i="4"/>
  <c r="E1367" i="4"/>
  <c r="E37" i="4"/>
  <c r="E843" i="4"/>
  <c r="E577" i="4"/>
  <c r="E227" i="4"/>
  <c r="E778" i="4"/>
  <c r="E893" i="4"/>
  <c r="E429" i="4"/>
  <c r="E397" i="4"/>
  <c r="E241" i="4"/>
  <c r="E79" i="4"/>
  <c r="E415" i="4"/>
  <c r="E451" i="4"/>
  <c r="E257" i="4"/>
  <c r="E501" i="4"/>
  <c r="E2136" i="4"/>
  <c r="E368" i="4"/>
  <c r="E492" i="4"/>
  <c r="E162" i="4"/>
  <c r="E225" i="4"/>
  <c r="E248" i="4"/>
  <c r="E576" i="4"/>
  <c r="E732" i="4"/>
  <c r="E304" i="4"/>
  <c r="E180" i="4"/>
  <c r="E178" i="4"/>
  <c r="E354" i="4"/>
  <c r="E432" i="4"/>
  <c r="E465" i="4"/>
  <c r="E1462" i="4"/>
  <c r="E2139" i="4"/>
  <c r="E431" i="4"/>
  <c r="E359" i="4"/>
  <c r="E128" i="4"/>
  <c r="E44" i="4"/>
  <c r="E604" i="4"/>
  <c r="E365" i="4"/>
  <c r="E111" i="4"/>
  <c r="E503" i="4"/>
  <c r="E458" i="4"/>
  <c r="E582" i="4"/>
  <c r="E1350" i="4"/>
  <c r="E523" i="4"/>
  <c r="E917" i="4"/>
  <c r="E378" i="4"/>
  <c r="E740" i="4"/>
  <c r="E595" i="4"/>
  <c r="E854" i="4"/>
  <c r="E185" i="4"/>
  <c r="E186" i="4"/>
  <c r="E382" i="4"/>
  <c r="E440" i="4"/>
  <c r="E122" i="4"/>
  <c r="E445" i="4"/>
  <c r="E39" i="4"/>
  <c r="E408" i="4"/>
  <c r="E1492" i="4"/>
  <c r="E121" i="4"/>
  <c r="E58" i="4"/>
  <c r="E177" i="4"/>
  <c r="E119" i="4"/>
  <c r="E389" i="4"/>
  <c r="E263" i="4"/>
  <c r="E650" i="4"/>
  <c r="E169" i="4"/>
  <c r="E380" i="4"/>
  <c r="E144" i="4"/>
  <c r="E403" i="4"/>
  <c r="E158" i="4"/>
  <c r="E32" i="4"/>
  <c r="E148" i="4"/>
  <c r="E302" i="4"/>
  <c r="E486" i="4"/>
  <c r="E90" i="4"/>
  <c r="E477" i="4"/>
  <c r="E65" i="4"/>
  <c r="E805" i="4"/>
  <c r="E358" i="4"/>
  <c r="E26" i="4"/>
  <c r="E412" i="4"/>
  <c r="E420" i="4"/>
  <c r="E76" i="4"/>
  <c r="E402" i="4"/>
  <c r="E886" i="4"/>
  <c r="E274" i="4"/>
  <c r="E720" i="4"/>
  <c r="E1476" i="4"/>
  <c r="E55" i="4"/>
  <c r="E25" i="4"/>
  <c r="E966" i="4"/>
  <c r="E165" i="4"/>
  <c r="E94" i="4"/>
  <c r="E596" i="4"/>
  <c r="E224" i="4"/>
  <c r="E652" i="4"/>
  <c r="E226" i="4"/>
  <c r="E201" i="4"/>
  <c r="E422" i="4"/>
  <c r="E684" i="4"/>
  <c r="E27" i="4"/>
  <c r="E383" i="4"/>
  <c r="E579" i="4"/>
  <c r="E97" i="4"/>
  <c r="E328" i="4"/>
  <c r="E167" i="4"/>
  <c r="E466" i="4"/>
  <c r="E643" i="4"/>
  <c r="E1291" i="4"/>
  <c r="E112" i="4"/>
  <c r="E63" i="4"/>
  <c r="E894" i="4"/>
  <c r="E405" i="4"/>
  <c r="E104" i="4"/>
  <c r="E20" i="4"/>
  <c r="E436" i="4"/>
  <c r="E474" i="4"/>
  <c r="E728" i="4"/>
  <c r="E387" i="4"/>
  <c r="E218" i="4"/>
  <c r="E298" i="4"/>
  <c r="E563" i="4"/>
  <c r="E1077" i="4"/>
  <c r="E334" i="4"/>
  <c r="E638" i="4"/>
  <c r="E280" i="4"/>
  <c r="E485" i="4"/>
  <c r="E478" i="4"/>
  <c r="E634" i="4"/>
  <c r="E588" i="4"/>
  <c r="E628" i="4"/>
  <c r="E414" i="4"/>
  <c r="E878" i="4"/>
  <c r="E47" i="4"/>
  <c r="E635" i="4"/>
  <c r="E664" i="4"/>
  <c r="E321" i="4"/>
  <c r="E332" i="4"/>
  <c r="E143" i="4"/>
  <c r="E103" i="4"/>
  <c r="E80" i="4"/>
  <c r="E130" i="4"/>
  <c r="E464" i="4"/>
  <c r="E102" i="4"/>
  <c r="E68" i="4"/>
  <c r="E88" i="4"/>
  <c r="E176" i="4"/>
  <c r="E350" i="4"/>
  <c r="E950" i="4"/>
  <c r="E611" i="4"/>
  <c r="E166" i="4"/>
  <c r="E270" i="4"/>
  <c r="E35" i="4"/>
  <c r="E262" i="4"/>
  <c r="E480" i="4"/>
  <c r="E476" i="4"/>
  <c r="E329" i="4"/>
  <c r="E194" i="4"/>
  <c r="F16" i="4"/>
  <c r="E18" i="4"/>
  <c r="E82" i="4"/>
  <c r="E256" i="4"/>
  <c r="E404" i="4"/>
  <c r="E751" i="4"/>
  <c r="E974" i="4"/>
  <c r="E925" i="4"/>
  <c r="E326" i="4"/>
  <c r="E202" i="4"/>
  <c r="E393" i="4"/>
  <c r="E560" i="4"/>
  <c r="E366" i="4"/>
  <c r="E168" i="4"/>
  <c r="E418" i="4"/>
  <c r="E242" i="4"/>
  <c r="E829" i="4"/>
  <c r="E394" i="4"/>
  <c r="E472" i="4"/>
  <c r="E49" i="4"/>
  <c r="E232" i="4"/>
  <c r="E496" i="4"/>
  <c r="E620" i="4"/>
  <c r="E818" i="4"/>
  <c r="E1053" i="4"/>
  <c r="E278" i="4"/>
  <c r="E336" i="4"/>
  <c r="E1352" i="4"/>
  <c r="E2351" i="4"/>
  <c r="D173" i="4"/>
  <c r="F173" i="4" s="1"/>
  <c r="D301" i="4"/>
  <c r="F301" i="4" s="1"/>
  <c r="D593" i="4"/>
  <c r="F593" i="4" s="1"/>
  <c r="D736" i="4"/>
  <c r="F736" i="4" s="1"/>
  <c r="D860" i="4"/>
  <c r="F860" i="4" s="1"/>
  <c r="D1067" i="4"/>
  <c r="F1067" i="4" s="1"/>
  <c r="D1277" i="4"/>
  <c r="F1277" i="4" s="1"/>
  <c r="D1217" i="4"/>
  <c r="F1217" i="4" s="1"/>
  <c r="D1507" i="4"/>
  <c r="D1210" i="4"/>
  <c r="F1210" i="4" s="1"/>
  <c r="D1580" i="4"/>
  <c r="F1580" i="4" s="1"/>
  <c r="D1005" i="4"/>
  <c r="F1005" i="4" s="1"/>
  <c r="D1360" i="4"/>
  <c r="F1360" i="4" s="1"/>
  <c r="D1028" i="4"/>
  <c r="F1028" i="4" s="1"/>
  <c r="D539" i="4"/>
  <c r="F539" i="4" s="1"/>
  <c r="D1339" i="4"/>
  <c r="F1339" i="4" s="1"/>
  <c r="D1777" i="4"/>
  <c r="F1777" i="4" s="1"/>
  <c r="D857" i="4"/>
  <c r="F857" i="4" s="1"/>
  <c r="D498" i="4"/>
  <c r="F498" i="4" s="1"/>
  <c r="D1613" i="4"/>
  <c r="F1613" i="4" s="1"/>
  <c r="D1424" i="4"/>
  <c r="F1424" i="4" s="1"/>
  <c r="D1282" i="4"/>
  <c r="F1282" i="4" s="1"/>
  <c r="D1356" i="4"/>
  <c r="F1356" i="4" s="1"/>
  <c r="D2190" i="4"/>
  <c r="F2190" i="4" s="1"/>
  <c r="D1528" i="4"/>
  <c r="F1528" i="4" s="1"/>
  <c r="D1578" i="4"/>
  <c r="F1578" i="4" s="1"/>
  <c r="D2025" i="4"/>
  <c r="F2025" i="4" s="1"/>
  <c r="D703" i="4"/>
  <c r="F703" i="4" s="1"/>
  <c r="D814" i="4"/>
  <c r="F814" i="4" s="1"/>
  <c r="D918" i="4"/>
  <c r="F918" i="4" s="1"/>
  <c r="D85" i="4"/>
  <c r="F85" i="4" s="1"/>
  <c r="D213" i="4"/>
  <c r="F213" i="4" s="1"/>
  <c r="D348" i="4"/>
  <c r="F348" i="4" s="1"/>
  <c r="D641" i="4"/>
  <c r="F641" i="4" s="1"/>
  <c r="D741" i="4"/>
  <c r="F741" i="4" s="1"/>
  <c r="D916" i="4"/>
  <c r="F916" i="4" s="1"/>
  <c r="D1129" i="4"/>
  <c r="F1129" i="4" s="1"/>
  <c r="D1341" i="4"/>
  <c r="F1341" i="4" s="1"/>
  <c r="D1225" i="4"/>
  <c r="F1225" i="4" s="1"/>
  <c r="D1595" i="4"/>
  <c r="F1595" i="4" s="1"/>
  <c r="D1240" i="4"/>
  <c r="F1240" i="4" s="1"/>
  <c r="D1588" i="4"/>
  <c r="F1588" i="4" s="1"/>
  <c r="D1093" i="4"/>
  <c r="F1093" i="4" s="1"/>
  <c r="D681" i="4"/>
  <c r="F681" i="4" s="1"/>
  <c r="D1035" i="4"/>
  <c r="F1035" i="4" s="1"/>
  <c r="D954" i="4"/>
  <c r="F954" i="4" s="1"/>
  <c r="D1347" i="4"/>
  <c r="F1347" i="4" s="1"/>
  <c r="D1824" i="4"/>
  <c r="F1824" i="4" s="1"/>
  <c r="D992" i="4"/>
  <c r="F992" i="4" s="1"/>
  <c r="D506" i="4"/>
  <c r="F506" i="4" s="1"/>
  <c r="D1621" i="4"/>
  <c r="F1621" i="4" s="1"/>
  <c r="D1550" i="4"/>
  <c r="F1550" i="4" s="1"/>
  <c r="D1338" i="4"/>
  <c r="F1338" i="4" s="1"/>
  <c r="D1364" i="4"/>
  <c r="D2385" i="4"/>
  <c r="F2385" i="4" s="1"/>
  <c r="D1616" i="4"/>
  <c r="F1616" i="4" s="1"/>
  <c r="D1594" i="4"/>
  <c r="F1594" i="4" s="1"/>
  <c r="D2242" i="4"/>
  <c r="F2242" i="4" s="1"/>
  <c r="D624" i="4"/>
  <c r="F624" i="4" s="1"/>
  <c r="D727" i="4"/>
  <c r="F727" i="4" s="1"/>
  <c r="D822" i="4"/>
  <c r="F822" i="4" s="1"/>
  <c r="D934" i="4"/>
  <c r="F934" i="4" s="1"/>
  <c r="D93" i="4"/>
  <c r="F93" i="4" s="1"/>
  <c r="D221" i="4"/>
  <c r="F221" i="4" s="1"/>
  <c r="D356" i="4"/>
  <c r="F356" i="4" s="1"/>
  <c r="D649" i="4"/>
  <c r="F649" i="4" s="1"/>
  <c r="D749" i="4"/>
  <c r="F749" i="4" s="1"/>
  <c r="D924" i="4"/>
  <c r="F924" i="4" s="1"/>
  <c r="D1144" i="4"/>
  <c r="F1144" i="4" s="1"/>
  <c r="D1349" i="4"/>
  <c r="F1349" i="4" s="1"/>
  <c r="D1254" i="4"/>
  <c r="D1603" i="4"/>
  <c r="F1603" i="4" s="1"/>
  <c r="D1327" i="4"/>
  <c r="F1327" i="4" s="1"/>
  <c r="D744" i="4"/>
  <c r="F744" i="4" s="1"/>
  <c r="D1101" i="4"/>
  <c r="F1101" i="4" s="1"/>
  <c r="D776" i="4"/>
  <c r="F776" i="4" s="1"/>
  <c r="D1079" i="4"/>
  <c r="F1079" i="4" s="1"/>
  <c r="D961" i="4"/>
  <c r="F961" i="4" s="1"/>
  <c r="D1473" i="4"/>
  <c r="F1473" i="4" s="1"/>
  <c r="D1832" i="4"/>
  <c r="F1832" i="4" s="1"/>
  <c r="D1088" i="4"/>
  <c r="F1088" i="4" s="1"/>
  <c r="D682" i="4"/>
  <c r="F682" i="4" s="1"/>
  <c r="D1628" i="4"/>
  <c r="F1628" i="4" s="1"/>
  <c r="D1558" i="4"/>
  <c r="F1558" i="4" s="1"/>
  <c r="D1527" i="4"/>
  <c r="F1527" i="4" s="1"/>
  <c r="D1420" i="4"/>
  <c r="F1420" i="4" s="1"/>
  <c r="D2393" i="4"/>
  <c r="F2393" i="4" s="1"/>
  <c r="D2161" i="4"/>
  <c r="F2161" i="4" s="1"/>
  <c r="D1705" i="4"/>
  <c r="F1705" i="4" s="1"/>
  <c r="D2250" i="4"/>
  <c r="F2250" i="4" s="1"/>
  <c r="E421" i="4"/>
  <c r="D234" i="4"/>
  <c r="F234" i="4" s="1"/>
  <c r="D338" i="4"/>
  <c r="F338" i="4" s="1"/>
  <c r="D494" i="4"/>
  <c r="F494" i="4" s="1"/>
  <c r="D630" i="4"/>
  <c r="F630" i="4" s="1"/>
  <c r="D107" i="4"/>
  <c r="F107" i="4" s="1"/>
  <c r="D219" i="4"/>
  <c r="F219" i="4" s="1"/>
  <c r="D442" i="4"/>
  <c r="F442" i="4" s="1"/>
  <c r="D670" i="4"/>
  <c r="F670" i="4" s="1"/>
  <c r="D781" i="4"/>
  <c r="F781" i="4" s="1"/>
  <c r="D869" i="4"/>
  <c r="F869" i="4" s="1"/>
  <c r="D260" i="4"/>
  <c r="F260" i="4" s="1"/>
  <c r="D371" i="4"/>
  <c r="F371" i="4" s="1"/>
  <c r="D632" i="4"/>
  <c r="F632" i="4" s="1"/>
  <c r="D743" i="4"/>
  <c r="F743" i="4" s="1"/>
  <c r="D830" i="4"/>
  <c r="F830" i="4" s="1"/>
  <c r="D942" i="4"/>
  <c r="F942" i="4" s="1"/>
  <c r="D101" i="4"/>
  <c r="F101" i="4" s="1"/>
  <c r="D229" i="4"/>
  <c r="F229" i="4" s="1"/>
  <c r="D364" i="4"/>
  <c r="F364" i="4" s="1"/>
  <c r="D656" i="4"/>
  <c r="F656" i="4" s="1"/>
  <c r="D765" i="4"/>
  <c r="F765" i="4" s="1"/>
  <c r="D932" i="4"/>
  <c r="F932" i="4" s="1"/>
  <c r="D1152" i="4"/>
  <c r="F1152" i="4" s="1"/>
  <c r="D964" i="4"/>
  <c r="F964" i="4" s="1"/>
  <c r="D1342" i="4"/>
  <c r="D965" i="4"/>
  <c r="F965" i="4" s="1"/>
  <c r="D1335" i="4"/>
  <c r="F1335" i="4" s="1"/>
  <c r="D839" i="4"/>
  <c r="F839" i="4" s="1"/>
  <c r="D1132" i="4"/>
  <c r="F1132" i="4" s="1"/>
  <c r="D784" i="4"/>
  <c r="F784" i="4" s="1"/>
  <c r="D1164" i="4"/>
  <c r="F1164" i="4" s="1"/>
  <c r="D1024" i="4"/>
  <c r="F1024" i="4" s="1"/>
  <c r="D1481" i="4"/>
  <c r="F1481" i="4" s="1"/>
  <c r="D1958" i="4"/>
  <c r="F1958" i="4" s="1"/>
  <c r="D1120" i="4"/>
  <c r="F1120" i="4" s="1"/>
  <c r="D730" i="4"/>
  <c r="F730" i="4" s="1"/>
  <c r="D1755" i="4"/>
  <c r="F1755" i="4" s="1"/>
  <c r="D1566" i="4"/>
  <c r="F1566" i="4" s="1"/>
  <c r="D1535" i="4"/>
  <c r="F1535" i="4" s="1"/>
  <c r="D1860" i="4"/>
  <c r="F1860" i="4" s="1"/>
  <c r="D2448" i="4"/>
  <c r="F2448" i="4" s="1"/>
  <c r="D2184" i="4"/>
  <c r="F2184" i="4" s="1"/>
  <c r="D2226" i="4"/>
  <c r="F2226" i="4" s="1"/>
  <c r="D2477" i="4"/>
  <c r="F2477" i="4" s="1"/>
  <c r="D1150" i="4"/>
  <c r="F1150" i="4" s="1"/>
  <c r="D1023" i="4"/>
  <c r="F1023" i="4" s="1"/>
  <c r="D1966" i="4"/>
  <c r="F1966" i="4" s="1"/>
  <c r="D1731" i="4"/>
  <c r="F1731" i="4" s="1"/>
  <c r="D738" i="4"/>
  <c r="F738" i="4" s="1"/>
  <c r="D1002" i="4"/>
  <c r="F1002" i="4" s="1"/>
  <c r="D1748" i="4"/>
  <c r="F1748" i="4" s="1"/>
  <c r="D1591" i="4"/>
  <c r="F1591" i="4" s="1"/>
  <c r="D1868" i="4"/>
  <c r="F1868" i="4" s="1"/>
  <c r="D1965" i="4"/>
  <c r="F1965" i="4" s="1"/>
  <c r="D2295" i="4"/>
  <c r="F2295" i="4" s="1"/>
  <c r="D1763" i="4"/>
  <c r="F1763" i="4" s="1"/>
  <c r="D2487" i="4"/>
  <c r="F2487" i="4" s="1"/>
  <c r="D305" i="4"/>
  <c r="F305" i="4" s="1"/>
  <c r="D400" i="4"/>
  <c r="F400" i="4" s="1"/>
  <c r="D605" i="4"/>
  <c r="F605" i="4" s="1"/>
  <c r="D692" i="4"/>
  <c r="D803" i="4"/>
  <c r="F803" i="4" s="1"/>
  <c r="D907" i="4"/>
  <c r="F907" i="4" s="1"/>
  <c r="D250" i="4"/>
  <c r="F250" i="4" s="1"/>
  <c r="D361" i="4"/>
  <c r="F361" i="4" s="1"/>
  <c r="D550" i="4"/>
  <c r="F550" i="4" s="1"/>
  <c r="D646" i="4"/>
  <c r="F646" i="4" s="1"/>
  <c r="D147" i="4"/>
  <c r="F147" i="4" s="1"/>
  <c r="D235" i="4"/>
  <c r="F235" i="4" s="1"/>
  <c r="D559" i="4"/>
  <c r="F559" i="4" s="1"/>
  <c r="D702" i="4"/>
  <c r="F702" i="4" s="1"/>
  <c r="D797" i="4"/>
  <c r="D909" i="4"/>
  <c r="F909" i="4" s="1"/>
  <c r="D276" i="4"/>
  <c r="F276" i="4" s="1"/>
  <c r="D395" i="4"/>
  <c r="F395" i="4" s="1"/>
  <c r="D663" i="4"/>
  <c r="F663" i="4" s="1"/>
  <c r="D759" i="4"/>
  <c r="F759" i="4" s="1"/>
  <c r="D870" i="4"/>
  <c r="F870" i="4" s="1"/>
  <c r="D958" i="4"/>
  <c r="F958" i="4" s="1"/>
  <c r="D149" i="4"/>
  <c r="F149" i="4" s="1"/>
  <c r="D277" i="4"/>
  <c r="F277" i="4" s="1"/>
  <c r="D561" i="4"/>
  <c r="F561" i="4" s="1"/>
  <c r="D712" i="4"/>
  <c r="F712" i="4" s="1"/>
  <c r="D828" i="4"/>
  <c r="F828" i="4" s="1"/>
  <c r="D1026" i="4"/>
  <c r="D1230" i="4"/>
  <c r="F1230" i="4" s="1"/>
  <c r="D1084" i="4"/>
  <c r="F1084" i="4" s="1"/>
  <c r="D1382" i="4"/>
  <c r="F1382" i="4" s="1"/>
  <c r="D1085" i="4"/>
  <c r="F1085" i="4" s="1"/>
  <c r="D1454" i="4"/>
  <c r="F1454" i="4" s="1"/>
  <c r="D879" i="4"/>
  <c r="F879" i="4" s="1"/>
  <c r="D1233" i="4"/>
  <c r="F1233" i="4" s="1"/>
  <c r="D904" i="4"/>
  <c r="F904" i="4" s="1"/>
  <c r="D1204" i="4"/>
  <c r="F1204" i="4" s="1"/>
  <c r="D1158" i="4"/>
  <c r="F1158" i="4" s="1"/>
  <c r="D1634" i="4"/>
  <c r="F1634" i="4" s="1"/>
  <c r="D2012" i="4"/>
  <c r="F2012" i="4" s="1"/>
  <c r="D1739" i="4"/>
  <c r="F1739" i="4" s="1"/>
  <c r="D1431" i="4"/>
  <c r="F1431" i="4" s="1"/>
  <c r="D1050" i="4"/>
  <c r="F1050" i="4" s="1"/>
  <c r="D1756" i="4"/>
  <c r="F1756" i="4" s="1"/>
  <c r="D1789" i="4"/>
  <c r="F1789" i="4" s="1"/>
  <c r="D1924" i="4"/>
  <c r="F1924" i="4" s="1"/>
  <c r="D1973" i="4"/>
  <c r="F1973" i="4" s="1"/>
  <c r="D2005" i="4"/>
  <c r="F2005" i="4" s="1"/>
  <c r="D1954" i="4"/>
  <c r="F1954" i="4" s="1"/>
  <c r="D2494" i="4"/>
  <c r="F2494" i="4" s="1"/>
  <c r="D1166" i="4"/>
  <c r="F1166" i="4" s="1"/>
  <c r="D1642" i="4"/>
  <c r="F1642" i="4" s="1"/>
  <c r="D841" i="4"/>
  <c r="F841" i="4" s="1"/>
  <c r="D1794" i="4"/>
  <c r="F1794" i="4" s="1"/>
  <c r="D1439" i="4"/>
  <c r="F1439" i="4" s="1"/>
  <c r="D1369" i="4"/>
  <c r="F1369" i="4" s="1"/>
  <c r="D1819" i="4"/>
  <c r="F1819" i="4" s="1"/>
  <c r="D1797" i="4"/>
  <c r="F1797" i="4" s="1"/>
  <c r="D2128" i="4"/>
  <c r="F2128" i="4" s="1"/>
  <c r="D2083" i="4"/>
  <c r="F2083" i="4" s="1"/>
  <c r="D2021" i="4"/>
  <c r="F2021" i="4" s="1"/>
  <c r="D2335" i="4"/>
  <c r="F2335" i="4" s="1"/>
  <c r="D2506" i="4"/>
  <c r="F2506" i="4" s="1"/>
  <c r="E95" i="4"/>
  <c r="E159" i="4"/>
  <c r="E223" i="4"/>
  <c r="E286" i="4"/>
  <c r="E43" i="4"/>
  <c r="E574" i="4"/>
  <c r="E1269" i="4"/>
  <c r="E1202" i="4"/>
  <c r="E2378" i="4"/>
  <c r="E318" i="4"/>
  <c r="E367" i="4"/>
  <c r="E600" i="4"/>
  <c r="E1377" i="4"/>
  <c r="E255" i="4"/>
  <c r="E75" i="4"/>
  <c r="E208" i="4"/>
  <c r="E342" i="4"/>
  <c r="E437" i="4"/>
  <c r="E452" i="4"/>
  <c r="E528" i="4"/>
  <c r="E392" i="4"/>
  <c r="E1274" i="4"/>
  <c r="E444" i="4"/>
  <c r="E41" i="4"/>
  <c r="E488" i="4"/>
  <c r="E83" i="4"/>
  <c r="E228" i="4"/>
  <c r="E668" i="4"/>
  <c r="E303" i="4"/>
  <c r="E676" i="4"/>
  <c r="E417" i="4"/>
  <c r="J6" i="4"/>
  <c r="L10" i="6"/>
  <c r="E1468" i="4"/>
  <c r="E912" i="4"/>
  <c r="D132" i="4"/>
  <c r="F132" i="4" s="1"/>
  <c r="D196" i="4"/>
  <c r="F196" i="4" s="1"/>
  <c r="D259" i="4"/>
  <c r="F259" i="4" s="1"/>
  <c r="D323" i="4"/>
  <c r="F323" i="4" s="1"/>
  <c r="D385" i="4"/>
  <c r="F385" i="4" s="1"/>
  <c r="D448" i="4"/>
  <c r="F448" i="4" s="1"/>
  <c r="D508" i="4"/>
  <c r="F508" i="4" s="1"/>
  <c r="D568" i="4"/>
  <c r="F568" i="4" s="1"/>
  <c r="D639" i="4"/>
  <c r="F639" i="4" s="1"/>
  <c r="D24" i="4"/>
  <c r="F24" i="4" s="1"/>
  <c r="D375" i="4"/>
  <c r="F375" i="4" s="1"/>
  <c r="D439" i="4"/>
  <c r="F439" i="4" s="1"/>
  <c r="D636" i="4"/>
  <c r="F636" i="4" s="1"/>
  <c r="D699" i="4"/>
  <c r="F699" i="4" s="1"/>
  <c r="D763" i="4"/>
  <c r="F763" i="4" s="1"/>
  <c r="D826" i="4"/>
  <c r="F826" i="4" s="1"/>
  <c r="D289" i="4"/>
  <c r="F289" i="4" s="1"/>
  <c r="D352" i="4"/>
  <c r="F352" i="4" s="1"/>
  <c r="D416" i="4"/>
  <c r="F416" i="4" s="1"/>
  <c r="D509" i="4"/>
  <c r="F509" i="4" s="1"/>
  <c r="D637" i="4"/>
  <c r="F637" i="4" s="1"/>
  <c r="D700" i="4"/>
  <c r="F700" i="4" s="1"/>
  <c r="D764" i="4"/>
  <c r="F764" i="4" s="1"/>
  <c r="D827" i="4"/>
  <c r="F827" i="4" s="1"/>
  <c r="D891" i="4"/>
  <c r="F891" i="4" s="1"/>
  <c r="D955" i="4"/>
  <c r="F955" i="4" s="1"/>
  <c r="D258" i="4"/>
  <c r="F258" i="4" s="1"/>
  <c r="D322" i="4"/>
  <c r="F322" i="4" s="1"/>
  <c r="D441" i="4"/>
  <c r="F441" i="4" s="1"/>
  <c r="D510" i="4"/>
  <c r="F510" i="4" s="1"/>
  <c r="D598" i="4"/>
  <c r="F598" i="4" s="1"/>
  <c r="D669" i="4"/>
  <c r="F669" i="4" s="1"/>
  <c r="D115" i="4"/>
  <c r="F115" i="4" s="1"/>
  <c r="D179" i="4"/>
  <c r="F179" i="4" s="1"/>
  <c r="D243" i="4"/>
  <c r="F243" i="4" s="1"/>
  <c r="D426" i="4"/>
  <c r="F426" i="4" s="1"/>
  <c r="D583" i="4"/>
  <c r="F583" i="4" s="1"/>
  <c r="D686" i="4"/>
  <c r="F686" i="4" s="1"/>
  <c r="D750" i="4"/>
  <c r="F750" i="4" s="1"/>
  <c r="D813" i="4"/>
  <c r="F813" i="4" s="1"/>
  <c r="D877" i="4"/>
  <c r="F877" i="4" s="1"/>
  <c r="D941" i="4"/>
  <c r="F941" i="4" s="1"/>
  <c r="D284" i="4"/>
  <c r="F284" i="4" s="1"/>
  <c r="D355" i="4"/>
  <c r="F355" i="4" s="1"/>
  <c r="D419" i="4"/>
  <c r="F419" i="4" s="1"/>
  <c r="D648" i="4"/>
  <c r="F648" i="4" s="1"/>
  <c r="D711" i="4"/>
  <c r="F711" i="4" s="1"/>
  <c r="D774" i="4"/>
  <c r="F774" i="4" s="1"/>
  <c r="D838" i="4"/>
  <c r="F838" i="4" s="1"/>
  <c r="D902" i="4"/>
  <c r="F902" i="4" s="1"/>
  <c r="D117" i="4"/>
  <c r="F117" i="4" s="1"/>
  <c r="D181" i="4"/>
  <c r="F181" i="4" s="1"/>
  <c r="D245" i="4"/>
  <c r="F245" i="4" s="1"/>
  <c r="D309" i="4"/>
  <c r="F309" i="4" s="1"/>
  <c r="D521" i="4"/>
  <c r="F521" i="4" s="1"/>
  <c r="D601" i="4"/>
  <c r="F601" i="4" s="1"/>
  <c r="D672" i="4"/>
  <c r="F672" i="4" s="1"/>
  <c r="D87" i="4"/>
  <c r="F87" i="4" s="1"/>
  <c r="D788" i="4"/>
  <c r="F788" i="4" s="1"/>
  <c r="D868" i="4"/>
  <c r="F868" i="4" s="1"/>
  <c r="D956" i="4"/>
  <c r="F956" i="4" s="1"/>
  <c r="D1075" i="4"/>
  <c r="F1075" i="4" s="1"/>
  <c r="D1184" i="4"/>
  <c r="F1184" i="4" s="1"/>
  <c r="D1285" i="4"/>
  <c r="F1285" i="4" s="1"/>
  <c r="D996" i="4"/>
  <c r="F996" i="4" s="1"/>
  <c r="D1145" i="4"/>
  <c r="F1145" i="4" s="1"/>
  <c r="D1270" i="4"/>
  <c r="F1270" i="4" s="1"/>
  <c r="D1398" i="4"/>
  <c r="F1398" i="4" s="1"/>
  <c r="D1523" i="4"/>
  <c r="F1523" i="4" s="1"/>
  <c r="D981" i="4"/>
  <c r="F981" i="4" s="1"/>
  <c r="D1131" i="4"/>
  <c r="F1131" i="4" s="1"/>
  <c r="D1255" i="4"/>
  <c r="F1255" i="4" s="1"/>
  <c r="D1383" i="4"/>
  <c r="F1383" i="4" s="1"/>
  <c r="D1508" i="4"/>
  <c r="F1508" i="4" s="1"/>
  <c r="D760" i="4"/>
  <c r="F760" i="4" s="1"/>
  <c r="D895" i="4"/>
  <c r="F895" i="4" s="1"/>
  <c r="D1021" i="4"/>
  <c r="F1021" i="4" s="1"/>
  <c r="D1147" i="4"/>
  <c r="F1147" i="4" s="1"/>
  <c r="D1280" i="4"/>
  <c r="F1280" i="4" s="1"/>
  <c r="D697" i="4"/>
  <c r="F697" i="4" s="1"/>
  <c r="D832" i="4"/>
  <c r="F832" i="4" s="1"/>
  <c r="D960" i="4"/>
  <c r="F960" i="4" s="1"/>
  <c r="D1094" i="4"/>
  <c r="F1094" i="4" s="1"/>
  <c r="D1220" i="4"/>
  <c r="F1220" i="4" s="1"/>
  <c r="D547" i="4"/>
  <c r="F547" i="4" s="1"/>
  <c r="D1030" i="4"/>
  <c r="F1030" i="4" s="1"/>
  <c r="D1214" i="4"/>
  <c r="F1214" i="4" s="1"/>
  <c r="D1355" i="4"/>
  <c r="F1355" i="4" s="1"/>
  <c r="D1031" i="4"/>
  <c r="F1031" i="4" s="1"/>
  <c r="D1698" i="4"/>
  <c r="F1698" i="4" s="1"/>
  <c r="D1839" i="4"/>
  <c r="F1839" i="4" s="1"/>
  <c r="D2020" i="4"/>
  <c r="F2020" i="4" s="1"/>
  <c r="D905" i="4"/>
  <c r="F905" i="4" s="1"/>
  <c r="D1128" i="4"/>
  <c r="F1128" i="4" s="1"/>
  <c r="D1802" i="4"/>
  <c r="F1802" i="4" s="1"/>
  <c r="D562" i="4"/>
  <c r="F562" i="4" s="1"/>
  <c r="D746" i="4"/>
  <c r="F746" i="4" s="1"/>
  <c r="D1493" i="4"/>
  <c r="F1493" i="4" s="1"/>
  <c r="D1676" i="4"/>
  <c r="F1676" i="4" s="1"/>
  <c r="D1058" i="4"/>
  <c r="F1058" i="4" s="1"/>
  <c r="D1432" i="4"/>
  <c r="F1432" i="4" s="1"/>
  <c r="D1614" i="4"/>
  <c r="F1614" i="4" s="1"/>
  <c r="D1827" i="4"/>
  <c r="F1827" i="4" s="1"/>
  <c r="D1346" i="4"/>
  <c r="F1346" i="4" s="1"/>
  <c r="D1599" i="4"/>
  <c r="F1599" i="4" s="1"/>
  <c r="D1149" i="4"/>
  <c r="F1149" i="4" s="1"/>
  <c r="D1427" i="4"/>
  <c r="F1427" i="4" s="1"/>
  <c r="D1932" i="4"/>
  <c r="F1932" i="4" s="1"/>
  <c r="D2198" i="4"/>
  <c r="F2198" i="4" s="1"/>
  <c r="D2455" i="4"/>
  <c r="F2455" i="4" s="1"/>
  <c r="D2091" i="4"/>
  <c r="F2091" i="4" s="1"/>
  <c r="D1631" i="4"/>
  <c r="F1631" i="4" s="1"/>
  <c r="D2316" i="4"/>
  <c r="F2316" i="4" s="1"/>
  <c r="D2155" i="4"/>
  <c r="F2155" i="4" s="1"/>
  <c r="D1721" i="4"/>
  <c r="F1721" i="4" s="1"/>
  <c r="D1970" i="4"/>
  <c r="F1970" i="4" s="1"/>
  <c r="D2041" i="4"/>
  <c r="F2041" i="4" s="1"/>
  <c r="D2305" i="4"/>
  <c r="F2305" i="4" s="1"/>
  <c r="D1229" i="4"/>
  <c r="F1229" i="4" s="1"/>
  <c r="L6" i="4"/>
  <c r="D447" i="4"/>
  <c r="F447" i="4" s="1"/>
  <c r="D644" i="4"/>
  <c r="F644" i="4" s="1"/>
  <c r="D707" i="4"/>
  <c r="F707" i="4" s="1"/>
  <c r="D770" i="4"/>
  <c r="F770" i="4" s="1"/>
  <c r="D834" i="4"/>
  <c r="F834" i="4" s="1"/>
  <c r="D297" i="4"/>
  <c r="F297" i="4" s="1"/>
  <c r="D360" i="4"/>
  <c r="F360" i="4" s="1"/>
  <c r="D424" i="4"/>
  <c r="F424" i="4" s="1"/>
  <c r="D517" i="4"/>
  <c r="F517" i="4" s="1"/>
  <c r="D645" i="4"/>
  <c r="F645" i="4" s="1"/>
  <c r="D708" i="4"/>
  <c r="F708" i="4" s="1"/>
  <c r="D771" i="4"/>
  <c r="F771" i="4" s="1"/>
  <c r="D835" i="4"/>
  <c r="F835" i="4" s="1"/>
  <c r="D899" i="4"/>
  <c r="F899" i="4" s="1"/>
  <c r="D962" i="4"/>
  <c r="F962" i="4" s="1"/>
  <c r="D266" i="4"/>
  <c r="F266" i="4" s="1"/>
  <c r="D330" i="4"/>
  <c r="F330" i="4" s="1"/>
  <c r="D456" i="4"/>
  <c r="F456" i="4" s="1"/>
  <c r="D518" i="4"/>
  <c r="F518" i="4" s="1"/>
  <c r="D606" i="4"/>
  <c r="F606" i="4" s="1"/>
  <c r="D677" i="4"/>
  <c r="F677" i="4" s="1"/>
  <c r="D123" i="4"/>
  <c r="F123" i="4" s="1"/>
  <c r="D187" i="4"/>
  <c r="F187" i="4" s="1"/>
  <c r="D251" i="4"/>
  <c r="F251" i="4" s="1"/>
  <c r="D434" i="4"/>
  <c r="F434" i="4" s="1"/>
  <c r="D591" i="4"/>
  <c r="F591" i="4" s="1"/>
  <c r="D694" i="4"/>
  <c r="F694" i="4" s="1"/>
  <c r="D758" i="4"/>
  <c r="F758" i="4" s="1"/>
  <c r="D821" i="4"/>
  <c r="F821" i="4" s="1"/>
  <c r="D885" i="4"/>
  <c r="F885" i="4" s="1"/>
  <c r="D949" i="4"/>
  <c r="F949" i="4" s="1"/>
  <c r="D292" i="4"/>
  <c r="F292" i="4" s="1"/>
  <c r="D363" i="4"/>
  <c r="F363" i="4" s="1"/>
  <c r="D427" i="4"/>
  <c r="F427" i="4" s="1"/>
  <c r="D655" i="4"/>
  <c r="F655" i="4" s="1"/>
  <c r="D719" i="4"/>
  <c r="F719" i="4" s="1"/>
  <c r="D782" i="4"/>
  <c r="F782" i="4" s="1"/>
  <c r="D846" i="4"/>
  <c r="F846" i="4" s="1"/>
  <c r="D910" i="4"/>
  <c r="F910" i="4" s="1"/>
  <c r="D125" i="4"/>
  <c r="F125" i="4" s="1"/>
  <c r="D189" i="4"/>
  <c r="F189" i="4" s="1"/>
  <c r="D253" i="4"/>
  <c r="F253" i="4" s="1"/>
  <c r="D317" i="4"/>
  <c r="F317" i="4" s="1"/>
  <c r="D529" i="4"/>
  <c r="F529" i="4" s="1"/>
  <c r="D609" i="4"/>
  <c r="F609" i="4" s="1"/>
  <c r="D680" i="4"/>
  <c r="F680" i="4" s="1"/>
  <c r="D717" i="4"/>
  <c r="F717" i="4" s="1"/>
  <c r="D796" i="4"/>
  <c r="F796" i="4" s="1"/>
  <c r="D876" i="4"/>
  <c r="F876" i="4" s="1"/>
  <c r="D987" i="4"/>
  <c r="F987" i="4" s="1"/>
  <c r="D1083" i="4"/>
  <c r="F1083" i="4" s="1"/>
  <c r="D1200" i="4"/>
  <c r="F1200" i="4" s="1"/>
  <c r="D1301" i="4"/>
  <c r="F1301" i="4" s="1"/>
  <c r="D1003" i="4"/>
  <c r="F1003" i="4" s="1"/>
  <c r="D1153" i="4"/>
  <c r="F1153" i="4" s="1"/>
  <c r="D1278" i="4"/>
  <c r="F1278" i="4" s="1"/>
  <c r="D1406" i="4"/>
  <c r="F1406" i="4" s="1"/>
  <c r="D1531" i="4"/>
  <c r="F1531" i="4" s="1"/>
  <c r="D989" i="4"/>
  <c r="F989" i="4" s="1"/>
  <c r="D1138" i="4"/>
  <c r="F1138" i="4" s="1"/>
  <c r="D1263" i="4"/>
  <c r="F1263" i="4" s="1"/>
  <c r="D1391" i="4"/>
  <c r="F1391" i="4" s="1"/>
  <c r="D1516" i="4"/>
  <c r="F1516" i="4" s="1"/>
  <c r="D775" i="4"/>
  <c r="F775" i="4" s="1"/>
  <c r="D903" i="4"/>
  <c r="F903" i="4" s="1"/>
  <c r="D1027" i="4"/>
  <c r="F1027" i="4" s="1"/>
  <c r="D1155" i="4"/>
  <c r="F1155" i="4" s="1"/>
  <c r="D1288" i="4"/>
  <c r="F1288" i="4" s="1"/>
  <c r="D705" i="4"/>
  <c r="F705" i="4" s="1"/>
  <c r="D840" i="4"/>
  <c r="F840" i="4" s="1"/>
  <c r="D967" i="4"/>
  <c r="F967" i="4" s="1"/>
  <c r="D1102" i="4"/>
  <c r="F1102" i="4" s="1"/>
  <c r="D1227" i="4"/>
  <c r="F1227" i="4" s="1"/>
  <c r="D882" i="4"/>
  <c r="F882" i="4" s="1"/>
  <c r="D1037" i="4"/>
  <c r="F1037" i="4" s="1"/>
  <c r="D1222" i="4"/>
  <c r="F1222" i="4" s="1"/>
  <c r="D1403" i="4"/>
  <c r="F1403" i="4" s="1"/>
  <c r="D1095" i="4"/>
  <c r="F1095" i="4" s="1"/>
  <c r="D1706" i="4"/>
  <c r="F1706" i="4" s="1"/>
  <c r="D1887" i="4"/>
  <c r="F1887" i="4" s="1"/>
  <c r="D2028" i="4"/>
  <c r="F2028" i="4" s="1"/>
  <c r="D913" i="4"/>
  <c r="F913" i="4" s="1"/>
  <c r="D1659" i="4"/>
  <c r="F1659" i="4" s="1"/>
  <c r="D1810" i="4"/>
  <c r="F1810" i="4" s="1"/>
  <c r="D570" i="4"/>
  <c r="F570" i="4" s="1"/>
  <c r="D1097" i="4"/>
  <c r="F1097" i="4" s="1"/>
  <c r="D1501" i="4"/>
  <c r="F1501" i="4" s="1"/>
  <c r="D1684" i="4"/>
  <c r="F1684" i="4" s="1"/>
  <c r="D1297" i="4"/>
  <c r="F1297" i="4" s="1"/>
  <c r="D1440" i="4"/>
  <c r="F1440" i="4" s="1"/>
  <c r="D1622" i="4"/>
  <c r="F1622" i="4" s="1"/>
  <c r="D1882" i="4"/>
  <c r="F1882" i="4" s="1"/>
  <c r="D1402" i="4"/>
  <c r="F1402" i="4" s="1"/>
  <c r="D1662" i="4"/>
  <c r="F1662" i="4" s="1"/>
  <c r="D1205" i="4"/>
  <c r="F1205" i="4" s="1"/>
  <c r="D1497" i="4"/>
  <c r="F1497" i="4" s="1"/>
  <c r="D1988" i="4"/>
  <c r="F1988" i="4" s="1"/>
  <c r="D2261" i="4"/>
  <c r="F2261" i="4" s="1"/>
  <c r="D1790" i="4"/>
  <c r="F1790" i="4" s="1"/>
  <c r="D2176" i="4"/>
  <c r="F2176" i="4" s="1"/>
  <c r="D1735" i="4"/>
  <c r="F1735" i="4" s="1"/>
  <c r="D1648" i="4"/>
  <c r="F1648" i="4" s="1"/>
  <c r="D2272" i="4"/>
  <c r="F2272" i="4" s="1"/>
  <c r="D1976" i="4"/>
  <c r="F1976" i="4" s="1"/>
  <c r="D2080" i="4"/>
  <c r="F2080" i="4" s="1"/>
  <c r="D2319" i="4"/>
  <c r="F2319" i="4" s="1"/>
  <c r="D2357" i="4"/>
  <c r="F2357" i="4" s="1"/>
  <c r="D457" i="4"/>
  <c r="F457" i="4" s="1"/>
  <c r="D428" i="4"/>
  <c r="F428" i="4" s="1"/>
  <c r="D534" i="4"/>
  <c r="F534" i="4" s="1"/>
  <c r="D541" i="4"/>
  <c r="F541" i="4" s="1"/>
  <c r="D548" i="4"/>
  <c r="F548" i="4" s="1"/>
  <c r="D615" i="4"/>
  <c r="F615" i="4" s="1"/>
  <c r="G21" i="6"/>
  <c r="D449" i="4"/>
  <c r="F449" i="4" s="1"/>
  <c r="D654" i="4"/>
  <c r="F654" i="4" s="1"/>
  <c r="D340" i="4"/>
  <c r="F340" i="4" s="1"/>
  <c r="D1136" i="4"/>
  <c r="F1136" i="4" s="1"/>
  <c r="D1245" i="4"/>
  <c r="F1245" i="4" s="1"/>
  <c r="D1033" i="4"/>
  <c r="F1033" i="4" s="1"/>
  <c r="D1048" i="4"/>
  <c r="F1048" i="4" s="1"/>
  <c r="D768" i="4"/>
  <c r="F768" i="4" s="1"/>
  <c r="D1049" i="4"/>
  <c r="F1049" i="4" s="1"/>
  <c r="D475" i="4"/>
  <c r="F475" i="4" s="1"/>
  <c r="D1119" i="4"/>
  <c r="F1119" i="4" s="1"/>
  <c r="D459" i="4"/>
  <c r="F459" i="4" s="1"/>
  <c r="D1812" i="4"/>
  <c r="F1812" i="4" s="1"/>
  <c r="D1836" i="4"/>
  <c r="F1836" i="4" s="1"/>
  <c r="D2105" i="4"/>
  <c r="F2105" i="4" s="1"/>
  <c r="D2253" i="4"/>
  <c r="F2253" i="4" s="1"/>
  <c r="D2003" i="4"/>
  <c r="F2003" i="4" s="1"/>
  <c r="D1623" i="4"/>
  <c r="F1623" i="4" s="1"/>
  <c r="D2123" i="4"/>
  <c r="F2123" i="4" s="1"/>
  <c r="D2177" i="4"/>
  <c r="F2177" i="4" s="1"/>
  <c r="D1467" i="4"/>
  <c r="F1467" i="4" s="1"/>
  <c r="D1482" i="4"/>
  <c r="F1482" i="4" s="1"/>
  <c r="D2157" i="4"/>
  <c r="F2157" i="4" s="1"/>
  <c r="D2303" i="4"/>
  <c r="F2303" i="4" s="1"/>
  <c r="D2515" i="4"/>
  <c r="F2515" i="4" s="1"/>
  <c r="D2297" i="4"/>
  <c r="F2297" i="4" s="1"/>
  <c r="D2453" i="4"/>
  <c r="F2453" i="4" s="1"/>
  <c r="D2331" i="4"/>
  <c r="F2331" i="4" s="1"/>
  <c r="D2439" i="4"/>
  <c r="F2439" i="4" s="1"/>
  <c r="D2498" i="4"/>
  <c r="F2498" i="4" s="1"/>
  <c r="D2318" i="4"/>
  <c r="F2318" i="4" s="1"/>
  <c r="D2490" i="4"/>
  <c r="F2490" i="4" s="1"/>
  <c r="D2428" i="4"/>
  <c r="F2428" i="4" s="1"/>
  <c r="D2135" i="4"/>
  <c r="F2135" i="4" s="1"/>
  <c r="D2055" i="4"/>
  <c r="F2055" i="4" s="1"/>
  <c r="D2457" i="4"/>
  <c r="F2457" i="4" s="1"/>
  <c r="D206" i="4"/>
  <c r="F206" i="4" s="1"/>
  <c r="D2449" i="4"/>
  <c r="F2449" i="4" s="1"/>
  <c r="D2245" i="4"/>
  <c r="F2245" i="4" s="1"/>
  <c r="D2181" i="4"/>
  <c r="F2181" i="4" s="1"/>
  <c r="D1397" i="4"/>
  <c r="F1397" i="4" s="1"/>
  <c r="D2467" i="4"/>
  <c r="F2467" i="4" s="1"/>
  <c r="D2411" i="4"/>
  <c r="F2411" i="4" s="1"/>
  <c r="D198" i="4"/>
  <c r="F198" i="4" s="1"/>
  <c r="D2480" i="4"/>
  <c r="F2480" i="4" s="1"/>
  <c r="D2479" i="4"/>
  <c r="F2479" i="4" s="1"/>
  <c r="D2164" i="4"/>
  <c r="F2164" i="4" s="1"/>
  <c r="D2395" i="4"/>
  <c r="F2395" i="4" s="1"/>
  <c r="D2447" i="4"/>
  <c r="F2447" i="4" s="1"/>
  <c r="D2251" i="4"/>
  <c r="F2251" i="4" s="1"/>
  <c r="D2179" i="4"/>
  <c r="F2179" i="4" s="1"/>
  <c r="D1939" i="4"/>
  <c r="F1939" i="4" s="1"/>
  <c r="D1875" i="4"/>
  <c r="F1875" i="4" s="1"/>
  <c r="D2459" i="4"/>
  <c r="F2459" i="4" s="1"/>
  <c r="D2310" i="4"/>
  <c r="F2310" i="4" s="1"/>
  <c r="D2482" i="4"/>
  <c r="F2482" i="4" s="1"/>
  <c r="D2420" i="4"/>
  <c r="F2420" i="4" s="1"/>
  <c r="D2127" i="4"/>
  <c r="F2127" i="4" s="1"/>
  <c r="D2047" i="4"/>
  <c r="F2047" i="4" s="1"/>
  <c r="D2419" i="4"/>
  <c r="F2419" i="4" s="1"/>
  <c r="D190" i="4"/>
  <c r="F190" i="4" s="1"/>
  <c r="D2434" i="4"/>
  <c r="F2434" i="4" s="1"/>
  <c r="D2237" i="4"/>
  <c r="F2237" i="4" s="1"/>
  <c r="D2149" i="4"/>
  <c r="F2149" i="4" s="1"/>
  <c r="D1389" i="4"/>
  <c r="F1389" i="4" s="1"/>
  <c r="D2437" i="4"/>
  <c r="F2437" i="4" s="1"/>
  <c r="D2379" i="4"/>
  <c r="F2379" i="4" s="1"/>
  <c r="D182" i="4"/>
  <c r="F182" i="4" s="1"/>
  <c r="D2472" i="4"/>
  <c r="F2472" i="4" s="1"/>
  <c r="D2299" i="4"/>
  <c r="F2299" i="4" s="1"/>
  <c r="D2491" i="4"/>
  <c r="F2491" i="4" s="1"/>
  <c r="D2339" i="4"/>
  <c r="F2339" i="4" s="1"/>
  <c r="D2424" i="4"/>
  <c r="F2424" i="4" s="1"/>
  <c r="D2243" i="4"/>
  <c r="F2243" i="4" s="1"/>
  <c r="D1995" i="4"/>
  <c r="F1995" i="4" s="1"/>
  <c r="D1931" i="4"/>
  <c r="F1931" i="4" s="1"/>
  <c r="D1867" i="4"/>
  <c r="F1867" i="4" s="1"/>
  <c r="D2465" i="4"/>
  <c r="F2465" i="4" s="1"/>
  <c r="D2408" i="4"/>
  <c r="F2408" i="4" s="1"/>
  <c r="D2227" i="4"/>
  <c r="F2227" i="4" s="1"/>
  <c r="D2446" i="4"/>
  <c r="F2446" i="4" s="1"/>
  <c r="D2375" i="4"/>
  <c r="F2375" i="4" s="1"/>
  <c r="D2002" i="4"/>
  <c r="F2002" i="4" s="1"/>
  <c r="D2355" i="4"/>
  <c r="F2355" i="4" s="1"/>
  <c r="D2470" i="4"/>
  <c r="F2470" i="4" s="1"/>
  <c r="D2460" i="4"/>
  <c r="F2460" i="4" s="1"/>
  <c r="D2390" i="4"/>
  <c r="F2390" i="4" s="1"/>
  <c r="D2327" i="4"/>
  <c r="F2327" i="4" s="1"/>
  <c r="D2097" i="4"/>
  <c r="F2097" i="4" s="1"/>
  <c r="D2033" i="4"/>
  <c r="F2033" i="4" s="1"/>
  <c r="D1873" i="4"/>
  <c r="F1873" i="4" s="1"/>
  <c r="D2343" i="4"/>
  <c r="F2343" i="4" s="1"/>
  <c r="D2283" i="4"/>
  <c r="F2283" i="4" s="1"/>
  <c r="D2220" i="4"/>
  <c r="F2220" i="4" s="1"/>
  <c r="D2150" i="4"/>
  <c r="F2150" i="4" s="1"/>
  <c r="D2088" i="4"/>
  <c r="F2088" i="4" s="1"/>
  <c r="D2024" i="4"/>
  <c r="F2024" i="4" s="1"/>
  <c r="D1962" i="4"/>
  <c r="F1962" i="4" s="1"/>
  <c r="D1898" i="4"/>
  <c r="F1898" i="4" s="1"/>
  <c r="D2234" i="4"/>
  <c r="F2234" i="4" s="1"/>
  <c r="D2171" i="4"/>
  <c r="F2171" i="4" s="1"/>
  <c r="D2109" i="4"/>
  <c r="F2109" i="4" s="1"/>
  <c r="D2046" i="4"/>
  <c r="F2046" i="4" s="1"/>
  <c r="D1984" i="4"/>
  <c r="F1984" i="4" s="1"/>
  <c r="D1920" i="4"/>
  <c r="F1920" i="4" s="1"/>
  <c r="D1713" i="4"/>
  <c r="F1713" i="4" s="1"/>
  <c r="D1649" i="4"/>
  <c r="F1649" i="4" s="1"/>
  <c r="D1586" i="4"/>
  <c r="F1586" i="4" s="1"/>
  <c r="D1522" i="4"/>
  <c r="F1522" i="4" s="1"/>
  <c r="D1444" i="4"/>
  <c r="F1444" i="4" s="1"/>
  <c r="D2340" i="4"/>
  <c r="F2340" i="4" s="1"/>
  <c r="D2280" i="4"/>
  <c r="F2280" i="4" s="1"/>
  <c r="D2217" i="4"/>
  <c r="F2217" i="4" s="1"/>
  <c r="D2147" i="4"/>
  <c r="F2147" i="4" s="1"/>
  <c r="D2077" i="4"/>
  <c r="F2077" i="4" s="1"/>
  <c r="D2013" i="4"/>
  <c r="F2013" i="4" s="1"/>
  <c r="D1951" i="4"/>
  <c r="F1951" i="4" s="1"/>
  <c r="D1784" i="4"/>
  <c r="F1784" i="4" s="1"/>
  <c r="D1720" i="4"/>
  <c r="F1720" i="4" s="1"/>
  <c r="D1656" i="4"/>
  <c r="F1656" i="4" s="1"/>
  <c r="D1593" i="4"/>
  <c r="F1593" i="4" s="1"/>
  <c r="D2308" i="4"/>
  <c r="F2308" i="4" s="1"/>
  <c r="D2240" i="4"/>
  <c r="F2240" i="4" s="1"/>
  <c r="D2169" i="4"/>
  <c r="F2169" i="4" s="1"/>
  <c r="D2100" i="4"/>
  <c r="F2100" i="4" s="1"/>
  <c r="D1870" i="4"/>
  <c r="F1870" i="4" s="1"/>
  <c r="D1807" i="4"/>
  <c r="F1807" i="4" s="1"/>
  <c r="D1743" i="4"/>
  <c r="F1743" i="4" s="1"/>
  <c r="D1679" i="4"/>
  <c r="F1679" i="4" s="1"/>
  <c r="D1608" i="4"/>
  <c r="F1608" i="4" s="1"/>
  <c r="D1544" i="4"/>
  <c r="F1544" i="4" s="1"/>
  <c r="D2354" i="4"/>
  <c r="F2354" i="4" s="1"/>
  <c r="D2286" i="4"/>
  <c r="F2286" i="4" s="1"/>
  <c r="D2223" i="4"/>
  <c r="F2223" i="4" s="1"/>
  <c r="D2160" i="4"/>
  <c r="F2160" i="4" s="1"/>
  <c r="D2099" i="4"/>
  <c r="F2099" i="4" s="1"/>
  <c r="D2035" i="4"/>
  <c r="F2035" i="4" s="1"/>
  <c r="D1957" i="4"/>
  <c r="F1957" i="4" s="1"/>
  <c r="D1893" i="4"/>
  <c r="F1893" i="4" s="1"/>
  <c r="D1830" i="4"/>
  <c r="F1830" i="4" s="1"/>
  <c r="D1766" i="4"/>
  <c r="F1766" i="4" s="1"/>
  <c r="D2421" i="4"/>
  <c r="F2421" i="4" s="1"/>
  <c r="D2120" i="4"/>
  <c r="F2120" i="4" s="1"/>
  <c r="D2474" i="4"/>
  <c r="F2474" i="4" s="1"/>
  <c r="D2412" i="4"/>
  <c r="F2412" i="4" s="1"/>
  <c r="D2103" i="4"/>
  <c r="F2103" i="4" s="1"/>
  <c r="D2039" i="4"/>
  <c r="F2039" i="4" s="1"/>
  <c r="D2371" i="4"/>
  <c r="F2371" i="4" s="1"/>
  <c r="D78" i="4"/>
  <c r="F78" i="4" s="1"/>
  <c r="D2426" i="4"/>
  <c r="F2426" i="4" s="1"/>
  <c r="D2229" i="4"/>
  <c r="F2229" i="4" s="1"/>
  <c r="D2141" i="4"/>
  <c r="F2141" i="4" s="1"/>
  <c r="D1381" i="4"/>
  <c r="F1381" i="4" s="1"/>
  <c r="D2405" i="4"/>
  <c r="F2405" i="4" s="1"/>
  <c r="D2347" i="4"/>
  <c r="F2347" i="4" s="1"/>
  <c r="D70" i="4"/>
  <c r="F70" i="4" s="1"/>
  <c r="D2456" i="4"/>
  <c r="F2456" i="4" s="1"/>
  <c r="D2292" i="4"/>
  <c r="F2292" i="4" s="1"/>
  <c r="D2444" i="4"/>
  <c r="F2444" i="4" s="1"/>
  <c r="D2166" i="4"/>
  <c r="F2166" i="4" s="1"/>
  <c r="D2400" i="4"/>
  <c r="F2400" i="4" s="1"/>
  <c r="D2235" i="4"/>
  <c r="F2235" i="4" s="1"/>
  <c r="D1987" i="4"/>
  <c r="F1987" i="4" s="1"/>
  <c r="D1923" i="4"/>
  <c r="F1923" i="4" s="1"/>
  <c r="D1859" i="4"/>
  <c r="F1859" i="4" s="1"/>
  <c r="D2435" i="4"/>
  <c r="F2435" i="4" s="1"/>
  <c r="D2392" i="4"/>
  <c r="F2392" i="4" s="1"/>
  <c r="D2508" i="4"/>
  <c r="F2508" i="4" s="1"/>
  <c r="D2431" i="4"/>
  <c r="F2431" i="4" s="1"/>
  <c r="D2290" i="4"/>
  <c r="F2290" i="4" s="1"/>
  <c r="D1834" i="4"/>
  <c r="F1834" i="4" s="1"/>
  <c r="D2324" i="4"/>
  <c r="F2324" i="4" s="1"/>
  <c r="D2514" i="4"/>
  <c r="F2514" i="4" s="1"/>
  <c r="D2445" i="4"/>
  <c r="F2445" i="4" s="1"/>
  <c r="D2382" i="4"/>
  <c r="F2382" i="4" s="1"/>
  <c r="D2389" i="4"/>
  <c r="F2389" i="4" s="1"/>
  <c r="D2112" i="4"/>
  <c r="F2112" i="4" s="1"/>
  <c r="D2466" i="4"/>
  <c r="F2466" i="4" s="1"/>
  <c r="D2404" i="4"/>
  <c r="F2404" i="4" s="1"/>
  <c r="D2095" i="4"/>
  <c r="F2095" i="4" s="1"/>
  <c r="D2031" i="4"/>
  <c r="F2031" i="4" s="1"/>
  <c r="D2174" i="4"/>
  <c r="F2174" i="4" s="1"/>
  <c r="D62" i="4"/>
  <c r="F62" i="4" s="1"/>
  <c r="D2418" i="4"/>
  <c r="F2418" i="4" s="1"/>
  <c r="D2221" i="4"/>
  <c r="F2221" i="4" s="1"/>
  <c r="D2133" i="4"/>
  <c r="F2133" i="4" s="1"/>
  <c r="D1373" i="4"/>
  <c r="F1373" i="4" s="1"/>
  <c r="D2381" i="4"/>
  <c r="F2381" i="4" s="1"/>
  <c r="D2158" i="4"/>
  <c r="F2158" i="4" s="1"/>
  <c r="D54" i="4"/>
  <c r="F54" i="4" s="1"/>
  <c r="D2441" i="4"/>
  <c r="F2441" i="4" s="1"/>
  <c r="D2284" i="4"/>
  <c r="F2284" i="4" s="1"/>
  <c r="D2413" i="4"/>
  <c r="F2413" i="4" s="1"/>
  <c r="D1134" i="4"/>
  <c r="F1134" i="4" s="1"/>
  <c r="D2384" i="4"/>
  <c r="F2384" i="4" s="1"/>
  <c r="D2219" i="4"/>
  <c r="F2219" i="4" s="1"/>
  <c r="D1979" i="4"/>
  <c r="F1979" i="4" s="1"/>
  <c r="D1915" i="4"/>
  <c r="F1915" i="4" s="1"/>
  <c r="D2483" i="4"/>
  <c r="F2483" i="4" s="1"/>
  <c r="D2403" i="4"/>
  <c r="F2403" i="4" s="1"/>
  <c r="D2376" i="4"/>
  <c r="F2376" i="4" s="1"/>
  <c r="D2500" i="4"/>
  <c r="F2500" i="4" s="1"/>
  <c r="D2423" i="4"/>
  <c r="F2423" i="4" s="1"/>
  <c r="D2282" i="4"/>
  <c r="F2282" i="4" s="1"/>
  <c r="D1826" i="4"/>
  <c r="F1826" i="4" s="1"/>
  <c r="D2118" i="4"/>
  <c r="F2118" i="4" s="1"/>
  <c r="D2507" i="4"/>
  <c r="F2507" i="4" s="1"/>
  <c r="D2438" i="4"/>
  <c r="F2438" i="4" s="1"/>
  <c r="D2374" i="4"/>
  <c r="F2374" i="4" s="1"/>
  <c r="D2311" i="4"/>
  <c r="F2311" i="4" s="1"/>
  <c r="D2081" i="4"/>
  <c r="F2081" i="4" s="1"/>
  <c r="D2017" i="4"/>
  <c r="F2017" i="4" s="1"/>
  <c r="D1857" i="4"/>
  <c r="F1857" i="4" s="1"/>
  <c r="D2328" i="4"/>
  <c r="F2328" i="4" s="1"/>
  <c r="D2267" i="4"/>
  <c r="F2267" i="4" s="1"/>
  <c r="D2204" i="4"/>
  <c r="F2204" i="4" s="1"/>
  <c r="D2134" i="4"/>
  <c r="F2134" i="4" s="1"/>
  <c r="D2072" i="4"/>
  <c r="F2072" i="4" s="1"/>
  <c r="D2008" i="4"/>
  <c r="F2008" i="4" s="1"/>
  <c r="D1946" i="4"/>
  <c r="F1946" i="4" s="1"/>
  <c r="D1803" i="4"/>
  <c r="F1803" i="4" s="1"/>
  <c r="D2218" i="4"/>
  <c r="F2218" i="4" s="1"/>
  <c r="D2156" i="4"/>
  <c r="F2156" i="4" s="1"/>
  <c r="D2094" i="4"/>
  <c r="F2094" i="4" s="1"/>
  <c r="D2030" i="4"/>
  <c r="F2030" i="4" s="1"/>
  <c r="D1968" i="4"/>
  <c r="F1968" i="4" s="1"/>
  <c r="D1904" i="4"/>
  <c r="F1904" i="4" s="1"/>
  <c r="D1697" i="4"/>
  <c r="F1697" i="4" s="1"/>
  <c r="D1633" i="4"/>
  <c r="F1633" i="4" s="1"/>
  <c r="D1570" i="4"/>
  <c r="F1570" i="4" s="1"/>
  <c r="D1506" i="4"/>
  <c r="F1506" i="4" s="1"/>
  <c r="D1428" i="4"/>
  <c r="F1428" i="4" s="1"/>
  <c r="D2325" i="4"/>
  <c r="F2325" i="4" s="1"/>
  <c r="D2264" i="4"/>
  <c r="F2264" i="4" s="1"/>
  <c r="D2201" i="4"/>
  <c r="F2201" i="4" s="1"/>
  <c r="D2131" i="4"/>
  <c r="F2131" i="4" s="1"/>
  <c r="D2061" i="4"/>
  <c r="F2061" i="4" s="1"/>
  <c r="D1998" i="4"/>
  <c r="F1998" i="4" s="1"/>
  <c r="D1935" i="4"/>
  <c r="F1935" i="4" s="1"/>
  <c r="D1768" i="4"/>
  <c r="F1768" i="4" s="1"/>
  <c r="D1704" i="4"/>
  <c r="F1704" i="4" s="1"/>
  <c r="D1640" i="4"/>
  <c r="F1640" i="4" s="1"/>
  <c r="D1243" i="4"/>
  <c r="F1243" i="4" s="1"/>
  <c r="D2287" i="4"/>
  <c r="F2287" i="4" s="1"/>
  <c r="D2224" i="4"/>
  <c r="F2224" i="4" s="1"/>
  <c r="D2154" i="4"/>
  <c r="F2154" i="4" s="1"/>
  <c r="D2084" i="4"/>
  <c r="F2084" i="4" s="1"/>
  <c r="D1854" i="4"/>
  <c r="F1854" i="4" s="1"/>
  <c r="D1791" i="4"/>
  <c r="F1791" i="4" s="1"/>
  <c r="D1727" i="4"/>
  <c r="F1727" i="4" s="1"/>
  <c r="D2365" i="4"/>
  <c r="F2365" i="4" s="1"/>
  <c r="D2000" i="4"/>
  <c r="F2000" i="4" s="1"/>
  <c r="D2458" i="4"/>
  <c r="F2458" i="4" s="1"/>
  <c r="D2396" i="4"/>
  <c r="F2396" i="4" s="1"/>
  <c r="D2087" i="4"/>
  <c r="F2087" i="4" s="1"/>
  <c r="D2023" i="4"/>
  <c r="F2023" i="4" s="1"/>
  <c r="D2110" i="4"/>
  <c r="F2110" i="4" s="1"/>
  <c r="D46" i="4"/>
  <c r="F46" i="4" s="1"/>
  <c r="D2410" i="4"/>
  <c r="F2410" i="4" s="1"/>
  <c r="D2213" i="4"/>
  <c r="F2213" i="4" s="1"/>
  <c r="D2125" i="4"/>
  <c r="F2125" i="4" s="1"/>
  <c r="D1365" i="4"/>
  <c r="F1365" i="4" s="1"/>
  <c r="D2349" i="4"/>
  <c r="F2349" i="4" s="1"/>
  <c r="D1126" i="4"/>
  <c r="F1126" i="4" s="1"/>
  <c r="D38" i="4"/>
  <c r="F38" i="4" s="1"/>
  <c r="D2509" i="4"/>
  <c r="F2509" i="4" s="1"/>
  <c r="D2276" i="4"/>
  <c r="F2276" i="4" s="1"/>
  <c r="D2373" i="4"/>
  <c r="F2373" i="4" s="1"/>
  <c r="D254" i="4"/>
  <c r="F254" i="4" s="1"/>
  <c r="D2368" i="4"/>
  <c r="F2368" i="4" s="1"/>
  <c r="D2211" i="4"/>
  <c r="F2211" i="4" s="1"/>
  <c r="D1971" i="4"/>
  <c r="F1971" i="4" s="1"/>
  <c r="D1907" i="4"/>
  <c r="F1907" i="4" s="1"/>
  <c r="D2452" i="4"/>
  <c r="F2452" i="4" s="1"/>
  <c r="D2363" i="4"/>
  <c r="F2363" i="4" s="1"/>
  <c r="D2360" i="4"/>
  <c r="F2360" i="4" s="1"/>
  <c r="D2493" i="4"/>
  <c r="F2493" i="4" s="1"/>
  <c r="D2415" i="4"/>
  <c r="F2415" i="4" s="1"/>
  <c r="D2274" i="4"/>
  <c r="F2274" i="4" s="1"/>
  <c r="D1818" i="4"/>
  <c r="F1818" i="4" s="1"/>
  <c r="D1046" i="4"/>
  <c r="F1046" i="4" s="1"/>
  <c r="D2499" i="4"/>
  <c r="F2499" i="4" s="1"/>
  <c r="D2430" i="4"/>
  <c r="F2430" i="4" s="1"/>
  <c r="D2366" i="4"/>
  <c r="F2366" i="4" s="1"/>
  <c r="D2289" i="4"/>
  <c r="F2289" i="4" s="1"/>
  <c r="D2073" i="4"/>
  <c r="F2073" i="4" s="1"/>
  <c r="D2009" i="4"/>
  <c r="F2009" i="4" s="1"/>
  <c r="D1849" i="4"/>
  <c r="F1849" i="4" s="1"/>
  <c r="D2320" i="4"/>
  <c r="F2320" i="4" s="1"/>
  <c r="D2259" i="4"/>
  <c r="F2259" i="4" s="1"/>
  <c r="D2196" i="4"/>
  <c r="F2196" i="4" s="1"/>
  <c r="D2126" i="4"/>
  <c r="F2126" i="4" s="1"/>
  <c r="D2064" i="4"/>
  <c r="F2064" i="4" s="1"/>
  <c r="D2001" i="4"/>
  <c r="F2001" i="4" s="1"/>
  <c r="D1938" i="4"/>
  <c r="F1938" i="4" s="1"/>
  <c r="D1795" i="4"/>
  <c r="F1795" i="4" s="1"/>
  <c r="D2210" i="4"/>
  <c r="F2210" i="4" s="1"/>
  <c r="D2148" i="4"/>
  <c r="F2148" i="4" s="1"/>
  <c r="D2086" i="4"/>
  <c r="F2086" i="4" s="1"/>
  <c r="D2022" i="4"/>
  <c r="F2022" i="4" s="1"/>
  <c r="D1960" i="4"/>
  <c r="F1960" i="4" s="1"/>
  <c r="D1896" i="4"/>
  <c r="F1896" i="4" s="1"/>
  <c r="D1689" i="4"/>
  <c r="F1689" i="4" s="1"/>
  <c r="D1625" i="4"/>
  <c r="F1625" i="4" s="1"/>
  <c r="D1562" i="4"/>
  <c r="F1562" i="4" s="1"/>
  <c r="D1498" i="4"/>
  <c r="F1498" i="4" s="1"/>
  <c r="D2380" i="4"/>
  <c r="F2380" i="4" s="1"/>
  <c r="D2317" i="4"/>
  <c r="F2317" i="4" s="1"/>
  <c r="D2256" i="4"/>
  <c r="F2256" i="4" s="1"/>
  <c r="D2193" i="4"/>
  <c r="F2193" i="4" s="1"/>
  <c r="D2116" i="4"/>
  <c r="F2116" i="4" s="1"/>
  <c r="D2053" i="4"/>
  <c r="F2053" i="4" s="1"/>
  <c r="D1991" i="4"/>
  <c r="F1991" i="4" s="1"/>
  <c r="D1927" i="4"/>
  <c r="F1927" i="4" s="1"/>
  <c r="D1760" i="4"/>
  <c r="F1760" i="4" s="1"/>
  <c r="D1696" i="4"/>
  <c r="F1696" i="4" s="1"/>
  <c r="D1632" i="4"/>
  <c r="F1632" i="4" s="1"/>
  <c r="D1235" i="4"/>
  <c r="F1235" i="4" s="1"/>
  <c r="D2279" i="4"/>
  <c r="F2279" i="4" s="1"/>
  <c r="D2216" i="4"/>
  <c r="F2216" i="4" s="1"/>
  <c r="D2146" i="4"/>
  <c r="F2146" i="4" s="1"/>
  <c r="D2076" i="4"/>
  <c r="F2076" i="4" s="1"/>
  <c r="D1846" i="4"/>
  <c r="F1846" i="4" s="1"/>
  <c r="D1783" i="4"/>
  <c r="F1783" i="4" s="1"/>
  <c r="D1719" i="4"/>
  <c r="F1719" i="4" s="1"/>
  <c r="D1655" i="4"/>
  <c r="F1655" i="4" s="1"/>
  <c r="D1584" i="4"/>
  <c r="F1584" i="4" s="1"/>
  <c r="D1520" i="4"/>
  <c r="F1520" i="4" s="1"/>
  <c r="D2323" i="4"/>
  <c r="F2323" i="4" s="1"/>
  <c r="D2262" i="4"/>
  <c r="F2262" i="4" s="1"/>
  <c r="D2199" i="4"/>
  <c r="F2199" i="4" s="1"/>
  <c r="D2137" i="4"/>
  <c r="F2137" i="4" s="1"/>
  <c r="D2075" i="4"/>
  <c r="F2075" i="4" s="1"/>
  <c r="D2011" i="4"/>
  <c r="F2011" i="4" s="1"/>
  <c r="D1933" i="4"/>
  <c r="F1933" i="4" s="1"/>
  <c r="D1869" i="4"/>
  <c r="F1869" i="4" s="1"/>
  <c r="D2341" i="4"/>
  <c r="F2341" i="4" s="1"/>
  <c r="D2512" i="4"/>
  <c r="F2512" i="4" s="1"/>
  <c r="D2451" i="4"/>
  <c r="F2451" i="4" s="1"/>
  <c r="D2388" i="4"/>
  <c r="F2388" i="4" s="1"/>
  <c r="D2079" i="4"/>
  <c r="F2079" i="4" s="1"/>
  <c r="D2015" i="4"/>
  <c r="F2015" i="4" s="1"/>
  <c r="D1038" i="4"/>
  <c r="F1038" i="4" s="1"/>
  <c r="D2503" i="4"/>
  <c r="F2503" i="4" s="1"/>
  <c r="D2402" i="4"/>
  <c r="F2402" i="4" s="1"/>
  <c r="D2205" i="4"/>
  <c r="F2205" i="4" s="1"/>
  <c r="D1421" i="4"/>
  <c r="F1421" i="4" s="1"/>
  <c r="D1237" i="4"/>
  <c r="F1237" i="4" s="1"/>
  <c r="D2496" i="4"/>
  <c r="F2496" i="4" s="1"/>
  <c r="D430" i="4"/>
  <c r="F430" i="4" s="1"/>
  <c r="D30" i="4"/>
  <c r="F30" i="4" s="1"/>
  <c r="D2502" i="4"/>
  <c r="F2502" i="4" s="1"/>
  <c r="D2268" i="4"/>
  <c r="F2268" i="4" s="1"/>
  <c r="D2511" i="4"/>
  <c r="F2511" i="4" s="1"/>
  <c r="D22" i="4"/>
  <c r="F22" i="4" s="1"/>
  <c r="D2352" i="4"/>
  <c r="F2352" i="4" s="1"/>
  <c r="D2203" i="4"/>
  <c r="F2203" i="4" s="1"/>
  <c r="D1963" i="4"/>
  <c r="F1963" i="4" s="1"/>
  <c r="D1899" i="4"/>
  <c r="F1899" i="4" s="1"/>
  <c r="D2429" i="4"/>
  <c r="F2429" i="4" s="1"/>
  <c r="D2478" i="4"/>
  <c r="F2478" i="4" s="1"/>
  <c r="D2344" i="4"/>
  <c r="F2344" i="4" s="1"/>
  <c r="D2485" i="4"/>
  <c r="F2485" i="4" s="1"/>
  <c r="D2407" i="4"/>
  <c r="F2407" i="4" s="1"/>
  <c r="D2266" i="4"/>
  <c r="F2266" i="4" s="1"/>
  <c r="D2513" i="4"/>
  <c r="F2513" i="4" s="1"/>
  <c r="D446" i="4"/>
  <c r="F446" i="4" s="1"/>
  <c r="D2492" i="4"/>
  <c r="F2492" i="4" s="1"/>
  <c r="D2422" i="4"/>
  <c r="F2422" i="4" s="1"/>
  <c r="D2358" i="4"/>
  <c r="F2358" i="4" s="1"/>
  <c r="D2281" i="4"/>
  <c r="F2281" i="4" s="1"/>
  <c r="D2065" i="4"/>
  <c r="F2065" i="4" s="1"/>
  <c r="D1993" i="4"/>
  <c r="F1993" i="4" s="1"/>
  <c r="D1841" i="4"/>
  <c r="F1841" i="4" s="1"/>
  <c r="D2312" i="4"/>
  <c r="F2312" i="4" s="1"/>
  <c r="D2252" i="4"/>
  <c r="F2252" i="4" s="1"/>
  <c r="D2188" i="4"/>
  <c r="F2188" i="4" s="1"/>
  <c r="D2119" i="4"/>
  <c r="F2119" i="4" s="1"/>
  <c r="D2056" i="4"/>
  <c r="F2056" i="4" s="1"/>
  <c r="D1994" i="4"/>
  <c r="F1994" i="4" s="1"/>
  <c r="D1930" i="4"/>
  <c r="F1930" i="4" s="1"/>
  <c r="D1787" i="4"/>
  <c r="F1787" i="4" s="1"/>
  <c r="D2202" i="4"/>
  <c r="F2202" i="4" s="1"/>
  <c r="D2140" i="4"/>
  <c r="F2140" i="4" s="1"/>
  <c r="D2078" i="4"/>
  <c r="F2078" i="4" s="1"/>
  <c r="D2014" i="4"/>
  <c r="F2014" i="4" s="1"/>
  <c r="D1952" i="4"/>
  <c r="F1952" i="4" s="1"/>
  <c r="D1745" i="4"/>
  <c r="F1745" i="4" s="1"/>
  <c r="D1681" i="4"/>
  <c r="F1681" i="4" s="1"/>
  <c r="D1618" i="4"/>
  <c r="F1618" i="4" s="1"/>
  <c r="D1554" i="4"/>
  <c r="F1554" i="4" s="1"/>
  <c r="D1490" i="4"/>
  <c r="F1490" i="4" s="1"/>
  <c r="D2372" i="4"/>
  <c r="F2372" i="4" s="1"/>
  <c r="D2309" i="4"/>
  <c r="F2309" i="4" s="1"/>
  <c r="D2249" i="4"/>
  <c r="F2249" i="4" s="1"/>
  <c r="D2185" i="4"/>
  <c r="F2185" i="4" s="1"/>
  <c r="D2108" i="4"/>
  <c r="F2108" i="4" s="1"/>
  <c r="D2045" i="4"/>
  <c r="F2045" i="4" s="1"/>
  <c r="D1983" i="4"/>
  <c r="F1983" i="4" s="1"/>
  <c r="D1919" i="4"/>
  <c r="F1919" i="4" s="1"/>
  <c r="D1752" i="4"/>
  <c r="F1752" i="4" s="1"/>
  <c r="D1688" i="4"/>
  <c r="F1688" i="4" s="1"/>
  <c r="D1624" i="4"/>
  <c r="F1624" i="4" s="1"/>
  <c r="D1052" i="4"/>
  <c r="F1052" i="4" s="1"/>
  <c r="D2271" i="4"/>
  <c r="F2271" i="4" s="1"/>
  <c r="D2208" i="4"/>
  <c r="F2208" i="4" s="1"/>
  <c r="D2138" i="4"/>
  <c r="F2138" i="4" s="1"/>
  <c r="D2068" i="4"/>
  <c r="F2068" i="4" s="1"/>
  <c r="D1838" i="4"/>
  <c r="F1838" i="4" s="1"/>
  <c r="D1775" i="4"/>
  <c r="F1775" i="4" s="1"/>
  <c r="D1711" i="4"/>
  <c r="F1711" i="4" s="1"/>
  <c r="D1647" i="4"/>
  <c r="F1647" i="4" s="1"/>
  <c r="D1576" i="4"/>
  <c r="F1576" i="4" s="1"/>
  <c r="D1512" i="4"/>
  <c r="F1512" i="4" s="1"/>
  <c r="D2315" i="4"/>
  <c r="F2315" i="4" s="1"/>
  <c r="D2254" i="4"/>
  <c r="F2254" i="4" s="1"/>
  <c r="D2191" i="4"/>
  <c r="F2191" i="4" s="1"/>
  <c r="D2129" i="4"/>
  <c r="F2129" i="4" s="1"/>
  <c r="D2067" i="4"/>
  <c r="F2067" i="4" s="1"/>
  <c r="D1989" i="4"/>
  <c r="F1989" i="4" s="1"/>
  <c r="D1925" i="4"/>
  <c r="F1925" i="4" s="1"/>
  <c r="D2333" i="4"/>
  <c r="F2333" i="4" s="1"/>
  <c r="D2071" i="4"/>
  <c r="F2071" i="4" s="1"/>
  <c r="D2394" i="4"/>
  <c r="F2394" i="4" s="1"/>
  <c r="D2473" i="4"/>
  <c r="F2473" i="4" s="1"/>
  <c r="D2260" i="4"/>
  <c r="F2260" i="4" s="1"/>
  <c r="D2195" i="4"/>
  <c r="F2195" i="4" s="1"/>
  <c r="D2504" i="4"/>
  <c r="F2504" i="4" s="1"/>
  <c r="D2469" i="4"/>
  <c r="F2469" i="4" s="1"/>
  <c r="D2475" i="4"/>
  <c r="F2475" i="4" s="1"/>
  <c r="D2468" i="4"/>
  <c r="F2468" i="4" s="1"/>
  <c r="D2273" i="4"/>
  <c r="F2273" i="4" s="1"/>
  <c r="D1985" i="4"/>
  <c r="F1985" i="4" s="1"/>
  <c r="D2304" i="4"/>
  <c r="F2304" i="4" s="1"/>
  <c r="D2180" i="4"/>
  <c r="F2180" i="4" s="1"/>
  <c r="D2048" i="4"/>
  <c r="F2048" i="4" s="1"/>
  <c r="D1922" i="4"/>
  <c r="F1922" i="4" s="1"/>
  <c r="D2194" i="4"/>
  <c r="F2194" i="4" s="1"/>
  <c r="D2070" i="4"/>
  <c r="F2070" i="4" s="1"/>
  <c r="D1944" i="4"/>
  <c r="F1944" i="4" s="1"/>
  <c r="D1673" i="4"/>
  <c r="F1673" i="4" s="1"/>
  <c r="D1546" i="4"/>
  <c r="F1546" i="4" s="1"/>
  <c r="D2364" i="4"/>
  <c r="F2364" i="4" s="1"/>
  <c r="D2241" i="4"/>
  <c r="F2241" i="4" s="1"/>
  <c r="D2101" i="4"/>
  <c r="F2101" i="4" s="1"/>
  <c r="D1975" i="4"/>
  <c r="F1975" i="4" s="1"/>
  <c r="D1744" i="4"/>
  <c r="F1744" i="4" s="1"/>
  <c r="D1617" i="4"/>
  <c r="F1617" i="4" s="1"/>
  <c r="D2263" i="4"/>
  <c r="F2263" i="4" s="1"/>
  <c r="D2130" i="4"/>
  <c r="F2130" i="4" s="1"/>
  <c r="D1831" i="4"/>
  <c r="F1831" i="4" s="1"/>
  <c r="D1703" i="4"/>
  <c r="F1703" i="4" s="1"/>
  <c r="D1600" i="4"/>
  <c r="F1600" i="4" s="1"/>
  <c r="D2370" i="4"/>
  <c r="F2370" i="4" s="1"/>
  <c r="D2270" i="4"/>
  <c r="F2270" i="4" s="1"/>
  <c r="D2168" i="4"/>
  <c r="F2168" i="4" s="1"/>
  <c r="D2059" i="4"/>
  <c r="F2059" i="4" s="1"/>
  <c r="D1949" i="4"/>
  <c r="F1949" i="4" s="1"/>
  <c r="D1853" i="4"/>
  <c r="F1853" i="4" s="1"/>
  <c r="D1782" i="4"/>
  <c r="F1782" i="4" s="1"/>
  <c r="D2440" i="4"/>
  <c r="F2440" i="4" s="1"/>
  <c r="D2377" i="4"/>
  <c r="F2377" i="4" s="1"/>
  <c r="D2314" i="4"/>
  <c r="F2314" i="4" s="1"/>
  <c r="D2246" i="4"/>
  <c r="F2246" i="4" s="1"/>
  <c r="D2182" i="4"/>
  <c r="F2182" i="4" s="1"/>
  <c r="D2121" i="4"/>
  <c r="F2121" i="4" s="1"/>
  <c r="D2050" i="4"/>
  <c r="F2050" i="4" s="1"/>
  <c r="D1980" i="4"/>
  <c r="F1980" i="4" s="1"/>
  <c r="D1916" i="4"/>
  <c r="F1916" i="4" s="1"/>
  <c r="D1852" i="4"/>
  <c r="F1852" i="4" s="1"/>
  <c r="D1553" i="4"/>
  <c r="F1553" i="4" s="1"/>
  <c r="D1489" i="4"/>
  <c r="F1489" i="4" s="1"/>
  <c r="D1412" i="4"/>
  <c r="F1412" i="4" s="1"/>
  <c r="D1348" i="4"/>
  <c r="F1348" i="4" s="1"/>
  <c r="D1284" i="4"/>
  <c r="F1284" i="4" s="1"/>
  <c r="D1197" i="4"/>
  <c r="F1197" i="4" s="1"/>
  <c r="D1029" i="4"/>
  <c r="F1029" i="4" s="1"/>
  <c r="D1781" i="4"/>
  <c r="F1781" i="4" s="1"/>
  <c r="D1718" i="4"/>
  <c r="F1718" i="4" s="1"/>
  <c r="D1654" i="4"/>
  <c r="F1654" i="4" s="1"/>
  <c r="D1583" i="4"/>
  <c r="F1583" i="4" s="1"/>
  <c r="D1519" i="4"/>
  <c r="F1519" i="4" s="1"/>
  <c r="D1457" i="4"/>
  <c r="F1457" i="4" s="1"/>
  <c r="D1394" i="4"/>
  <c r="F1394" i="4" s="1"/>
  <c r="D1330" i="4"/>
  <c r="F1330" i="4" s="1"/>
  <c r="D1266" i="4"/>
  <c r="F1266" i="4" s="1"/>
  <c r="D1937" i="4"/>
  <c r="F1937" i="4" s="1"/>
  <c r="D1874" i="4"/>
  <c r="F1874" i="4" s="1"/>
  <c r="D1804" i="4"/>
  <c r="F1804" i="4" s="1"/>
  <c r="D1741" i="4"/>
  <c r="F1741" i="4" s="1"/>
  <c r="D1677" i="4"/>
  <c r="F1677" i="4" s="1"/>
  <c r="D2326" i="4"/>
  <c r="F2326" i="4" s="1"/>
  <c r="D2063" i="4"/>
  <c r="F2063" i="4" s="1"/>
  <c r="D2386" i="4"/>
  <c r="F2386" i="4" s="1"/>
  <c r="D2450" i="4"/>
  <c r="F2450" i="4" s="1"/>
  <c r="D2172" i="4"/>
  <c r="F2172" i="4" s="1"/>
  <c r="D2187" i="4"/>
  <c r="F2187" i="4" s="1"/>
  <c r="D2454" i="4"/>
  <c r="F2454" i="4" s="1"/>
  <c r="D2461" i="4"/>
  <c r="F2461" i="4" s="1"/>
  <c r="D2427" i="4"/>
  <c r="F2427" i="4" s="1"/>
  <c r="D2414" i="4"/>
  <c r="F2414" i="4" s="1"/>
  <c r="D2265" i="4"/>
  <c r="F2265" i="4" s="1"/>
  <c r="D1889" i="4"/>
  <c r="F1889" i="4" s="1"/>
  <c r="D2298" i="4"/>
  <c r="F2298" i="4" s="1"/>
  <c r="D2173" i="4"/>
  <c r="F2173" i="4" s="1"/>
  <c r="D2040" i="4"/>
  <c r="F2040" i="4" s="1"/>
  <c r="D1914" i="4"/>
  <c r="F1914" i="4" s="1"/>
  <c r="D2186" i="4"/>
  <c r="F2186" i="4" s="1"/>
  <c r="D2062" i="4"/>
  <c r="F2062" i="4" s="1"/>
  <c r="D1936" i="4"/>
  <c r="F1936" i="4" s="1"/>
  <c r="D1665" i="4"/>
  <c r="F1665" i="4" s="1"/>
  <c r="D1538" i="4"/>
  <c r="F1538" i="4" s="1"/>
  <c r="D2356" i="4"/>
  <c r="F2356" i="4" s="1"/>
  <c r="D2233" i="4"/>
  <c r="F2233" i="4" s="1"/>
  <c r="D2093" i="4"/>
  <c r="F2093" i="4" s="1"/>
  <c r="D1967" i="4"/>
  <c r="F1967" i="4" s="1"/>
  <c r="D1736" i="4"/>
  <c r="F1736" i="4" s="1"/>
  <c r="D1609" i="4"/>
  <c r="F1609" i="4" s="1"/>
  <c r="D2255" i="4"/>
  <c r="F2255" i="4" s="1"/>
  <c r="D2115" i="4"/>
  <c r="F2115" i="4" s="1"/>
  <c r="D1823" i="4"/>
  <c r="F1823" i="4" s="1"/>
  <c r="D1695" i="4"/>
  <c r="F1695" i="4" s="1"/>
  <c r="D1592" i="4"/>
  <c r="F1592" i="4" s="1"/>
  <c r="D2362" i="4"/>
  <c r="F2362" i="4" s="1"/>
  <c r="D2247" i="4"/>
  <c r="F2247" i="4" s="1"/>
  <c r="D2153" i="4"/>
  <c r="F2153" i="4" s="1"/>
  <c r="D2051" i="4"/>
  <c r="F2051" i="4" s="1"/>
  <c r="D1941" i="4"/>
  <c r="F1941" i="4" s="1"/>
  <c r="D1845" i="4"/>
  <c r="F1845" i="4" s="1"/>
  <c r="D1774" i="4"/>
  <c r="F1774" i="4" s="1"/>
  <c r="D2433" i="4"/>
  <c r="F2433" i="4" s="1"/>
  <c r="D2369" i="4"/>
  <c r="F2369" i="4" s="1"/>
  <c r="D2306" i="4"/>
  <c r="F2306" i="4" s="1"/>
  <c r="D2238" i="4"/>
  <c r="F2238" i="4" s="1"/>
  <c r="D2175" i="4"/>
  <c r="F2175" i="4" s="1"/>
  <c r="D2113" i="4"/>
  <c r="F2113" i="4" s="1"/>
  <c r="D2042" i="4"/>
  <c r="F2042" i="4" s="1"/>
  <c r="D1972" i="4"/>
  <c r="F1972" i="4" s="1"/>
  <c r="D1908" i="4"/>
  <c r="F1908" i="4" s="1"/>
  <c r="D1844" i="4"/>
  <c r="F1844" i="4" s="1"/>
  <c r="D1545" i="4"/>
  <c r="F1545" i="4" s="1"/>
  <c r="D1474" i="4"/>
  <c r="F1474" i="4" s="1"/>
  <c r="D1404" i="4"/>
  <c r="F1404" i="4" s="1"/>
  <c r="D1340" i="4"/>
  <c r="F1340" i="4" s="1"/>
  <c r="D1276" i="4"/>
  <c r="F1276" i="4" s="1"/>
  <c r="D1189" i="4"/>
  <c r="F1189" i="4" s="1"/>
  <c r="D1851" i="4"/>
  <c r="F1851" i="4" s="1"/>
  <c r="D1773" i="4"/>
  <c r="F1773" i="4" s="1"/>
  <c r="D1710" i="4"/>
  <c r="F1710" i="4" s="1"/>
  <c r="D1646" i="4"/>
  <c r="F1646" i="4" s="1"/>
  <c r="D1575" i="4"/>
  <c r="F1575" i="4" s="1"/>
  <c r="D1511" i="4"/>
  <c r="F1511" i="4" s="1"/>
  <c r="D1449" i="4"/>
  <c r="F1449" i="4" s="1"/>
  <c r="D1386" i="4"/>
  <c r="F1386" i="4" s="1"/>
  <c r="D1322" i="4"/>
  <c r="F1322" i="4" s="1"/>
  <c r="D1258" i="4"/>
  <c r="F1258" i="4" s="1"/>
  <c r="D1929" i="4"/>
  <c r="F1929" i="4" s="1"/>
  <c r="D1866" i="4"/>
  <c r="F1866" i="4" s="1"/>
  <c r="D1796" i="4"/>
  <c r="F1796" i="4" s="1"/>
  <c r="D1733" i="4"/>
  <c r="F1733" i="4" s="1"/>
  <c r="D1669" i="4"/>
  <c r="F1669" i="4" s="1"/>
  <c r="D1606" i="4"/>
  <c r="F1606" i="4" s="1"/>
  <c r="D1542" i="4"/>
  <c r="F1542" i="4" s="1"/>
  <c r="D1479" i="4"/>
  <c r="F1479" i="4" s="1"/>
  <c r="D1417" i="4"/>
  <c r="F1417" i="4" s="1"/>
  <c r="D1353" i="4"/>
  <c r="F1353" i="4" s="1"/>
  <c r="D1289" i="4"/>
  <c r="F1289" i="4" s="1"/>
  <c r="D994" i="4"/>
  <c r="F994" i="4" s="1"/>
  <c r="D1732" i="4"/>
  <c r="F1732" i="4" s="1"/>
  <c r="D1668" i="4"/>
  <c r="F1668" i="4" s="1"/>
  <c r="D1605" i="4"/>
  <c r="F1605" i="4" s="1"/>
  <c r="D1541" i="4"/>
  <c r="F1541" i="4" s="1"/>
  <c r="D1478" i="4"/>
  <c r="F1478" i="4" s="1"/>
  <c r="D1408" i="4"/>
  <c r="F1408" i="4" s="1"/>
  <c r="D1025" i="4"/>
  <c r="F1025" i="4" s="1"/>
  <c r="D722" i="4"/>
  <c r="F722" i="4" s="1"/>
  <c r="D658" i="4"/>
  <c r="F658" i="4" s="1"/>
  <c r="D554" i="4"/>
  <c r="F554" i="4" s="1"/>
  <c r="D482" i="4"/>
  <c r="F482" i="4" s="1"/>
  <c r="D1848" i="4"/>
  <c r="F1848" i="4" s="1"/>
  <c r="D1786" i="4"/>
  <c r="F1786" i="4" s="1"/>
  <c r="D1715" i="4"/>
  <c r="F1715" i="4" s="1"/>
  <c r="D1651" i="4"/>
  <c r="F1651" i="4" s="1"/>
  <c r="D1080" i="4"/>
  <c r="F1080" i="4" s="1"/>
  <c r="D968" i="4"/>
  <c r="F968" i="4" s="1"/>
  <c r="D897" i="4"/>
  <c r="F897" i="4" s="1"/>
  <c r="D833" i="4"/>
  <c r="F833" i="4" s="1"/>
  <c r="D769" i="4"/>
  <c r="F769" i="4" s="1"/>
  <c r="D2004" i="4"/>
  <c r="F2004" i="4" s="1"/>
  <c r="D1942" i="4"/>
  <c r="F1942" i="4" s="1"/>
  <c r="D1879" i="4"/>
  <c r="F1879" i="4" s="1"/>
  <c r="D1816" i="4"/>
  <c r="F1816" i="4" s="1"/>
  <c r="D1753" i="4"/>
  <c r="F1753" i="4" s="1"/>
  <c r="D1690" i="4"/>
  <c r="F1690" i="4" s="1"/>
  <c r="D1223" i="4"/>
  <c r="F1223" i="4" s="1"/>
  <c r="D1159" i="4"/>
  <c r="F1159" i="4" s="1"/>
  <c r="D1015" i="4"/>
  <c r="F1015" i="4" s="1"/>
  <c r="D1458" i="4"/>
  <c r="F1458" i="4" s="1"/>
  <c r="D1395" i="4"/>
  <c r="F1395" i="4" s="1"/>
  <c r="D1331" i="4"/>
  <c r="F1331" i="4" s="1"/>
  <c r="D1267" i="4"/>
  <c r="F1267" i="4" s="1"/>
  <c r="D1206" i="4"/>
  <c r="F1206" i="4" s="1"/>
  <c r="D1142" i="4"/>
  <c r="F1142" i="4" s="1"/>
  <c r="D1073" i="4"/>
  <c r="F1073" i="4" s="1"/>
  <c r="D1016" i="4"/>
  <c r="F1016" i="4" s="1"/>
  <c r="D938" i="4"/>
  <c r="F938" i="4" s="1"/>
  <c r="D874" i="4"/>
  <c r="F874" i="4" s="1"/>
  <c r="D507" i="4"/>
  <c r="F507" i="4" s="1"/>
  <c r="D1273" i="4"/>
  <c r="F1273" i="4" s="1"/>
  <c r="D1212" i="4"/>
  <c r="F1212" i="4" s="1"/>
  <c r="D1148" i="4"/>
  <c r="F1148" i="4" s="1"/>
  <c r="D1087" i="4"/>
  <c r="F1087" i="4" s="1"/>
  <c r="D1014" i="4"/>
  <c r="F1014" i="4" s="1"/>
  <c r="D952" i="4"/>
  <c r="F952" i="4" s="1"/>
  <c r="D888" i="4"/>
  <c r="F888" i="4" s="1"/>
  <c r="D824" i="4"/>
  <c r="F824" i="4" s="1"/>
  <c r="D753" i="4"/>
  <c r="F753" i="4" s="1"/>
  <c r="D689" i="4"/>
  <c r="F689" i="4" s="1"/>
  <c r="D1336" i="4"/>
  <c r="F1336" i="4" s="1"/>
  <c r="D1272" i="4"/>
  <c r="F1272" i="4" s="1"/>
  <c r="D1203" i="4"/>
  <c r="F1203" i="4" s="1"/>
  <c r="D1139" i="4"/>
  <c r="F1139" i="4" s="1"/>
  <c r="D1078" i="4"/>
  <c r="F1078" i="4" s="1"/>
  <c r="D1013" i="4"/>
  <c r="F1013" i="4" s="1"/>
  <c r="D951" i="4"/>
  <c r="F951" i="4" s="1"/>
  <c r="D887" i="4"/>
  <c r="F887" i="4" s="1"/>
  <c r="D823" i="4"/>
  <c r="F823" i="4" s="1"/>
  <c r="D752" i="4"/>
  <c r="F752" i="4" s="1"/>
  <c r="D1564" i="4"/>
  <c r="F1564" i="4" s="1"/>
  <c r="D1500" i="4"/>
  <c r="F1500" i="4" s="1"/>
  <c r="D1438" i="4"/>
  <c r="F1438" i="4" s="1"/>
  <c r="D1375" i="4"/>
  <c r="F1375" i="4" s="1"/>
  <c r="D1311" i="4"/>
  <c r="F1311" i="4" s="1"/>
  <c r="D1247" i="4"/>
  <c r="F1247" i="4" s="1"/>
  <c r="D1186" i="4"/>
  <c r="F1186" i="4" s="1"/>
  <c r="D1123" i="4"/>
  <c r="F1123" i="4" s="1"/>
  <c r="D1061" i="4"/>
  <c r="F1061" i="4" s="1"/>
  <c r="D973" i="4"/>
  <c r="F973" i="4" s="1"/>
  <c r="D1579" i="4"/>
  <c r="F1579" i="4" s="1"/>
  <c r="D1515" i="4"/>
  <c r="F1515" i="4" s="1"/>
  <c r="D1453" i="4"/>
  <c r="F1453" i="4" s="1"/>
  <c r="D1390" i="4"/>
  <c r="F1390" i="4" s="1"/>
  <c r="D1326" i="4"/>
  <c r="F1326" i="4" s="1"/>
  <c r="D1262" i="4"/>
  <c r="F1262" i="4" s="1"/>
  <c r="D1201" i="4"/>
  <c r="F1201" i="4" s="1"/>
  <c r="D1137" i="4"/>
  <c r="F1137" i="4" s="1"/>
  <c r="D1068" i="4"/>
  <c r="F1068" i="4" s="1"/>
  <c r="D988" i="4"/>
  <c r="F988" i="4" s="1"/>
  <c r="D1325" i="4"/>
  <c r="F1325" i="4" s="1"/>
  <c r="D1261" i="4"/>
  <c r="F1261" i="4" s="1"/>
  <c r="D1192" i="4"/>
  <c r="F1192" i="4" s="1"/>
  <c r="D1121" i="4"/>
  <c r="F1121" i="4" s="1"/>
  <c r="D1059" i="4"/>
  <c r="F1059" i="4" s="1"/>
  <c r="D995" i="4"/>
  <c r="F995" i="4" s="1"/>
  <c r="D2505" i="4"/>
  <c r="F2505" i="4" s="1"/>
  <c r="D2007" i="4"/>
  <c r="F2007" i="4" s="1"/>
  <c r="D2197" i="4"/>
  <c r="F2197" i="4" s="1"/>
  <c r="D238" i="4"/>
  <c r="F238" i="4" s="1"/>
  <c r="D2481" i="4"/>
  <c r="F2481" i="4" s="1"/>
  <c r="D1955" i="4"/>
  <c r="F1955" i="4" s="1"/>
  <c r="D2432" i="4"/>
  <c r="F2432" i="4" s="1"/>
  <c r="D2399" i="4"/>
  <c r="F2399" i="4" s="1"/>
  <c r="D2387" i="4"/>
  <c r="F2387" i="4" s="1"/>
  <c r="D2406" i="4"/>
  <c r="F2406" i="4" s="1"/>
  <c r="D2257" i="4"/>
  <c r="F2257" i="4" s="1"/>
  <c r="D1881" i="4"/>
  <c r="F1881" i="4" s="1"/>
  <c r="D2291" i="4"/>
  <c r="F2291" i="4" s="1"/>
  <c r="D2165" i="4"/>
  <c r="F2165" i="4" s="1"/>
  <c r="D2032" i="4"/>
  <c r="F2032" i="4" s="1"/>
  <c r="D1906" i="4"/>
  <c r="F1906" i="4" s="1"/>
  <c r="D2178" i="4"/>
  <c r="F2178" i="4" s="1"/>
  <c r="D2054" i="4"/>
  <c r="F2054" i="4" s="1"/>
  <c r="D1928" i="4"/>
  <c r="F1928" i="4" s="1"/>
  <c r="D1657" i="4"/>
  <c r="F1657" i="4" s="1"/>
  <c r="D1530" i="4"/>
  <c r="F1530" i="4" s="1"/>
  <c r="D2348" i="4"/>
  <c r="F2348" i="4" s="1"/>
  <c r="D2225" i="4"/>
  <c r="F2225" i="4" s="1"/>
  <c r="D2085" i="4"/>
  <c r="F2085" i="4" s="1"/>
  <c r="D1959" i="4"/>
  <c r="F1959" i="4" s="1"/>
  <c r="D1728" i="4"/>
  <c r="F1728" i="4" s="1"/>
  <c r="D1601" i="4"/>
  <c r="F1601" i="4" s="1"/>
  <c r="D2248" i="4"/>
  <c r="F2248" i="4" s="1"/>
  <c r="D2107" i="4"/>
  <c r="F2107" i="4" s="1"/>
  <c r="D1815" i="4"/>
  <c r="F1815" i="4" s="1"/>
  <c r="D1687" i="4"/>
  <c r="F1687" i="4" s="1"/>
  <c r="D1568" i="4"/>
  <c r="F1568" i="4" s="1"/>
  <c r="D2346" i="4"/>
  <c r="F2346" i="4" s="1"/>
  <c r="D2239" i="4"/>
  <c r="F2239" i="4" s="1"/>
  <c r="D2145" i="4"/>
  <c r="F2145" i="4" s="1"/>
  <c r="D2043" i="4"/>
  <c r="F2043" i="4" s="1"/>
  <c r="D1917" i="4"/>
  <c r="F1917" i="4" s="1"/>
  <c r="D1837" i="4"/>
  <c r="F1837" i="4" s="1"/>
  <c r="D1758" i="4"/>
  <c r="F1758" i="4" s="1"/>
  <c r="D2425" i="4"/>
  <c r="F2425" i="4" s="1"/>
  <c r="D2361" i="4"/>
  <c r="F2361" i="4" s="1"/>
  <c r="D2300" i="4"/>
  <c r="F2300" i="4" s="1"/>
  <c r="D2230" i="4"/>
  <c r="F2230" i="4" s="1"/>
  <c r="D2167" i="4"/>
  <c r="F2167" i="4" s="1"/>
  <c r="D2098" i="4"/>
  <c r="F2098" i="4" s="1"/>
  <c r="D2034" i="4"/>
  <c r="F2034" i="4" s="1"/>
  <c r="D1964" i="4"/>
  <c r="F1964" i="4" s="1"/>
  <c r="D1900" i="4"/>
  <c r="F1900" i="4" s="1"/>
  <c r="D1829" i="4"/>
  <c r="F1829" i="4" s="1"/>
  <c r="D1537" i="4"/>
  <c r="F1537" i="4" s="1"/>
  <c r="D1459" i="4"/>
  <c r="F1459" i="4" s="1"/>
  <c r="D1396" i="4"/>
  <c r="F1396" i="4" s="1"/>
  <c r="D1332" i="4"/>
  <c r="F1332" i="4" s="1"/>
  <c r="D1268" i="4"/>
  <c r="F1268" i="4" s="1"/>
  <c r="D1181" i="4"/>
  <c r="F1181" i="4" s="1"/>
  <c r="D1843" i="4"/>
  <c r="F1843" i="4" s="1"/>
  <c r="D1765" i="4"/>
  <c r="F1765" i="4" s="1"/>
  <c r="D1702" i="4"/>
  <c r="F1702" i="4" s="1"/>
  <c r="D1638" i="4"/>
  <c r="F1638" i="4" s="1"/>
  <c r="D1567" i="4"/>
  <c r="F1567" i="4" s="1"/>
  <c r="D1503" i="4"/>
  <c r="F1503" i="4" s="1"/>
  <c r="D1441" i="4"/>
  <c r="F1441" i="4" s="1"/>
  <c r="D1378" i="4"/>
  <c r="F1378" i="4" s="1"/>
  <c r="D1314" i="4"/>
  <c r="F1314" i="4" s="1"/>
  <c r="D1250" i="4"/>
  <c r="F1250" i="4" s="1"/>
  <c r="D1921" i="4"/>
  <c r="F1921" i="4" s="1"/>
  <c r="D1858" i="4"/>
  <c r="F1858" i="4" s="1"/>
  <c r="D1788" i="4"/>
  <c r="F1788" i="4" s="1"/>
  <c r="D1725" i="4"/>
  <c r="F1725" i="4" s="1"/>
  <c r="D1661" i="4"/>
  <c r="F1661" i="4" s="1"/>
  <c r="D1598" i="4"/>
  <c r="F1598" i="4" s="1"/>
  <c r="D1534" i="4"/>
  <c r="F1534" i="4" s="1"/>
  <c r="D1471" i="4"/>
  <c r="F1471" i="4" s="1"/>
  <c r="D1409" i="4"/>
  <c r="F1409" i="4" s="1"/>
  <c r="D1345" i="4"/>
  <c r="F1345" i="4" s="1"/>
  <c r="D1090" i="4"/>
  <c r="F1090" i="4" s="1"/>
  <c r="D986" i="4"/>
  <c r="F986" i="4" s="1"/>
  <c r="D1724" i="4"/>
  <c r="F1724" i="4" s="1"/>
  <c r="D1660" i="4"/>
  <c r="F1660" i="4" s="1"/>
  <c r="D1597" i="4"/>
  <c r="F1597" i="4" s="1"/>
  <c r="D1533" i="4"/>
  <c r="F1533" i="4" s="1"/>
  <c r="D1470" i="4"/>
  <c r="F1470" i="4" s="1"/>
  <c r="D1400" i="4"/>
  <c r="F1400" i="4" s="1"/>
  <c r="D1017" i="4"/>
  <c r="F1017" i="4" s="1"/>
  <c r="D714" i="4"/>
  <c r="F714" i="4" s="1"/>
  <c r="D610" i="4"/>
  <c r="F610" i="4" s="1"/>
  <c r="D546" i="4"/>
  <c r="F546" i="4" s="1"/>
  <c r="D1911" i="4"/>
  <c r="F1911" i="4" s="1"/>
  <c r="D1840" i="4"/>
  <c r="F1840" i="4" s="1"/>
  <c r="D1778" i="4"/>
  <c r="F1778" i="4" s="1"/>
  <c r="D1707" i="4"/>
  <c r="F1707" i="4" s="1"/>
  <c r="D1643" i="4"/>
  <c r="F1643" i="4" s="1"/>
  <c r="D1072" i="4"/>
  <c r="F1072" i="4" s="1"/>
  <c r="D953" i="4"/>
  <c r="F953" i="4" s="1"/>
  <c r="D889" i="4"/>
  <c r="F889" i="4" s="1"/>
  <c r="D825" i="4"/>
  <c r="F825" i="4" s="1"/>
  <c r="D2060" i="4"/>
  <c r="F2060" i="4" s="1"/>
  <c r="D1997" i="4"/>
  <c r="F1997" i="4" s="1"/>
  <c r="D1934" i="4"/>
  <c r="F1934" i="4" s="1"/>
  <c r="D1871" i="4"/>
  <c r="F1871" i="4" s="1"/>
  <c r="D1809" i="4"/>
  <c r="F1809" i="4" s="1"/>
  <c r="D1746" i="4"/>
  <c r="F1746" i="4" s="1"/>
  <c r="D1682" i="4"/>
  <c r="F1682" i="4" s="1"/>
  <c r="D1215" i="4"/>
  <c r="F1215" i="4" s="1"/>
  <c r="D1151" i="4"/>
  <c r="F1151" i="4" s="1"/>
  <c r="D1007" i="4"/>
  <c r="F1007" i="4" s="1"/>
  <c r="D1450" i="4"/>
  <c r="F1450" i="4" s="1"/>
  <c r="D1387" i="4"/>
  <c r="F1387" i="4" s="1"/>
  <c r="D1323" i="4"/>
  <c r="F1323" i="4" s="1"/>
  <c r="D1259" i="4"/>
  <c r="F1259" i="4" s="1"/>
  <c r="D1198" i="4"/>
  <c r="F1198" i="4" s="1"/>
  <c r="D1135" i="4"/>
  <c r="F1135" i="4" s="1"/>
  <c r="D1065" i="4"/>
  <c r="F1065" i="4" s="1"/>
  <c r="D1008" i="4"/>
  <c r="F1008" i="4" s="1"/>
  <c r="D930" i="4"/>
  <c r="F930" i="4" s="1"/>
  <c r="D866" i="4"/>
  <c r="F866" i="4" s="1"/>
  <c r="D499" i="4"/>
  <c r="F499" i="4" s="1"/>
  <c r="D1265" i="4"/>
  <c r="F1265" i="4" s="1"/>
  <c r="D2497" i="4"/>
  <c r="F2497" i="4" s="1"/>
  <c r="D2489" i="4"/>
  <c r="F2489" i="4" s="1"/>
  <c r="D2189" i="4"/>
  <c r="F2189" i="4" s="1"/>
  <c r="D214" i="4"/>
  <c r="F214" i="4" s="1"/>
  <c r="D2442" i="4"/>
  <c r="F2442" i="4" s="1"/>
  <c r="D1947" i="4"/>
  <c r="F1947" i="4" s="1"/>
  <c r="D2416" i="4"/>
  <c r="F2416" i="4" s="1"/>
  <c r="D2391" i="4"/>
  <c r="F2391" i="4" s="1"/>
  <c r="D246" i="4"/>
  <c r="F246" i="4" s="1"/>
  <c r="D2398" i="4"/>
  <c r="F2398" i="4" s="1"/>
  <c r="D2089" i="4"/>
  <c r="F2089" i="4" s="1"/>
  <c r="D1865" i="4"/>
  <c r="F1865" i="4" s="1"/>
  <c r="D2275" i="4"/>
  <c r="F2275" i="4" s="1"/>
  <c r="D2142" i="4"/>
  <c r="F2142" i="4" s="1"/>
  <c r="D2016" i="4"/>
  <c r="F2016" i="4" s="1"/>
  <c r="D1811" i="4"/>
  <c r="F1811" i="4" s="1"/>
  <c r="D2163" i="4"/>
  <c r="F2163" i="4" s="1"/>
  <c r="D2038" i="4"/>
  <c r="F2038" i="4" s="1"/>
  <c r="D1912" i="4"/>
  <c r="F1912" i="4" s="1"/>
  <c r="D1641" i="4"/>
  <c r="F1641" i="4" s="1"/>
  <c r="D1514" i="4"/>
  <c r="F1514" i="4" s="1"/>
  <c r="D2332" i="4"/>
  <c r="F2332" i="4" s="1"/>
  <c r="D2209" i="4"/>
  <c r="F2209" i="4" s="1"/>
  <c r="D2069" i="4"/>
  <c r="F2069" i="4" s="1"/>
  <c r="D1943" i="4"/>
  <c r="F1943" i="4" s="1"/>
  <c r="D1712" i="4"/>
  <c r="F1712" i="4" s="1"/>
  <c r="D1585" i="4"/>
  <c r="F1585" i="4" s="1"/>
  <c r="D2232" i="4"/>
  <c r="F2232" i="4" s="1"/>
  <c r="D2092" i="4"/>
  <c r="F2092" i="4" s="1"/>
  <c r="D1799" i="4"/>
  <c r="F1799" i="4" s="1"/>
  <c r="D1671" i="4"/>
  <c r="F1671" i="4" s="1"/>
  <c r="D1560" i="4"/>
  <c r="F1560" i="4" s="1"/>
  <c r="D2338" i="4"/>
  <c r="F2338" i="4" s="1"/>
  <c r="D2231" i="4"/>
  <c r="F2231" i="4" s="1"/>
  <c r="D2122" i="4"/>
  <c r="F2122" i="4" s="1"/>
  <c r="D2027" i="4"/>
  <c r="F2027" i="4" s="1"/>
  <c r="D1909" i="4"/>
  <c r="F1909" i="4" s="1"/>
  <c r="D1822" i="4"/>
  <c r="F1822" i="4" s="1"/>
  <c r="D1750" i="4"/>
  <c r="F1750" i="4" s="1"/>
  <c r="D2417" i="4"/>
  <c r="F2417" i="4" s="1"/>
  <c r="D2353" i="4"/>
  <c r="F2353" i="4" s="1"/>
  <c r="D2293" i="4"/>
  <c r="F2293" i="4" s="1"/>
  <c r="D2222" i="4"/>
  <c r="F2222" i="4" s="1"/>
  <c r="D2159" i="4"/>
  <c r="F2159" i="4" s="1"/>
  <c r="D2090" i="4"/>
  <c r="F2090" i="4" s="1"/>
  <c r="D2026" i="4"/>
  <c r="F2026" i="4" s="1"/>
  <c r="D1956" i="4"/>
  <c r="F1956" i="4" s="1"/>
  <c r="D1892" i="4"/>
  <c r="F1892" i="4" s="1"/>
  <c r="D1821" i="4"/>
  <c r="F1821" i="4" s="1"/>
  <c r="D1529" i="4"/>
  <c r="F1529" i="4" s="1"/>
  <c r="D1451" i="4"/>
  <c r="F1451" i="4" s="1"/>
  <c r="D1388" i="4"/>
  <c r="F1388" i="4" s="1"/>
  <c r="D1324" i="4"/>
  <c r="F1324" i="4" s="1"/>
  <c r="D1260" i="4"/>
  <c r="F1260" i="4" s="1"/>
  <c r="D1173" i="4"/>
  <c r="F1173" i="4" s="1"/>
  <c r="D1828" i="4"/>
  <c r="F1828" i="4" s="1"/>
  <c r="D1757" i="4"/>
  <c r="F1757" i="4" s="1"/>
  <c r="D1694" i="4"/>
  <c r="F1694" i="4" s="1"/>
  <c r="D1630" i="4"/>
  <c r="F1630" i="4" s="1"/>
  <c r="D1559" i="4"/>
  <c r="F1559" i="4" s="1"/>
  <c r="D1495" i="4"/>
  <c r="F1495" i="4" s="1"/>
  <c r="D1433" i="4"/>
  <c r="F1433" i="4" s="1"/>
  <c r="D1370" i="4"/>
  <c r="F1370" i="4" s="1"/>
  <c r="D1306" i="4"/>
  <c r="F1306" i="4" s="1"/>
  <c r="D1977" i="4"/>
  <c r="F1977" i="4" s="1"/>
  <c r="D1913" i="4"/>
  <c r="F1913" i="4" s="1"/>
  <c r="D1850" i="4"/>
  <c r="F1850" i="4" s="1"/>
  <c r="D1780" i="4"/>
  <c r="F1780" i="4" s="1"/>
  <c r="D1717" i="4"/>
  <c r="F1717" i="4" s="1"/>
  <c r="D1653" i="4"/>
  <c r="F1653" i="4" s="1"/>
  <c r="D1590" i="4"/>
  <c r="F1590" i="4" s="1"/>
  <c r="D1526" i="4"/>
  <c r="F1526" i="4" s="1"/>
  <c r="D1464" i="4"/>
  <c r="F1464" i="4" s="1"/>
  <c r="D1401" i="4"/>
  <c r="F1401" i="4" s="1"/>
  <c r="D1337" i="4"/>
  <c r="F1337" i="4" s="1"/>
  <c r="D1082" i="4"/>
  <c r="F1082" i="4" s="1"/>
  <c r="D978" i="4"/>
  <c r="F978" i="4" s="1"/>
  <c r="D1716" i="4"/>
  <c r="F1716" i="4" s="1"/>
  <c r="D1652" i="4"/>
  <c r="F1652" i="4" s="1"/>
  <c r="D1589" i="4"/>
  <c r="F1589" i="4" s="1"/>
  <c r="D1525" i="4"/>
  <c r="F1525" i="4" s="1"/>
  <c r="D1463" i="4"/>
  <c r="F1463" i="4" s="1"/>
  <c r="D1392" i="4"/>
  <c r="F1392" i="4" s="1"/>
  <c r="D1009" i="4"/>
  <c r="F1009" i="4" s="1"/>
  <c r="D706" i="4"/>
  <c r="F706" i="4" s="1"/>
  <c r="D602" i="4"/>
  <c r="F602" i="4" s="1"/>
  <c r="D530" i="4"/>
  <c r="F530" i="4" s="1"/>
  <c r="D1903" i="4"/>
  <c r="F1903" i="4" s="1"/>
  <c r="D1833" i="4"/>
  <c r="F1833" i="4" s="1"/>
  <c r="D1770" i="4"/>
  <c r="F1770" i="4" s="1"/>
  <c r="D1699" i="4"/>
  <c r="F1699" i="4" s="1"/>
  <c r="D1635" i="4"/>
  <c r="F1635" i="4" s="1"/>
  <c r="D1064" i="4"/>
  <c r="F1064" i="4" s="1"/>
  <c r="D945" i="4"/>
  <c r="F945" i="4" s="1"/>
  <c r="D881" i="4"/>
  <c r="F881" i="4" s="1"/>
  <c r="D817" i="4"/>
  <c r="F817" i="4" s="1"/>
  <c r="D2052" i="4"/>
  <c r="F2052" i="4" s="1"/>
  <c r="D1990" i="4"/>
  <c r="F1990" i="4" s="1"/>
  <c r="D1926" i="4"/>
  <c r="F1926" i="4" s="1"/>
  <c r="D1863" i="4"/>
  <c r="F1863" i="4" s="1"/>
  <c r="D1801" i="4"/>
  <c r="F1801" i="4" s="1"/>
  <c r="D1738" i="4"/>
  <c r="F1738" i="4" s="1"/>
  <c r="D1674" i="4"/>
  <c r="F1674" i="4" s="1"/>
  <c r="D1207" i="4"/>
  <c r="F1207" i="4" s="1"/>
  <c r="D1143" i="4"/>
  <c r="F1143" i="4" s="1"/>
  <c r="D1504" i="4"/>
  <c r="F1504" i="4" s="1"/>
  <c r="D1442" i="4"/>
  <c r="F1442" i="4" s="1"/>
  <c r="D1379" i="4"/>
  <c r="F1379" i="4" s="1"/>
  <c r="D1315" i="4"/>
  <c r="F1315" i="4" s="1"/>
  <c r="D1251" i="4"/>
  <c r="F1251" i="4" s="1"/>
  <c r="D1190" i="4"/>
  <c r="F1190" i="4" s="1"/>
  <c r="D1127" i="4"/>
  <c r="F1127" i="4" s="1"/>
  <c r="D1057" i="4"/>
  <c r="F1057" i="4" s="1"/>
  <c r="D1001" i="4"/>
  <c r="F1001" i="4" s="1"/>
  <c r="D922" i="4"/>
  <c r="F922" i="4" s="1"/>
  <c r="D858" i="4"/>
  <c r="F858" i="4" s="1"/>
  <c r="D491" i="4"/>
  <c r="F491" i="4" s="1"/>
  <c r="D1257" i="4"/>
  <c r="F1257" i="4" s="1"/>
  <c r="D1196" i="4"/>
  <c r="F1196" i="4" s="1"/>
  <c r="D1133" i="4"/>
  <c r="F1133" i="4" s="1"/>
  <c r="D1071" i="4"/>
  <c r="F1071" i="4" s="1"/>
  <c r="D999" i="4"/>
  <c r="F999" i="4" s="1"/>
  <c r="D936" i="4"/>
  <c r="F936" i="4" s="1"/>
  <c r="D872" i="4"/>
  <c r="F872" i="4" s="1"/>
  <c r="D808" i="4"/>
  <c r="F808" i="4" s="1"/>
  <c r="D737" i="4"/>
  <c r="F737" i="4" s="1"/>
  <c r="D673" i="4"/>
  <c r="F673" i="4" s="1"/>
  <c r="D1320" i="4"/>
  <c r="F1320" i="4" s="1"/>
  <c r="D1256" i="4"/>
  <c r="F1256" i="4" s="1"/>
  <c r="D1187" i="4"/>
  <c r="F1187" i="4" s="1"/>
  <c r="D1124" i="4"/>
  <c r="F1124" i="4" s="1"/>
  <c r="D1062" i="4"/>
  <c r="F1062" i="4" s="1"/>
  <c r="D998" i="4"/>
  <c r="F998" i="4" s="1"/>
  <c r="D935" i="4"/>
  <c r="F935" i="4" s="1"/>
  <c r="D871" i="4"/>
  <c r="F871" i="4" s="1"/>
  <c r="D807" i="4"/>
  <c r="F807" i="4" s="1"/>
  <c r="D1612" i="4"/>
  <c r="F1612" i="4" s="1"/>
  <c r="D1548" i="4"/>
  <c r="F1548" i="4" s="1"/>
  <c r="D1484" i="4"/>
  <c r="F1484" i="4" s="1"/>
  <c r="D1423" i="4"/>
  <c r="F1423" i="4" s="1"/>
  <c r="D1359" i="4"/>
  <c r="F1359" i="4" s="1"/>
  <c r="D1295" i="4"/>
  <c r="F1295" i="4" s="1"/>
  <c r="D1232" i="4"/>
  <c r="F1232" i="4" s="1"/>
  <c r="D1170" i="4"/>
  <c r="F1170" i="4" s="1"/>
  <c r="D1108" i="4"/>
  <c r="F1108" i="4" s="1"/>
  <c r="D1020" i="4"/>
  <c r="F1020" i="4" s="1"/>
  <c r="D1626" i="4"/>
  <c r="F1626" i="4" s="1"/>
  <c r="D1563" i="4"/>
  <c r="F1563" i="4" s="1"/>
  <c r="D1499" i="4"/>
  <c r="F1499" i="4" s="1"/>
  <c r="D1437" i="4"/>
  <c r="F1437" i="4" s="1"/>
  <c r="D1374" i="4"/>
  <c r="F1374" i="4" s="1"/>
  <c r="D1310" i="4"/>
  <c r="F1310" i="4" s="1"/>
  <c r="D1246" i="4"/>
  <c r="F1246" i="4" s="1"/>
  <c r="D1185" i="4"/>
  <c r="F1185" i="4" s="1"/>
  <c r="D1122" i="4"/>
  <c r="F1122" i="4" s="1"/>
  <c r="D1054" i="4"/>
  <c r="F1054" i="4" s="1"/>
  <c r="D972" i="4"/>
  <c r="F972" i="4" s="1"/>
  <c r="D1309" i="4"/>
  <c r="F1309" i="4" s="1"/>
  <c r="D1238" i="4"/>
  <c r="F1238" i="4" s="1"/>
  <c r="D1176" i="4"/>
  <c r="F1176" i="4" s="1"/>
  <c r="D1106" i="4"/>
  <c r="F1106" i="4" s="1"/>
  <c r="D1047" i="4"/>
  <c r="F1047" i="4" s="1"/>
  <c r="D963" i="4"/>
  <c r="F963" i="4" s="1"/>
  <c r="D900" i="4"/>
  <c r="F900" i="4" s="1"/>
  <c r="D836" i="4"/>
  <c r="F836" i="4" s="1"/>
  <c r="D772" i="4"/>
  <c r="F772" i="4" s="1"/>
  <c r="D709" i="4"/>
  <c r="F709" i="4" s="1"/>
  <c r="D696" i="4"/>
  <c r="F696" i="4" s="1"/>
  <c r="D633" i="4"/>
  <c r="F633" i="4" s="1"/>
  <c r="D569" i="4"/>
  <c r="F569" i="4" s="1"/>
  <c r="D2443" i="4"/>
  <c r="F2443" i="4" s="1"/>
  <c r="D438" i="4"/>
  <c r="F438" i="4" s="1"/>
  <c r="D1413" i="4"/>
  <c r="F1413" i="4" s="1"/>
  <c r="D2510" i="4"/>
  <c r="F2510" i="4" s="1"/>
  <c r="D2486" i="4"/>
  <c r="F2486" i="4" s="1"/>
  <c r="D1891" i="4"/>
  <c r="F1891" i="4" s="1"/>
  <c r="D2336" i="4"/>
  <c r="F2336" i="4" s="1"/>
  <c r="D2383" i="4"/>
  <c r="F2383" i="4" s="1"/>
  <c r="D222" i="4"/>
  <c r="F222" i="4" s="1"/>
  <c r="D2350" i="4"/>
  <c r="F2350" i="4" s="1"/>
  <c r="D2057" i="4"/>
  <c r="F2057" i="4" s="1"/>
  <c r="D2367" i="4"/>
  <c r="F2367" i="4" s="1"/>
  <c r="D2244" i="4"/>
  <c r="F2244" i="4" s="1"/>
  <c r="D2111" i="4"/>
  <c r="F2111" i="4" s="1"/>
  <c r="D1986" i="4"/>
  <c r="F1986" i="4" s="1"/>
  <c r="D1779" i="4"/>
  <c r="F1779" i="4" s="1"/>
  <c r="D2132" i="4"/>
  <c r="F2132" i="4" s="1"/>
  <c r="D2006" i="4"/>
  <c r="F2006" i="4" s="1"/>
  <c r="D1737" i="4"/>
  <c r="F1737" i="4" s="1"/>
  <c r="D1610" i="4"/>
  <c r="F1610" i="4" s="1"/>
  <c r="D1475" i="4"/>
  <c r="F1475" i="4" s="1"/>
  <c r="D2302" i="4"/>
  <c r="F2302" i="4" s="1"/>
  <c r="D2170" i="4"/>
  <c r="F2170" i="4" s="1"/>
  <c r="D2037" i="4"/>
  <c r="F2037" i="4" s="1"/>
  <c r="D1808" i="4"/>
  <c r="F1808" i="4" s="1"/>
  <c r="D1680" i="4"/>
  <c r="F1680" i="4" s="1"/>
  <c r="D1044" i="4"/>
  <c r="F1044" i="4" s="1"/>
  <c r="D2200" i="4"/>
  <c r="F2200" i="4" s="1"/>
  <c r="D1894" i="4"/>
  <c r="F1894" i="4" s="1"/>
  <c r="D1767" i="4"/>
  <c r="F1767" i="4" s="1"/>
  <c r="D1663" i="4"/>
  <c r="F1663" i="4" s="1"/>
  <c r="D1552" i="4"/>
  <c r="F1552" i="4" s="1"/>
  <c r="D2307" i="4"/>
  <c r="F2307" i="4" s="1"/>
  <c r="D2215" i="4"/>
  <c r="F2215" i="4" s="1"/>
  <c r="D2114" i="4"/>
  <c r="F2114" i="4" s="1"/>
  <c r="D2019" i="4"/>
  <c r="F2019" i="4" s="1"/>
  <c r="D1901" i="4"/>
  <c r="F1901" i="4" s="1"/>
  <c r="D1814" i="4"/>
  <c r="F1814" i="4" s="1"/>
  <c r="D2471" i="4"/>
  <c r="F2471" i="4" s="1"/>
  <c r="D2409" i="4"/>
  <c r="F2409" i="4" s="1"/>
  <c r="D2345" i="4"/>
  <c r="F2345" i="4" s="1"/>
  <c r="D2285" i="4"/>
  <c r="F2285" i="4" s="1"/>
  <c r="D2214" i="4"/>
  <c r="F2214" i="4" s="1"/>
  <c r="D2152" i="4"/>
  <c r="F2152" i="4" s="1"/>
  <c r="D2082" i="4"/>
  <c r="F2082" i="4" s="1"/>
  <c r="D2018" i="4"/>
  <c r="F2018" i="4" s="1"/>
  <c r="D1948" i="4"/>
  <c r="F1948" i="4" s="1"/>
  <c r="D1884" i="4"/>
  <c r="F1884" i="4" s="1"/>
  <c r="D1813" i="4"/>
  <c r="F1813" i="4" s="1"/>
  <c r="D1521" i="4"/>
  <c r="F1521" i="4" s="1"/>
  <c r="D1443" i="4"/>
  <c r="F1443" i="4" s="1"/>
  <c r="D1380" i="4"/>
  <c r="F1380" i="4" s="1"/>
  <c r="D1316" i="4"/>
  <c r="F1316" i="4" s="1"/>
  <c r="D1252" i="4"/>
  <c r="F1252" i="4" s="1"/>
  <c r="D1165" i="4"/>
  <c r="F1165" i="4" s="1"/>
  <c r="D1820" i="4"/>
  <c r="F1820" i="4" s="1"/>
  <c r="D1749" i="4"/>
  <c r="F1749" i="4" s="1"/>
  <c r="D1686" i="4"/>
  <c r="F1686" i="4" s="1"/>
  <c r="D1615" i="4"/>
  <c r="F1615" i="4" s="1"/>
  <c r="D1551" i="4"/>
  <c r="F1551" i="4" s="1"/>
  <c r="D1487" i="4"/>
  <c r="F1487" i="4" s="1"/>
  <c r="D1425" i="4"/>
  <c r="F1425" i="4" s="1"/>
  <c r="D1362" i="4"/>
  <c r="F1362" i="4" s="1"/>
  <c r="D1298" i="4"/>
  <c r="F1298" i="4" s="1"/>
  <c r="D1969" i="4"/>
  <c r="F1969" i="4" s="1"/>
  <c r="D1905" i="4"/>
  <c r="F1905" i="4" s="1"/>
  <c r="D1842" i="4"/>
  <c r="F1842" i="4" s="1"/>
  <c r="D1772" i="4"/>
  <c r="F1772" i="4" s="1"/>
  <c r="D1709" i="4"/>
  <c r="F1709" i="4" s="1"/>
  <c r="D1645" i="4"/>
  <c r="F1645" i="4" s="1"/>
  <c r="D1582" i="4"/>
  <c r="F1582" i="4" s="1"/>
  <c r="D1518" i="4"/>
  <c r="F1518" i="4" s="1"/>
  <c r="D1456" i="4"/>
  <c r="F1456" i="4" s="1"/>
  <c r="D1393" i="4"/>
  <c r="F1393" i="4" s="1"/>
  <c r="D1329" i="4"/>
  <c r="F1329" i="4" s="1"/>
  <c r="D1074" i="4"/>
  <c r="F1074" i="4" s="1"/>
  <c r="D970" i="4"/>
  <c r="F970" i="4" s="1"/>
  <c r="D1708" i="4"/>
  <c r="F1708" i="4" s="1"/>
  <c r="D1644" i="4"/>
  <c r="F1644" i="4" s="1"/>
  <c r="D1581" i="4"/>
  <c r="F1581" i="4" s="1"/>
  <c r="D1517" i="4"/>
  <c r="F1517" i="4" s="1"/>
  <c r="D1455" i="4"/>
  <c r="F1455" i="4" s="1"/>
  <c r="D1384" i="4"/>
  <c r="F1384" i="4" s="1"/>
  <c r="D762" i="4"/>
  <c r="F762" i="4" s="1"/>
  <c r="D698" i="4"/>
  <c r="F698" i="4" s="1"/>
  <c r="D594" i="4"/>
  <c r="F594" i="4" s="1"/>
  <c r="D522" i="4"/>
  <c r="F522" i="4" s="1"/>
  <c r="D1888" i="4"/>
  <c r="F1888" i="4" s="1"/>
  <c r="D1825" i="4"/>
  <c r="F1825" i="4" s="1"/>
  <c r="D1762" i="4"/>
  <c r="F1762" i="4" s="1"/>
  <c r="D1691" i="4"/>
  <c r="F1691" i="4" s="1"/>
  <c r="D1627" i="4"/>
  <c r="F1627" i="4" s="1"/>
  <c r="D1056" i="4"/>
  <c r="F1056" i="4" s="1"/>
  <c r="D937" i="4"/>
  <c r="F937" i="4" s="1"/>
  <c r="D873" i="4"/>
  <c r="F873" i="4" s="1"/>
  <c r="D809" i="4"/>
  <c r="F809" i="4" s="1"/>
  <c r="D2044" i="4"/>
  <c r="F2044" i="4" s="1"/>
  <c r="D1982" i="4"/>
  <c r="F1982" i="4" s="1"/>
  <c r="D1918" i="4"/>
  <c r="F1918" i="4" s="1"/>
  <c r="D1855" i="4"/>
  <c r="F1855" i="4" s="1"/>
  <c r="D1793" i="4"/>
  <c r="F1793" i="4" s="1"/>
  <c r="D1730" i="4"/>
  <c r="F1730" i="4" s="1"/>
  <c r="D1666" i="4"/>
  <c r="F1666" i="4" s="1"/>
  <c r="D1199" i="4"/>
  <c r="F1199" i="4" s="1"/>
  <c r="D1111" i="4"/>
  <c r="F1111" i="4" s="1"/>
  <c r="D1496" i="4"/>
  <c r="F1496" i="4" s="1"/>
  <c r="D1434" i="4"/>
  <c r="F1434" i="4" s="1"/>
  <c r="D1371" i="4"/>
  <c r="F1371" i="4" s="1"/>
  <c r="D1307" i="4"/>
  <c r="F1307" i="4" s="1"/>
  <c r="D1244" i="4"/>
  <c r="F1244" i="4" s="1"/>
  <c r="D1182" i="4"/>
  <c r="F1182" i="4" s="1"/>
  <c r="D1112" i="4"/>
  <c r="F1112" i="4" s="1"/>
  <c r="D1051" i="4"/>
  <c r="F1051" i="4" s="1"/>
  <c r="D993" i="4"/>
  <c r="F993" i="4" s="1"/>
  <c r="D914" i="4"/>
  <c r="F914" i="4" s="1"/>
  <c r="D850" i="4"/>
  <c r="F850" i="4" s="1"/>
  <c r="D483" i="4"/>
  <c r="F483" i="4" s="1"/>
  <c r="D1249" i="4"/>
  <c r="F1249" i="4" s="1"/>
  <c r="D1188" i="4"/>
  <c r="F1188" i="4" s="1"/>
  <c r="D1125" i="4"/>
  <c r="F1125" i="4" s="1"/>
  <c r="D1063" i="4"/>
  <c r="F1063" i="4" s="1"/>
  <c r="D991" i="4"/>
  <c r="F991" i="4" s="1"/>
  <c r="D928" i="4"/>
  <c r="F928" i="4" s="1"/>
  <c r="D864" i="4"/>
  <c r="F864" i="4" s="1"/>
  <c r="D800" i="4"/>
  <c r="F800" i="4" s="1"/>
  <c r="D729" i="4"/>
  <c r="F729" i="4" s="1"/>
  <c r="D665" i="4"/>
  <c r="F665" i="4" s="1"/>
  <c r="D1312" i="4"/>
  <c r="F1312" i="4" s="1"/>
  <c r="D1248" i="4"/>
  <c r="F1248" i="4" s="1"/>
  <c r="D1179" i="4"/>
  <c r="F1179" i="4" s="1"/>
  <c r="D1117" i="4"/>
  <c r="F1117" i="4" s="1"/>
  <c r="D1055" i="4"/>
  <c r="F1055" i="4" s="1"/>
  <c r="D990" i="4"/>
  <c r="F990" i="4" s="1"/>
  <c r="D927" i="4"/>
  <c r="F927" i="4" s="1"/>
  <c r="D863" i="4"/>
  <c r="F863" i="4" s="1"/>
  <c r="D799" i="4"/>
  <c r="F799" i="4" s="1"/>
  <c r="D1604" i="4"/>
  <c r="F1604" i="4" s="1"/>
  <c r="D1540" i="4"/>
  <c r="F1540" i="4" s="1"/>
  <c r="D1477" i="4"/>
  <c r="F1477" i="4" s="1"/>
  <c r="D1415" i="4"/>
  <c r="F1415" i="4" s="1"/>
  <c r="D1351" i="4"/>
  <c r="F1351" i="4" s="1"/>
  <c r="D1287" i="4"/>
  <c r="F1287" i="4" s="1"/>
  <c r="D1226" i="4"/>
  <c r="F1226" i="4" s="1"/>
  <c r="D1162" i="4"/>
  <c r="F1162" i="4" s="1"/>
  <c r="D1100" i="4"/>
  <c r="F1100" i="4" s="1"/>
  <c r="D1012" i="4"/>
  <c r="F1012" i="4" s="1"/>
  <c r="D1619" i="4"/>
  <c r="F1619" i="4" s="1"/>
  <c r="D1555" i="4"/>
  <c r="F1555" i="4" s="1"/>
  <c r="D1491" i="4"/>
  <c r="F1491" i="4" s="1"/>
  <c r="D1429" i="4"/>
  <c r="F1429" i="4" s="1"/>
  <c r="D1366" i="4"/>
  <c r="F1366" i="4" s="1"/>
  <c r="D1302" i="4"/>
  <c r="F1302" i="4" s="1"/>
  <c r="D1239" i="4"/>
  <c r="F1239" i="4" s="1"/>
  <c r="D1177" i="4"/>
  <c r="F1177" i="4" s="1"/>
  <c r="D1115" i="4"/>
  <c r="F1115" i="4" s="1"/>
  <c r="D1040" i="4"/>
  <c r="F1040" i="4" s="1"/>
  <c r="D2436" i="4"/>
  <c r="F2436" i="4" s="1"/>
  <c r="D230" i="4"/>
  <c r="F230" i="4" s="1"/>
  <c r="D1405" i="4"/>
  <c r="F1405" i="4" s="1"/>
  <c r="D2495" i="4"/>
  <c r="F2495" i="4" s="1"/>
  <c r="D2462" i="4"/>
  <c r="F2462" i="4" s="1"/>
  <c r="D1883" i="4"/>
  <c r="F1883" i="4" s="1"/>
  <c r="D2321" i="4"/>
  <c r="F2321" i="4" s="1"/>
  <c r="D2258" i="4"/>
  <c r="F2258" i="4" s="1"/>
  <c r="D2501" i="4"/>
  <c r="F2501" i="4" s="1"/>
  <c r="D2342" i="4"/>
  <c r="F2342" i="4" s="1"/>
  <c r="D2049" i="4"/>
  <c r="F2049" i="4" s="1"/>
  <c r="D2359" i="4"/>
  <c r="F2359" i="4" s="1"/>
  <c r="D2236" i="4"/>
  <c r="F2236" i="4" s="1"/>
  <c r="D2104" i="4"/>
  <c r="F2104" i="4" s="1"/>
  <c r="D1978" i="4"/>
  <c r="F1978" i="4" s="1"/>
  <c r="D1771" i="4"/>
  <c r="F1771" i="4" s="1"/>
  <c r="D2124" i="4"/>
  <c r="F2124" i="4" s="1"/>
  <c r="D1999" i="4"/>
  <c r="F1999" i="4" s="1"/>
  <c r="D1729" i="4"/>
  <c r="F1729" i="4" s="1"/>
  <c r="D1602" i="4"/>
  <c r="F1602" i="4" s="1"/>
  <c r="D1460" i="4"/>
  <c r="F1460" i="4" s="1"/>
  <c r="D2296" i="4"/>
  <c r="F2296" i="4" s="1"/>
  <c r="D2162" i="4"/>
  <c r="F2162" i="4" s="1"/>
  <c r="D2029" i="4"/>
  <c r="F2029" i="4" s="1"/>
  <c r="D1800" i="4"/>
  <c r="F1800" i="4" s="1"/>
  <c r="D1672" i="4"/>
  <c r="F1672" i="4" s="1"/>
  <c r="D1036" i="4"/>
  <c r="F1036" i="4" s="1"/>
  <c r="D2192" i="4"/>
  <c r="F2192" i="4" s="1"/>
  <c r="D1886" i="4"/>
  <c r="F1886" i="4" s="1"/>
  <c r="D1759" i="4"/>
  <c r="F1759" i="4" s="1"/>
  <c r="D1639" i="4"/>
  <c r="F1639" i="4" s="1"/>
  <c r="D1536" i="4"/>
  <c r="F1536" i="4" s="1"/>
  <c r="D2301" i="4"/>
  <c r="F2301" i="4" s="1"/>
  <c r="D2207" i="4"/>
  <c r="F2207" i="4" s="1"/>
  <c r="D2106" i="4"/>
  <c r="F2106" i="4" s="1"/>
  <c r="D1981" i="4"/>
  <c r="F1981" i="4" s="1"/>
  <c r="D1885" i="4"/>
  <c r="F1885" i="4" s="1"/>
  <c r="D1806" i="4"/>
  <c r="F1806" i="4" s="1"/>
  <c r="D2463" i="4"/>
  <c r="F2463" i="4" s="1"/>
  <c r="D2401" i="4"/>
  <c r="F2401" i="4" s="1"/>
  <c r="D2337" i="4"/>
  <c r="F2337" i="4" s="1"/>
  <c r="D2277" i="4"/>
  <c r="F2277" i="4" s="1"/>
  <c r="D2206" i="4"/>
  <c r="F2206" i="4" s="1"/>
  <c r="D2144" i="4"/>
  <c r="F2144" i="4" s="1"/>
  <c r="D2074" i="4"/>
  <c r="F2074" i="4" s="1"/>
  <c r="D2010" i="4"/>
  <c r="F2010" i="4" s="1"/>
  <c r="D1940" i="4"/>
  <c r="F1940" i="4" s="1"/>
  <c r="D1876" i="4"/>
  <c r="F1876" i="4" s="1"/>
  <c r="D1577" i="4"/>
  <c r="F1577" i="4" s="1"/>
  <c r="D1513" i="4"/>
  <c r="F1513" i="4" s="1"/>
  <c r="D1435" i="4"/>
  <c r="F1435" i="4" s="1"/>
  <c r="D1372" i="4"/>
  <c r="F1372" i="4" s="1"/>
  <c r="D1308" i="4"/>
  <c r="F1308" i="4" s="1"/>
  <c r="D1221" i="4"/>
  <c r="F1221" i="4" s="1"/>
  <c r="D1157" i="4"/>
  <c r="F1157" i="4" s="1"/>
  <c r="D1805" i="4"/>
  <c r="F1805" i="4" s="1"/>
  <c r="D1742" i="4"/>
  <c r="F1742" i="4" s="1"/>
  <c r="D1678" i="4"/>
  <c r="F1678" i="4" s="1"/>
  <c r="D1607" i="4"/>
  <c r="F1607" i="4" s="1"/>
  <c r="D1543" i="4"/>
  <c r="F1543" i="4" s="1"/>
  <c r="D1480" i="4"/>
  <c r="F1480" i="4" s="1"/>
  <c r="D1418" i="4"/>
  <c r="F1418" i="4" s="1"/>
  <c r="D1354" i="4"/>
  <c r="F1354" i="4" s="1"/>
  <c r="D1290" i="4"/>
  <c r="F1290" i="4" s="1"/>
  <c r="D1961" i="4"/>
  <c r="F1961" i="4" s="1"/>
  <c r="D1897" i="4"/>
  <c r="F1897" i="4" s="1"/>
  <c r="D1835" i="4"/>
  <c r="F1835" i="4" s="1"/>
  <c r="D1764" i="4"/>
  <c r="F1764" i="4" s="1"/>
  <c r="D1701" i="4"/>
  <c r="F1701" i="4" s="1"/>
  <c r="D1637" i="4"/>
  <c r="F1637" i="4" s="1"/>
  <c r="D1574" i="4"/>
  <c r="F1574" i="4" s="1"/>
  <c r="D1510" i="4"/>
  <c r="F1510" i="4" s="1"/>
  <c r="D1448" i="4"/>
  <c r="F1448" i="4" s="1"/>
  <c r="D1385" i="4"/>
  <c r="F1385" i="4" s="1"/>
  <c r="D1321" i="4"/>
  <c r="F1321" i="4" s="1"/>
  <c r="D1066" i="4"/>
  <c r="F1066" i="4" s="1"/>
  <c r="D467" i="4"/>
  <c r="F467" i="4" s="1"/>
  <c r="D1700" i="4"/>
  <c r="F1700" i="4" s="1"/>
  <c r="D1636" i="4"/>
  <c r="F1636" i="4" s="1"/>
  <c r="D1573" i="4"/>
  <c r="F1573" i="4" s="1"/>
  <c r="D1509" i="4"/>
  <c r="F1509" i="4" s="1"/>
  <c r="D1447" i="4"/>
  <c r="F1447" i="4" s="1"/>
  <c r="D1376" i="4"/>
  <c r="F1376" i="4" s="1"/>
  <c r="D754" i="4"/>
  <c r="F754" i="4" s="1"/>
  <c r="D690" i="4"/>
  <c r="F690" i="4" s="1"/>
  <c r="D586" i="4"/>
  <c r="F586" i="4" s="1"/>
  <c r="D514" i="4"/>
  <c r="F514" i="4" s="1"/>
  <c r="D1880" i="4"/>
  <c r="F1880" i="4" s="1"/>
  <c r="D1817" i="4"/>
  <c r="F1817" i="4" s="1"/>
  <c r="D1754" i="4"/>
  <c r="F1754" i="4" s="1"/>
  <c r="D1683" i="4"/>
  <c r="F1683" i="4" s="1"/>
  <c r="D1620" i="4"/>
  <c r="F1620" i="4" s="1"/>
  <c r="D1000" i="4"/>
  <c r="F1000" i="4" s="1"/>
  <c r="D929" i="4"/>
  <c r="F929" i="4" s="1"/>
  <c r="D865" i="4"/>
  <c r="F865" i="4" s="1"/>
  <c r="D801" i="4"/>
  <c r="F801" i="4" s="1"/>
  <c r="D2036" i="4"/>
  <c r="F2036" i="4" s="1"/>
  <c r="D1974" i="4"/>
  <c r="F1974" i="4" s="1"/>
  <c r="D1910" i="4"/>
  <c r="F1910" i="4" s="1"/>
  <c r="D1847" i="4"/>
  <c r="F1847" i="4" s="1"/>
  <c r="D1785" i="4"/>
  <c r="F1785" i="4" s="1"/>
  <c r="D1722" i="4"/>
  <c r="F1722" i="4" s="1"/>
  <c r="D1658" i="4"/>
  <c r="F1658" i="4" s="1"/>
  <c r="D1191" i="4"/>
  <c r="F1191" i="4" s="1"/>
  <c r="D1103" i="4"/>
  <c r="F1103" i="4" s="1"/>
  <c r="D1488" i="4"/>
  <c r="F1488" i="4" s="1"/>
  <c r="D1426" i="4"/>
  <c r="F1426" i="4" s="1"/>
  <c r="D1363" i="4"/>
  <c r="F1363" i="4" s="1"/>
  <c r="D1299" i="4"/>
  <c r="F1299" i="4" s="1"/>
  <c r="D1236" i="4"/>
  <c r="F1236" i="4" s="1"/>
  <c r="D1174" i="4"/>
  <c r="F1174" i="4" s="1"/>
  <c r="D1104" i="4"/>
  <c r="F1104" i="4" s="1"/>
  <c r="D1045" i="4"/>
  <c r="F1045" i="4" s="1"/>
  <c r="D985" i="4"/>
  <c r="F985" i="4" s="1"/>
  <c r="D906" i="4"/>
  <c r="F906" i="4" s="1"/>
  <c r="D651" i="4"/>
  <c r="F651" i="4" s="1"/>
  <c r="D468" i="4"/>
  <c r="F468" i="4" s="1"/>
  <c r="D1242" i="4"/>
  <c r="F1242" i="4" s="1"/>
  <c r="D1180" i="4"/>
  <c r="F1180" i="4" s="1"/>
  <c r="D1118" i="4"/>
  <c r="F1118" i="4" s="1"/>
  <c r="D1043" i="4"/>
  <c r="F1043" i="4" s="1"/>
  <c r="D983" i="4"/>
  <c r="F983" i="4" s="1"/>
  <c r="D920" i="4"/>
  <c r="F920" i="4" s="1"/>
  <c r="D856" i="4"/>
  <c r="F856" i="4" s="1"/>
  <c r="D792" i="4"/>
  <c r="F792" i="4" s="1"/>
  <c r="D721" i="4"/>
  <c r="F721" i="4" s="1"/>
  <c r="D1368" i="4"/>
  <c r="F1368" i="4" s="1"/>
  <c r="D1304" i="4"/>
  <c r="F1304" i="4" s="1"/>
  <c r="D1241" i="4"/>
  <c r="F1241" i="4" s="1"/>
  <c r="D1171" i="4"/>
  <c r="F1171" i="4" s="1"/>
  <c r="D1109" i="4"/>
  <c r="F1109" i="4" s="1"/>
  <c r="D1042" i="4"/>
  <c r="F1042" i="4" s="1"/>
  <c r="D982" i="4"/>
  <c r="F982" i="4" s="1"/>
  <c r="D919" i="4"/>
  <c r="F919" i="4" s="1"/>
  <c r="D855" i="4"/>
  <c r="F855" i="4" s="1"/>
  <c r="D791" i="4"/>
  <c r="F791" i="4" s="1"/>
  <c r="D1596" i="4"/>
  <c r="F1596" i="4" s="1"/>
  <c r="D1532" i="4"/>
  <c r="F1532" i="4" s="1"/>
  <c r="D1469" i="4"/>
  <c r="F1469" i="4" s="1"/>
  <c r="D1407" i="4"/>
  <c r="F1407" i="4" s="1"/>
  <c r="D1343" i="4"/>
  <c r="F1343" i="4" s="1"/>
  <c r="D1279" i="4"/>
  <c r="F1279" i="4" s="1"/>
  <c r="D1218" i="4"/>
  <c r="F1218" i="4" s="1"/>
  <c r="D1154" i="4"/>
  <c r="F1154" i="4" s="1"/>
  <c r="D1092" i="4"/>
  <c r="F1092" i="4" s="1"/>
  <c r="D1004" i="4"/>
  <c r="F1004" i="4" s="1"/>
  <c r="D1611" i="4"/>
  <c r="F1611" i="4" s="1"/>
  <c r="D1547" i="4"/>
  <c r="F1547" i="4" s="1"/>
  <c r="D1483" i="4"/>
  <c r="F1483" i="4" s="1"/>
  <c r="D1422" i="4"/>
  <c r="F1422" i="4" s="1"/>
  <c r="D1358" i="4"/>
  <c r="F1358" i="4" s="1"/>
  <c r="D1294" i="4"/>
  <c r="F1294" i="4" s="1"/>
  <c r="D1231" i="4"/>
  <c r="F1231" i="4" s="1"/>
  <c r="D1169" i="4"/>
  <c r="F1169" i="4" s="1"/>
  <c r="D1107" i="4"/>
  <c r="F1107" i="4" s="1"/>
  <c r="D1019" i="4"/>
  <c r="F1019" i="4" s="1"/>
  <c r="D1357" i="4"/>
  <c r="F1357" i="4" s="1"/>
  <c r="D1293" i="4"/>
  <c r="F1293" i="4" s="1"/>
  <c r="D1224" i="4"/>
  <c r="F1224" i="4" s="1"/>
  <c r="D1160" i="4"/>
  <c r="F1160" i="4" s="1"/>
  <c r="D1091" i="4"/>
  <c r="F1091" i="4" s="1"/>
  <c r="D1032" i="4"/>
  <c r="F1032" i="4" s="1"/>
  <c r="D948" i="4"/>
  <c r="F948" i="4" s="1"/>
  <c r="D884" i="4"/>
  <c r="F884" i="4" s="1"/>
  <c r="D820" i="4"/>
  <c r="F820" i="4" s="1"/>
  <c r="D757" i="4"/>
  <c r="F757" i="4" s="1"/>
  <c r="D133" i="4"/>
  <c r="F133" i="4" s="1"/>
  <c r="D197" i="4"/>
  <c r="F197" i="4" s="1"/>
  <c r="D261" i="4"/>
  <c r="F261" i="4" s="1"/>
  <c r="D325" i="4"/>
  <c r="F325" i="4" s="1"/>
  <c r="D537" i="4"/>
  <c r="F537" i="4" s="1"/>
  <c r="D617" i="4"/>
  <c r="F617" i="4" s="1"/>
  <c r="D688" i="4"/>
  <c r="F688" i="4" s="1"/>
  <c r="D725" i="4"/>
  <c r="F725" i="4" s="1"/>
  <c r="D804" i="4"/>
  <c r="F804" i="4" s="1"/>
  <c r="D892" i="4"/>
  <c r="F892" i="4" s="1"/>
  <c r="D1010" i="4"/>
  <c r="F1010" i="4" s="1"/>
  <c r="D1098" i="4"/>
  <c r="F1098" i="4" s="1"/>
  <c r="D1208" i="4"/>
  <c r="F1208" i="4" s="1"/>
  <c r="D1317" i="4"/>
  <c r="F1317" i="4" s="1"/>
  <c r="D1011" i="4"/>
  <c r="F1011" i="4" s="1"/>
  <c r="D1161" i="4"/>
  <c r="F1161" i="4" s="1"/>
  <c r="D1286" i="4"/>
  <c r="F1286" i="4" s="1"/>
  <c r="D1414" i="4"/>
  <c r="F1414" i="4" s="1"/>
  <c r="D1539" i="4"/>
  <c r="F1539" i="4" s="1"/>
  <c r="D997" i="4"/>
  <c r="F997" i="4" s="1"/>
  <c r="D1146" i="4"/>
  <c r="F1146" i="4" s="1"/>
  <c r="D1271" i="4"/>
  <c r="F1271" i="4" s="1"/>
  <c r="D1399" i="4"/>
  <c r="F1399" i="4" s="1"/>
  <c r="D1524" i="4"/>
  <c r="F1524" i="4" s="1"/>
  <c r="D783" i="4"/>
  <c r="F783" i="4" s="1"/>
  <c r="D911" i="4"/>
  <c r="F911" i="4" s="1"/>
  <c r="D1034" i="4"/>
  <c r="F1034" i="4" s="1"/>
  <c r="D1163" i="4"/>
  <c r="F1163" i="4" s="1"/>
  <c r="D1296" i="4"/>
  <c r="F1296" i="4" s="1"/>
  <c r="D713" i="4"/>
  <c r="F713" i="4" s="1"/>
  <c r="D848" i="4"/>
  <c r="F848" i="4" s="1"/>
  <c r="D975" i="4"/>
  <c r="F975" i="4" s="1"/>
  <c r="D1110" i="4"/>
  <c r="F1110" i="4" s="1"/>
  <c r="D1234" i="4"/>
  <c r="F1234" i="4" s="1"/>
  <c r="D890" i="4"/>
  <c r="F890" i="4" s="1"/>
  <c r="D1081" i="4"/>
  <c r="F1081" i="4" s="1"/>
  <c r="D1228" i="4"/>
  <c r="F1228" i="4" s="1"/>
  <c r="D1411" i="4"/>
  <c r="F1411" i="4" s="1"/>
  <c r="D1167" i="4"/>
  <c r="F1167" i="4" s="1"/>
  <c r="D1714" i="4"/>
  <c r="F1714" i="4" s="1"/>
  <c r="D1895" i="4"/>
  <c r="F1895" i="4" s="1"/>
  <c r="D777" i="4"/>
  <c r="F777" i="4" s="1"/>
  <c r="D921" i="4"/>
  <c r="F921" i="4" s="1"/>
  <c r="D1667" i="4"/>
  <c r="F1667" i="4" s="1"/>
  <c r="D1856" i="4"/>
  <c r="F1856" i="4" s="1"/>
  <c r="D578" i="4"/>
  <c r="F578" i="4" s="1"/>
  <c r="D1105" i="4"/>
  <c r="F1105" i="4" s="1"/>
  <c r="D1549" i="4"/>
  <c r="F1549" i="4" s="1"/>
  <c r="D1692" i="4"/>
  <c r="F1692" i="4" s="1"/>
  <c r="D1305" i="4"/>
  <c r="F1305" i="4" s="1"/>
  <c r="D1486" i="4"/>
  <c r="F1486" i="4" s="1"/>
  <c r="D1629" i="4"/>
  <c r="F1629" i="4" s="1"/>
  <c r="D1890" i="4"/>
  <c r="F1890" i="4" s="1"/>
  <c r="D1410" i="4"/>
  <c r="F1410" i="4" s="1"/>
  <c r="D1670" i="4"/>
  <c r="F1670" i="4" s="1"/>
  <c r="D1213" i="4"/>
  <c r="F1213" i="4" s="1"/>
  <c r="D1505" i="4"/>
  <c r="F1505" i="4" s="1"/>
  <c r="D1996" i="4"/>
  <c r="F1996" i="4" s="1"/>
  <c r="D2269" i="4"/>
  <c r="F2269" i="4" s="1"/>
  <c r="D1798" i="4"/>
  <c r="F1798" i="4" s="1"/>
  <c r="D2183" i="4"/>
  <c r="F2183" i="4" s="1"/>
  <c r="D1751" i="4"/>
  <c r="F1751" i="4" s="1"/>
  <c r="D1664" i="4"/>
  <c r="F1664" i="4" s="1"/>
  <c r="D2288" i="4"/>
  <c r="F2288" i="4" s="1"/>
  <c r="D1992" i="4"/>
  <c r="F1992" i="4" s="1"/>
  <c r="D2096" i="4"/>
  <c r="F2096" i="4" s="1"/>
  <c r="D2334" i="4"/>
  <c r="F2334" i="4" s="1"/>
  <c r="D2397" i="4"/>
  <c r="F2397" i="4" s="1"/>
  <c r="D2488" i="4"/>
  <c r="F2488" i="4" s="1"/>
  <c r="D31" i="4"/>
  <c r="F31" i="4" s="1"/>
  <c r="D92" i="4"/>
  <c r="F92" i="4" s="1"/>
  <c r="D156" i="4"/>
  <c r="F156" i="4" s="1"/>
  <c r="D220" i="4"/>
  <c r="F220" i="4" s="1"/>
  <c r="D283" i="4"/>
  <c r="F283" i="4" s="1"/>
  <c r="D346" i="4"/>
  <c r="F346" i="4" s="1"/>
  <c r="D409" i="4"/>
  <c r="F409" i="4" s="1"/>
  <c r="D469" i="4"/>
  <c r="F469" i="4" s="1"/>
  <c r="D531" i="4"/>
  <c r="F531" i="4" s="1"/>
  <c r="D592" i="4"/>
  <c r="F592" i="4" s="1"/>
  <c r="D48" i="4"/>
  <c r="F48" i="4" s="1"/>
  <c r="D399" i="4"/>
  <c r="F399" i="4" s="1"/>
  <c r="D524" i="4"/>
  <c r="F524" i="4" s="1"/>
  <c r="D659" i="4"/>
  <c r="F659" i="4" s="1"/>
  <c r="D723" i="4"/>
  <c r="F723" i="4" s="1"/>
  <c r="D786" i="4"/>
  <c r="F786" i="4" s="1"/>
  <c r="D313" i="4"/>
  <c r="F313" i="4" s="1"/>
  <c r="D376" i="4"/>
  <c r="F376" i="4" s="1"/>
  <c r="D470" i="4"/>
  <c r="F470" i="4" s="1"/>
  <c r="D533" i="4"/>
  <c r="F533" i="4" s="1"/>
  <c r="D660" i="4"/>
  <c r="F660" i="4" s="1"/>
  <c r="D724" i="4"/>
  <c r="F724" i="4" s="1"/>
  <c r="D787" i="4"/>
  <c r="F787" i="4" s="1"/>
  <c r="D851" i="4"/>
  <c r="F851" i="4" s="1"/>
  <c r="D915" i="4"/>
  <c r="F915" i="4" s="1"/>
  <c r="D977" i="4"/>
  <c r="F977" i="4" s="1"/>
  <c r="D282" i="4"/>
  <c r="F282" i="4" s="1"/>
  <c r="D345" i="4"/>
  <c r="F345" i="4" s="1"/>
  <c r="D471" i="4"/>
  <c r="F471" i="4" s="1"/>
  <c r="D558" i="4"/>
  <c r="F558" i="4" s="1"/>
  <c r="D622" i="4"/>
  <c r="F622" i="4" s="1"/>
  <c r="D693" i="4"/>
  <c r="F693" i="4" s="1"/>
  <c r="D139" i="4"/>
  <c r="F139" i="4" s="1"/>
  <c r="D203" i="4"/>
  <c r="F203" i="4" s="1"/>
  <c r="D386" i="4"/>
  <c r="F386" i="4" s="1"/>
  <c r="D543" i="4"/>
  <c r="F543" i="4" s="1"/>
  <c r="D607" i="4"/>
  <c r="F607" i="4" s="1"/>
  <c r="D710" i="4"/>
  <c r="F710" i="4" s="1"/>
  <c r="D773" i="4"/>
  <c r="F773" i="4" s="1"/>
  <c r="D837" i="4"/>
  <c r="F837" i="4" s="1"/>
  <c r="D901" i="4"/>
  <c r="F901" i="4" s="1"/>
  <c r="D971" i="4"/>
  <c r="F971" i="4" s="1"/>
  <c r="D308" i="4"/>
  <c r="F308" i="4" s="1"/>
  <c r="D379" i="4"/>
  <c r="F379" i="4" s="1"/>
  <c r="D544" i="4"/>
  <c r="F544" i="4" s="1"/>
  <c r="D671" i="4"/>
  <c r="F671" i="4" s="1"/>
  <c r="D735" i="4"/>
  <c r="F735" i="4" s="1"/>
  <c r="D798" i="4"/>
  <c r="F798" i="4" s="1"/>
  <c r="D862" i="4"/>
  <c r="F862" i="4" s="1"/>
  <c r="D926" i="4"/>
  <c r="F926" i="4" s="1"/>
  <c r="D141" i="4"/>
  <c r="F141" i="4" s="1"/>
  <c r="D205" i="4"/>
  <c r="F205" i="4" s="1"/>
  <c r="D269" i="4"/>
  <c r="F269" i="4" s="1"/>
  <c r="D333" i="4"/>
  <c r="F333" i="4" s="1"/>
  <c r="D553" i="4"/>
  <c r="F553" i="4" s="1"/>
  <c r="D625" i="4"/>
  <c r="F625" i="4" s="1"/>
  <c r="D704" i="4"/>
  <c r="F704" i="4" s="1"/>
  <c r="D733" i="4"/>
  <c r="F733" i="4" s="1"/>
  <c r="D812" i="4"/>
  <c r="F812" i="4" s="1"/>
  <c r="D908" i="4"/>
  <c r="F908" i="4" s="1"/>
  <c r="D1018" i="4"/>
  <c r="F1018" i="4" s="1"/>
  <c r="D1114" i="4"/>
  <c r="F1114" i="4" s="1"/>
  <c r="D1216" i="4"/>
  <c r="F1216" i="4" s="1"/>
  <c r="D1333" i="4"/>
  <c r="F1333" i="4" s="1"/>
  <c r="D1060" i="4"/>
  <c r="F1060" i="4" s="1"/>
  <c r="D1193" i="4"/>
  <c r="F1193" i="4" s="1"/>
  <c r="D1318" i="4"/>
  <c r="F1318" i="4" s="1"/>
  <c r="D1445" i="4"/>
  <c r="F1445" i="4" s="1"/>
  <c r="D1571" i="4"/>
  <c r="F1571" i="4" s="1"/>
  <c r="D1041" i="4"/>
  <c r="F1041" i="4" s="1"/>
  <c r="D1178" i="4"/>
  <c r="F1178" i="4" s="1"/>
  <c r="D1303" i="4"/>
  <c r="F1303" i="4" s="1"/>
  <c r="D1430" i="4"/>
  <c r="F1430" i="4" s="1"/>
  <c r="D1556" i="4"/>
  <c r="F1556" i="4" s="1"/>
  <c r="D815" i="4"/>
  <c r="F815" i="4" s="1"/>
  <c r="D943" i="4"/>
  <c r="F943" i="4" s="1"/>
  <c r="D1070" i="4"/>
  <c r="F1070" i="4" s="1"/>
  <c r="D1195" i="4"/>
  <c r="F1195" i="4" s="1"/>
  <c r="D1328" i="4"/>
  <c r="F1328" i="4" s="1"/>
  <c r="D745" i="4"/>
  <c r="F745" i="4" s="1"/>
  <c r="D880" i="4"/>
  <c r="F880" i="4" s="1"/>
  <c r="D1006" i="4"/>
  <c r="F1006" i="4" s="1"/>
  <c r="D1140" i="4"/>
  <c r="F1140" i="4" s="1"/>
  <c r="D1281" i="4"/>
  <c r="F1281" i="4" s="1"/>
  <c r="D898" i="4"/>
  <c r="F898" i="4" s="1"/>
  <c r="D1089" i="4"/>
  <c r="F1089" i="4" s="1"/>
  <c r="D1275" i="4"/>
  <c r="F1275" i="4" s="1"/>
  <c r="D1419" i="4"/>
  <c r="F1419" i="4" s="1"/>
  <c r="D1175" i="4"/>
  <c r="F1175" i="4" s="1"/>
  <c r="D1761" i="4"/>
  <c r="F1761" i="4" s="1"/>
  <c r="D1902" i="4"/>
  <c r="F1902" i="4" s="1"/>
  <c r="D785" i="4"/>
  <c r="F785" i="4" s="1"/>
  <c r="D976" i="4"/>
  <c r="F976" i="4" s="1"/>
  <c r="D1675" i="4"/>
  <c r="F1675" i="4" s="1"/>
  <c r="D1864" i="4"/>
  <c r="F1864" i="4" s="1"/>
  <c r="D666" i="4"/>
  <c r="F666" i="4" s="1"/>
  <c r="D1113" i="4"/>
  <c r="F1113" i="4" s="1"/>
  <c r="D1557" i="4"/>
  <c r="F1557" i="4" s="1"/>
  <c r="D1740" i="4"/>
  <c r="F1740" i="4" s="1"/>
  <c r="D1313" i="4"/>
  <c r="F1313" i="4" s="1"/>
  <c r="D1494" i="4"/>
  <c r="F1494" i="4" s="1"/>
  <c r="D1685" i="4"/>
  <c r="F1685" i="4" s="1"/>
  <c r="D1945" i="4"/>
  <c r="F1945" i="4" s="1"/>
  <c r="D1465" i="4"/>
  <c r="F1465" i="4" s="1"/>
  <c r="D1726" i="4"/>
  <c r="F1726" i="4" s="1"/>
  <c r="D1292" i="4"/>
  <c r="F1292" i="4" s="1"/>
  <c r="D1561" i="4"/>
  <c r="F1561" i="4" s="1"/>
  <c r="D2058" i="4"/>
  <c r="F2058" i="4" s="1"/>
  <c r="D2322" i="4"/>
  <c r="F2322" i="4" s="1"/>
  <c r="D1861" i="4"/>
  <c r="F1861" i="4" s="1"/>
  <c r="D2278" i="4"/>
  <c r="F2278" i="4" s="1"/>
  <c r="D1862" i="4"/>
  <c r="F1862" i="4" s="1"/>
  <c r="D1776" i="4"/>
  <c r="F1776" i="4" s="1"/>
  <c r="D1436" i="4"/>
  <c r="F1436" i="4" s="1"/>
  <c r="D2102" i="4"/>
  <c r="F2102" i="4" s="1"/>
  <c r="D2212" i="4"/>
  <c r="F2212" i="4" s="1"/>
  <c r="D2476" i="4"/>
  <c r="F2476" i="4" s="1"/>
  <c r="D2313" i="4"/>
  <c r="F2313" i="4" s="1"/>
  <c r="D2143" i="4"/>
  <c r="F2143" i="4" s="1"/>
  <c r="D1076" i="4"/>
  <c r="F1076" i="4" s="1"/>
  <c r="D1209" i="4"/>
  <c r="F1209" i="4" s="1"/>
  <c r="D1334" i="4"/>
  <c r="F1334" i="4" s="1"/>
  <c r="D1461" i="4"/>
  <c r="F1461" i="4" s="1"/>
  <c r="D1587" i="4"/>
  <c r="F1587" i="4" s="1"/>
  <c r="D1069" i="4"/>
  <c r="F1069" i="4" s="1"/>
  <c r="D1194" i="4"/>
  <c r="F1194" i="4" s="1"/>
  <c r="D1319" i="4"/>
  <c r="F1319" i="4" s="1"/>
  <c r="D1446" i="4"/>
  <c r="F1446" i="4" s="1"/>
  <c r="D1572" i="4"/>
  <c r="F1572" i="4" s="1"/>
  <c r="D831" i="4"/>
  <c r="F831" i="4" s="1"/>
  <c r="D959" i="4"/>
  <c r="F959" i="4" s="1"/>
  <c r="D1086" i="4"/>
  <c r="F1086" i="4" s="1"/>
  <c r="D1211" i="4"/>
  <c r="F1211" i="4" s="1"/>
  <c r="D1344" i="4"/>
  <c r="F1344" i="4" s="1"/>
  <c r="D761" i="4"/>
  <c r="F761" i="4" s="1"/>
  <c r="D896" i="4"/>
  <c r="F896" i="4" s="1"/>
  <c r="D1022" i="4"/>
  <c r="F1022" i="4" s="1"/>
  <c r="D1156" i="4"/>
  <c r="F1156" i="4" s="1"/>
  <c r="D453" i="4"/>
  <c r="F453" i="4" s="1"/>
  <c r="D946" i="4"/>
  <c r="F946" i="4" s="1"/>
  <c r="D1096" i="4"/>
  <c r="F1096" i="4" s="1"/>
  <c r="D1283" i="4"/>
  <c r="F1283" i="4" s="1"/>
  <c r="D1466" i="4"/>
  <c r="F1466" i="4" s="1"/>
  <c r="D1183" i="4"/>
  <c r="F1183" i="4" s="1"/>
  <c r="D1769" i="4"/>
  <c r="F1769" i="4" s="1"/>
  <c r="D1950" i="4"/>
  <c r="F1950" i="4" s="1"/>
  <c r="D793" i="4"/>
  <c r="F793" i="4" s="1"/>
  <c r="D984" i="4"/>
  <c r="F984" i="4" s="1"/>
  <c r="D1723" i="4"/>
  <c r="F1723" i="4" s="1"/>
  <c r="D1872" i="4"/>
  <c r="F1872" i="4" s="1"/>
  <c r="D674" i="4"/>
  <c r="F674" i="4" s="1"/>
  <c r="D1416" i="4"/>
  <c r="F1416" i="4" s="1"/>
  <c r="D1565" i="4"/>
  <c r="F1565" i="4" s="1"/>
  <c r="D1747" i="4"/>
  <c r="F1747" i="4" s="1"/>
  <c r="D1361" i="4"/>
  <c r="F1361" i="4" s="1"/>
  <c r="D1502" i="4"/>
  <c r="F1502" i="4" s="1"/>
  <c r="D1693" i="4"/>
  <c r="F1693" i="4" s="1"/>
  <c r="D1953" i="4"/>
  <c r="F1953" i="4" s="1"/>
  <c r="D1472" i="4"/>
  <c r="F1472" i="4" s="1"/>
  <c r="D1734" i="4"/>
  <c r="F1734" i="4" s="1"/>
  <c r="D1300" i="4"/>
  <c r="F1300" i="4" s="1"/>
  <c r="D1569" i="4"/>
  <c r="F1569" i="4" s="1"/>
  <c r="D2066" i="4"/>
  <c r="F2066" i="4" s="1"/>
  <c r="D2330" i="4"/>
  <c r="F2330" i="4" s="1"/>
  <c r="D1877" i="4"/>
  <c r="F1877" i="4" s="1"/>
  <c r="D2294" i="4"/>
  <c r="F2294" i="4" s="1"/>
  <c r="D1878" i="4"/>
  <c r="F1878" i="4" s="1"/>
  <c r="D1792" i="4"/>
  <c r="F1792" i="4" s="1"/>
  <c r="D1452" i="4"/>
  <c r="F1452" i="4" s="1"/>
  <c r="D2117" i="4"/>
  <c r="F2117" i="4" s="1"/>
  <c r="D2228" i="4"/>
  <c r="F2228" i="4" s="1"/>
  <c r="D2484" i="4"/>
  <c r="F2484" i="4" s="1"/>
  <c r="D2329" i="4"/>
  <c r="F2329" i="4" s="1"/>
  <c r="D2151" i="4"/>
  <c r="F2151" i="4" s="1"/>
  <c r="AG6" i="5"/>
  <c r="AO6" i="5" s="1"/>
  <c r="AD6" i="5"/>
  <c r="AL6" i="5" s="1"/>
  <c r="AJ6" i="5"/>
  <c r="AR6" i="5" s="1"/>
  <c r="AI5" i="5"/>
  <c r="AQ5" i="5" s="1"/>
  <c r="AJ5" i="5"/>
  <c r="AR5" i="5" s="1"/>
  <c r="AC5" i="5"/>
  <c r="AF5" i="5"/>
  <c r="AN5" i="5" s="1"/>
  <c r="AH6" i="5"/>
  <c r="AP6" i="5" s="1"/>
  <c r="AG5" i="5"/>
  <c r="AO5" i="5" s="1"/>
  <c r="AF6" i="5"/>
  <c r="AN6" i="5" s="1"/>
  <c r="D2523" i="4"/>
  <c r="F2523" i="4" s="1"/>
  <c r="D2531" i="4"/>
  <c r="F2531" i="4" s="1"/>
  <c r="D2539" i="4"/>
  <c r="F2539" i="4" s="1"/>
  <c r="D2547" i="4"/>
  <c r="F2547" i="4" s="1"/>
  <c r="D2555" i="4"/>
  <c r="F2555" i="4" s="1"/>
  <c r="D2563" i="4"/>
  <c r="F2563" i="4" s="1"/>
  <c r="D2571" i="4"/>
  <c r="F2571" i="4" s="1"/>
  <c r="D2579" i="4"/>
  <c r="F2579" i="4" s="1"/>
  <c r="D2587" i="4"/>
  <c r="F2587" i="4" s="1"/>
  <c r="D2595" i="4"/>
  <c r="F2595" i="4" s="1"/>
  <c r="D2603" i="4"/>
  <c r="F2603" i="4" s="1"/>
  <c r="D2611" i="4"/>
  <c r="F2611" i="4" s="1"/>
  <c r="D2619" i="4"/>
  <c r="F2619" i="4" s="1"/>
  <c r="D2627" i="4"/>
  <c r="F2627" i="4" s="1"/>
  <c r="D2635" i="4"/>
  <c r="F2635" i="4" s="1"/>
  <c r="D2643" i="4"/>
  <c r="F2643" i="4" s="1"/>
  <c r="D2651" i="4"/>
  <c r="F2651" i="4" s="1"/>
  <c r="D2659" i="4"/>
  <c r="F2659" i="4" s="1"/>
  <c r="D2667" i="4"/>
  <c r="F2667" i="4" s="1"/>
  <c r="D2675" i="4"/>
  <c r="F2675" i="4" s="1"/>
  <c r="C2516" i="4"/>
  <c r="D2521" i="4"/>
  <c r="F2521" i="4" s="1"/>
  <c r="D2529" i="4"/>
  <c r="F2529" i="4" s="1"/>
  <c r="D2537" i="4"/>
  <c r="F2537" i="4" s="1"/>
  <c r="D2519" i="4"/>
  <c r="F2519" i="4" s="1"/>
  <c r="D2527" i="4"/>
  <c r="F2527" i="4" s="1"/>
  <c r="D2535" i="4"/>
  <c r="F2535" i="4" s="1"/>
  <c r="D2543" i="4"/>
  <c r="F2543" i="4" s="1"/>
  <c r="D2551" i="4"/>
  <c r="F2551" i="4" s="1"/>
  <c r="D2559" i="4"/>
  <c r="F2559" i="4" s="1"/>
  <c r="D2567" i="4"/>
  <c r="F2567" i="4" s="1"/>
  <c r="D2575" i="4"/>
  <c r="F2575" i="4" s="1"/>
  <c r="D2583" i="4"/>
  <c r="F2583" i="4" s="1"/>
  <c r="D2591" i="4"/>
  <c r="F2591" i="4" s="1"/>
  <c r="D2525" i="4"/>
  <c r="F2525" i="4" s="1"/>
  <c r="D2538" i="4"/>
  <c r="F2538" i="4" s="1"/>
  <c r="D2545" i="4"/>
  <c r="F2545" i="4" s="1"/>
  <c r="D2552" i="4"/>
  <c r="F2552" i="4" s="1"/>
  <c r="D2570" i="4"/>
  <c r="F2570" i="4" s="1"/>
  <c r="D2577" i="4"/>
  <c r="F2577" i="4" s="1"/>
  <c r="D2584" i="4"/>
  <c r="F2584" i="4" s="1"/>
  <c r="D2638" i="4"/>
  <c r="F2638" i="4" s="1"/>
  <c r="D2641" i="4"/>
  <c r="F2641" i="4" s="1"/>
  <c r="D2644" i="4"/>
  <c r="F2644" i="4" s="1"/>
  <c r="D2647" i="4"/>
  <c r="F2647" i="4" s="1"/>
  <c r="D2650" i="4"/>
  <c r="F2650" i="4" s="1"/>
  <c r="D2653" i="4"/>
  <c r="F2653" i="4" s="1"/>
  <c r="D2656" i="4"/>
  <c r="F2656" i="4" s="1"/>
  <c r="D2686" i="4"/>
  <c r="F2686" i="4" s="1"/>
  <c r="D2694" i="4"/>
  <c r="F2694" i="4" s="1"/>
  <c r="D2702" i="4"/>
  <c r="F2702" i="4" s="1"/>
  <c r="D2710" i="4"/>
  <c r="F2710" i="4" s="1"/>
  <c r="D2718" i="4"/>
  <c r="F2718" i="4" s="1"/>
  <c r="D2726" i="4"/>
  <c r="F2726" i="4" s="1"/>
  <c r="D2522" i="4"/>
  <c r="F2522" i="4" s="1"/>
  <c r="D2526" i="4"/>
  <c r="F2526" i="4" s="1"/>
  <c r="D2546" i="4"/>
  <c r="F2546" i="4" s="1"/>
  <c r="D2553" i="4"/>
  <c r="F2553" i="4" s="1"/>
  <c r="D2560" i="4"/>
  <c r="F2560" i="4" s="1"/>
  <c r="D2578" i="4"/>
  <c r="F2578" i="4" s="1"/>
  <c r="D2585" i="4"/>
  <c r="F2585" i="4" s="1"/>
  <c r="D2592" i="4"/>
  <c r="F2592" i="4" s="1"/>
  <c r="D2599" i="4"/>
  <c r="F2599" i="4" s="1"/>
  <c r="D2602" i="4"/>
  <c r="F2602" i="4" s="1"/>
  <c r="D2605" i="4"/>
  <c r="F2605" i="4" s="1"/>
  <c r="D2608" i="4"/>
  <c r="F2608" i="4" s="1"/>
  <c r="D2654" i="4"/>
  <c r="F2654" i="4" s="1"/>
  <c r="D2657" i="4"/>
  <c r="F2657" i="4" s="1"/>
  <c r="D2660" i="4"/>
  <c r="F2660" i="4" s="1"/>
  <c r="D2663" i="4"/>
  <c r="F2663" i="4" s="1"/>
  <c r="D2666" i="4"/>
  <c r="F2666" i="4" s="1"/>
  <c r="D2669" i="4"/>
  <c r="F2669" i="4" s="1"/>
  <c r="D2672" i="4"/>
  <c r="F2672" i="4" s="1"/>
  <c r="D2684" i="4"/>
  <c r="F2684" i="4" s="1"/>
  <c r="D2692" i="4"/>
  <c r="F2692" i="4" s="1"/>
  <c r="D2700" i="4"/>
  <c r="F2700" i="4" s="1"/>
  <c r="D2708" i="4"/>
  <c r="F2708" i="4" s="1"/>
  <c r="D2716" i="4"/>
  <c r="F2716" i="4" s="1"/>
  <c r="D2724" i="4"/>
  <c r="F2724" i="4" s="1"/>
  <c r="D2732" i="4"/>
  <c r="F2732" i="4" s="1"/>
  <c r="D2740" i="4"/>
  <c r="F2740" i="4" s="1"/>
  <c r="D2748" i="4"/>
  <c r="F2748" i="4" s="1"/>
  <c r="D2756" i="4"/>
  <c r="F2756" i="4" s="1"/>
  <c r="D2764" i="4"/>
  <c r="F2764" i="4" s="1"/>
  <c r="D2772" i="4"/>
  <c r="F2772" i="4" s="1"/>
  <c r="D2780" i="4"/>
  <c r="F2780" i="4" s="1"/>
  <c r="D2788" i="4"/>
  <c r="F2788" i="4" s="1"/>
  <c r="D2796" i="4"/>
  <c r="F2796" i="4" s="1"/>
  <c r="D2804" i="4"/>
  <c r="F2804" i="4" s="1"/>
  <c r="D2812" i="4"/>
  <c r="F2812" i="4" s="1"/>
  <c r="D2820" i="4"/>
  <c r="F2820" i="4" s="1"/>
  <c r="D2828" i="4"/>
  <c r="F2828" i="4" s="1"/>
  <c r="D2836" i="4"/>
  <c r="F2836" i="4" s="1"/>
  <c r="D2844" i="4"/>
  <c r="F2844" i="4" s="1"/>
  <c r="D2852" i="4"/>
  <c r="F2852" i="4" s="1"/>
  <c r="D2860" i="4"/>
  <c r="F2860" i="4" s="1"/>
  <c r="D2868" i="4"/>
  <c r="F2868" i="4" s="1"/>
  <c r="D2876" i="4"/>
  <c r="F2876" i="4" s="1"/>
  <c r="D2884" i="4"/>
  <c r="F2884" i="4" s="1"/>
  <c r="D2892" i="4"/>
  <c r="F2892" i="4" s="1"/>
  <c r="D2900" i="4"/>
  <c r="F2900" i="4" s="1"/>
  <c r="D2908" i="4"/>
  <c r="F2908" i="4" s="1"/>
  <c r="D2916" i="4"/>
  <c r="F2916" i="4" s="1"/>
  <c r="D2924" i="4"/>
  <c r="F2924" i="4" s="1"/>
  <c r="D2932" i="4"/>
  <c r="F2932" i="4" s="1"/>
  <c r="D2940" i="4"/>
  <c r="F2940" i="4" s="1"/>
  <c r="D2948" i="4"/>
  <c r="F2948" i="4" s="1"/>
  <c r="D2956" i="4"/>
  <c r="F2956" i="4" s="1"/>
  <c r="D2964" i="4"/>
  <c r="F2964" i="4" s="1"/>
  <c r="D2972" i="4"/>
  <c r="F2972" i="4" s="1"/>
  <c r="D2980" i="4"/>
  <c r="F2980" i="4" s="1"/>
  <c r="D2988" i="4"/>
  <c r="F2988" i="4" s="1"/>
  <c r="D2996" i="4"/>
  <c r="F2996" i="4" s="1"/>
  <c r="D3004" i="4"/>
  <c r="F3004" i="4" s="1"/>
  <c r="D3012" i="4"/>
  <c r="F3012" i="4" s="1"/>
  <c r="D3020" i="4"/>
  <c r="F3020" i="4" s="1"/>
  <c r="D3028" i="4"/>
  <c r="F3028" i="4" s="1"/>
  <c r="D3036" i="4"/>
  <c r="F3036" i="4" s="1"/>
  <c r="D3044" i="4"/>
  <c r="F3044" i="4" s="1"/>
  <c r="D3052" i="4"/>
  <c r="F3052" i="4" s="1"/>
  <c r="D3060" i="4"/>
  <c r="F3060" i="4" s="1"/>
  <c r="D3068" i="4"/>
  <c r="F3068" i="4" s="1"/>
  <c r="D3076" i="4"/>
  <c r="F3076" i="4" s="1"/>
  <c r="D3084" i="4"/>
  <c r="F3084" i="4" s="1"/>
  <c r="D3092" i="4"/>
  <c r="F3092" i="4" s="1"/>
  <c r="D3100" i="4"/>
  <c r="F3100" i="4" s="1"/>
  <c r="D3108" i="4"/>
  <c r="F3108" i="4" s="1"/>
  <c r="D2518" i="4"/>
  <c r="F2518" i="4" s="1"/>
  <c r="D2540" i="4"/>
  <c r="F2540" i="4" s="1"/>
  <c r="D2550" i="4"/>
  <c r="F2550" i="4" s="1"/>
  <c r="D2564" i="4"/>
  <c r="F2564" i="4" s="1"/>
  <c r="D2573" i="4"/>
  <c r="F2573" i="4" s="1"/>
  <c r="D2597" i="4"/>
  <c r="F2597" i="4" s="1"/>
  <c r="D2601" i="4"/>
  <c r="F2601" i="4" s="1"/>
  <c r="D2613" i="4"/>
  <c r="F2613" i="4" s="1"/>
  <c r="D2630" i="4"/>
  <c r="F2630" i="4" s="1"/>
  <c r="D2642" i="4"/>
  <c r="F2642" i="4" s="1"/>
  <c r="D2646" i="4"/>
  <c r="F2646" i="4" s="1"/>
  <c r="D2658" i="4"/>
  <c r="F2658" i="4" s="1"/>
  <c r="D2662" i="4"/>
  <c r="F2662" i="4" s="1"/>
  <c r="D2674" i="4"/>
  <c r="F2674" i="4" s="1"/>
  <c r="D2693" i="4"/>
  <c r="F2693" i="4" s="1"/>
  <c r="D2707" i="4"/>
  <c r="F2707" i="4" s="1"/>
  <c r="D2711" i="4"/>
  <c r="F2711" i="4" s="1"/>
  <c r="D2725" i="4"/>
  <c r="F2725" i="4" s="1"/>
  <c r="D2735" i="4"/>
  <c r="F2735" i="4" s="1"/>
  <c r="D2738" i="4"/>
  <c r="F2738" i="4" s="1"/>
  <c r="D2741" i="4"/>
  <c r="F2741" i="4" s="1"/>
  <c r="D2744" i="4"/>
  <c r="F2744" i="4" s="1"/>
  <c r="D2747" i="4"/>
  <c r="F2747" i="4" s="1"/>
  <c r="D2750" i="4"/>
  <c r="F2750" i="4" s="1"/>
  <c r="D2753" i="4"/>
  <c r="F2753" i="4" s="1"/>
  <c r="D2799" i="4"/>
  <c r="F2799" i="4" s="1"/>
  <c r="D2802" i="4"/>
  <c r="F2802" i="4" s="1"/>
  <c r="D2805" i="4"/>
  <c r="F2805" i="4" s="1"/>
  <c r="D2808" i="4"/>
  <c r="F2808" i="4" s="1"/>
  <c r="D2811" i="4"/>
  <c r="F2811" i="4" s="1"/>
  <c r="D2814" i="4"/>
  <c r="F2814" i="4" s="1"/>
  <c r="D2817" i="4"/>
  <c r="F2817" i="4" s="1"/>
  <c r="D2863" i="4"/>
  <c r="F2863" i="4" s="1"/>
  <c r="D2866" i="4"/>
  <c r="F2866" i="4" s="1"/>
  <c r="D2869" i="4"/>
  <c r="F2869" i="4" s="1"/>
  <c r="D2872" i="4"/>
  <c r="F2872" i="4" s="1"/>
  <c r="D2875" i="4"/>
  <c r="F2875" i="4" s="1"/>
  <c r="D2878" i="4"/>
  <c r="F2878" i="4" s="1"/>
  <c r="D2881" i="4"/>
  <c r="F2881" i="4" s="1"/>
  <c r="D2517" i="4"/>
  <c r="F2517" i="4" s="1"/>
  <c r="D2524" i="4"/>
  <c r="F2524" i="4" s="1"/>
  <c r="D2580" i="4"/>
  <c r="F2580" i="4" s="1"/>
  <c r="D2586" i="4"/>
  <c r="F2586" i="4" s="1"/>
  <c r="D2620" i="4"/>
  <c r="F2620" i="4" s="1"/>
  <c r="D2629" i="4"/>
  <c r="F2629" i="4" s="1"/>
  <c r="D2634" i="4"/>
  <c r="F2634" i="4" s="1"/>
  <c r="D2639" i="4"/>
  <c r="F2639" i="4" s="1"/>
  <c r="D2648" i="4"/>
  <c r="F2648" i="4" s="1"/>
  <c r="D2671" i="4"/>
  <c r="F2671" i="4" s="1"/>
  <c r="D2676" i="4"/>
  <c r="F2676" i="4" s="1"/>
  <c r="D2680" i="4"/>
  <c r="F2680" i="4" s="1"/>
  <c r="D2697" i="4"/>
  <c r="F2697" i="4" s="1"/>
  <c r="D2701" i="4"/>
  <c r="F2701" i="4" s="1"/>
  <c r="D2705" i="4"/>
  <c r="F2705" i="4" s="1"/>
  <c r="D2709" i="4"/>
  <c r="F2709" i="4" s="1"/>
  <c r="D2713" i="4"/>
  <c r="F2713" i="4" s="1"/>
  <c r="D2717" i="4"/>
  <c r="F2717" i="4" s="1"/>
  <c r="D2721" i="4"/>
  <c r="F2721" i="4" s="1"/>
  <c r="D2733" i="4"/>
  <c r="F2733" i="4" s="1"/>
  <c r="D2754" i="4"/>
  <c r="F2754" i="4" s="1"/>
  <c r="D2771" i="4"/>
  <c r="F2771" i="4" s="1"/>
  <c r="D2775" i="4"/>
  <c r="F2775" i="4" s="1"/>
  <c r="D2785" i="4"/>
  <c r="F2785" i="4" s="1"/>
  <c r="D2792" i="4"/>
  <c r="F2792" i="4" s="1"/>
  <c r="D2806" i="4"/>
  <c r="F2806" i="4" s="1"/>
  <c r="D2813" i="4"/>
  <c r="F2813" i="4" s="1"/>
  <c r="D2827" i="4"/>
  <c r="F2827" i="4" s="1"/>
  <c r="D2834" i="4"/>
  <c r="F2834" i="4" s="1"/>
  <c r="D2848" i="4"/>
  <c r="F2848" i="4" s="1"/>
  <c r="D2855" i="4"/>
  <c r="F2855" i="4" s="1"/>
  <c r="D2865" i="4"/>
  <c r="F2865" i="4" s="1"/>
  <c r="D2886" i="4"/>
  <c r="F2886" i="4" s="1"/>
  <c r="D2893" i="4"/>
  <c r="F2893" i="4" s="1"/>
  <c r="D2907" i="4"/>
  <c r="F2907" i="4" s="1"/>
  <c r="D2910" i="4"/>
  <c r="F2910" i="4" s="1"/>
  <c r="D2913" i="4"/>
  <c r="F2913" i="4" s="1"/>
  <c r="D2959" i="4"/>
  <c r="F2959" i="4" s="1"/>
  <c r="D2962" i="4"/>
  <c r="F2962" i="4" s="1"/>
  <c r="D2965" i="4"/>
  <c r="F2965" i="4" s="1"/>
  <c r="D2968" i="4"/>
  <c r="F2968" i="4" s="1"/>
  <c r="D2971" i="4"/>
  <c r="F2971" i="4" s="1"/>
  <c r="D2974" i="4"/>
  <c r="F2974" i="4" s="1"/>
  <c r="D2977" i="4"/>
  <c r="F2977" i="4" s="1"/>
  <c r="D3023" i="4"/>
  <c r="F3023" i="4" s="1"/>
  <c r="D3026" i="4"/>
  <c r="F3026" i="4" s="1"/>
  <c r="D3029" i="4"/>
  <c r="F3029" i="4" s="1"/>
  <c r="D3032" i="4"/>
  <c r="F3032" i="4" s="1"/>
  <c r="D3035" i="4"/>
  <c r="F3035" i="4" s="1"/>
  <c r="D3038" i="4"/>
  <c r="F3038" i="4" s="1"/>
  <c r="D3041" i="4"/>
  <c r="F3041" i="4" s="1"/>
  <c r="D3087" i="4"/>
  <c r="F3087" i="4" s="1"/>
  <c r="D3090" i="4"/>
  <c r="F3090" i="4" s="1"/>
  <c r="D3093" i="4"/>
  <c r="F3093" i="4" s="1"/>
  <c r="D3096" i="4"/>
  <c r="F3096" i="4" s="1"/>
  <c r="D3099" i="4"/>
  <c r="F3099" i="4" s="1"/>
  <c r="D3102" i="4"/>
  <c r="F3102" i="4" s="1"/>
  <c r="D3105" i="4"/>
  <c r="F3105" i="4" s="1"/>
  <c r="D3114" i="4"/>
  <c r="F3114" i="4" s="1"/>
  <c r="D3122" i="4"/>
  <c r="F3122" i="4" s="1"/>
  <c r="D3130" i="4"/>
  <c r="F3130" i="4" s="1"/>
  <c r="D3138" i="4"/>
  <c r="F3138" i="4" s="1"/>
  <c r="D3146" i="4"/>
  <c r="F3146" i="4" s="1"/>
  <c r="D3154" i="4"/>
  <c r="F3154" i="4" s="1"/>
  <c r="D3162" i="4"/>
  <c r="F3162" i="4" s="1"/>
  <c r="D3170" i="4"/>
  <c r="F3170" i="4" s="1"/>
  <c r="D3178" i="4"/>
  <c r="F3178" i="4" s="1"/>
  <c r="D3186" i="4"/>
  <c r="F3186" i="4" s="1"/>
  <c r="D3194" i="4"/>
  <c r="F3194" i="4" s="1"/>
  <c r="D3202" i="4"/>
  <c r="F3202" i="4" s="1"/>
  <c r="D3210" i="4"/>
  <c r="F3210" i="4" s="1"/>
  <c r="D3218" i="4"/>
  <c r="F3218" i="4" s="1"/>
  <c r="D3226" i="4"/>
  <c r="F3226" i="4" s="1"/>
  <c r="D3234" i="4"/>
  <c r="F3234" i="4" s="1"/>
  <c r="D3242" i="4"/>
  <c r="F3242" i="4" s="1"/>
  <c r="D3250" i="4"/>
  <c r="F3250" i="4" s="1"/>
  <c r="D3258" i="4"/>
  <c r="F3258" i="4" s="1"/>
  <c r="D3266" i="4"/>
  <c r="F3266" i="4" s="1"/>
  <c r="D3274" i="4"/>
  <c r="F3274" i="4" s="1"/>
  <c r="D3282" i="4"/>
  <c r="F3282" i="4" s="1"/>
  <c r="D3290" i="4"/>
  <c r="F3290" i="4" s="1"/>
  <c r="D3298" i="4"/>
  <c r="F3298" i="4" s="1"/>
  <c r="D3306" i="4"/>
  <c r="F3306" i="4" s="1"/>
  <c r="D3314" i="4"/>
  <c r="F3314" i="4" s="1"/>
  <c r="D3322" i="4"/>
  <c r="F3322" i="4" s="1"/>
  <c r="D3330" i="4"/>
  <c r="F3330" i="4" s="1"/>
  <c r="D3338" i="4"/>
  <c r="F3338" i="4" s="1"/>
  <c r="D3346" i="4"/>
  <c r="F3346" i="4" s="1"/>
  <c r="D3354" i="4"/>
  <c r="F3354" i="4" s="1"/>
  <c r="D3362" i="4"/>
  <c r="F3362" i="4" s="1"/>
  <c r="D3370" i="4"/>
  <c r="F3370" i="4" s="1"/>
  <c r="D3378" i="4"/>
  <c r="F3378" i="4" s="1"/>
  <c r="D3386" i="4"/>
  <c r="F3386" i="4" s="1"/>
  <c r="D3394" i="4"/>
  <c r="F3394" i="4" s="1"/>
  <c r="D3402" i="4"/>
  <c r="F3402" i="4" s="1"/>
  <c r="D3410" i="4"/>
  <c r="F3410" i="4" s="1"/>
  <c r="D3418" i="4"/>
  <c r="F3418" i="4" s="1"/>
  <c r="D3426" i="4"/>
  <c r="F3426" i="4" s="1"/>
  <c r="D3434" i="4"/>
  <c r="F3434" i="4" s="1"/>
  <c r="D3442" i="4"/>
  <c r="F3442" i="4" s="1"/>
  <c r="D3450" i="4"/>
  <c r="F3450" i="4" s="1"/>
  <c r="D3458" i="4"/>
  <c r="F3458" i="4" s="1"/>
  <c r="D3466" i="4"/>
  <c r="F3466" i="4" s="1"/>
  <c r="D3474" i="4"/>
  <c r="F3474" i="4" s="1"/>
  <c r="D3482" i="4"/>
  <c r="F3482" i="4" s="1"/>
  <c r="D3490" i="4"/>
  <c r="F3490" i="4" s="1"/>
  <c r="D3498" i="4"/>
  <c r="F3498" i="4" s="1"/>
  <c r="D3506" i="4"/>
  <c r="F3506" i="4" s="1"/>
  <c r="D2548" i="4"/>
  <c r="F2548" i="4" s="1"/>
  <c r="D2554" i="4"/>
  <c r="F2554" i="4" s="1"/>
  <c r="D2565" i="4"/>
  <c r="F2565" i="4" s="1"/>
  <c r="D2581" i="4"/>
  <c r="F2581" i="4" s="1"/>
  <c r="D2625" i="4"/>
  <c r="F2625" i="4" s="1"/>
  <c r="D2681" i="4"/>
  <c r="F2681" i="4" s="1"/>
  <c r="D2685" i="4"/>
  <c r="F2685" i="4" s="1"/>
  <c r="D2689" i="4"/>
  <c r="F2689" i="4" s="1"/>
  <c r="D2722" i="4"/>
  <c r="F2722" i="4" s="1"/>
  <c r="D2730" i="4"/>
  <c r="F2730" i="4" s="1"/>
  <c r="D2751" i="4"/>
  <c r="F2751" i="4" s="1"/>
  <c r="D2761" i="4"/>
  <c r="F2761" i="4" s="1"/>
  <c r="D2768" i="4"/>
  <c r="F2768" i="4" s="1"/>
  <c r="D2782" i="4"/>
  <c r="F2782" i="4" s="1"/>
  <c r="D2789" i="4"/>
  <c r="F2789" i="4" s="1"/>
  <c r="D2803" i="4"/>
  <c r="F2803" i="4" s="1"/>
  <c r="D2810" i="4"/>
  <c r="F2810" i="4" s="1"/>
  <c r="D2824" i="4"/>
  <c r="F2824" i="4" s="1"/>
  <c r="D2831" i="4"/>
  <c r="F2831" i="4" s="1"/>
  <c r="D2841" i="4"/>
  <c r="F2841" i="4" s="1"/>
  <c r="D2845" i="4"/>
  <c r="F2845" i="4" s="1"/>
  <c r="D2862" i="4"/>
  <c r="F2862" i="4" s="1"/>
  <c r="D2883" i="4"/>
  <c r="F2883" i="4" s="1"/>
  <c r="D2890" i="4"/>
  <c r="F2890" i="4" s="1"/>
  <c r="D2897" i="4"/>
  <c r="F2897" i="4" s="1"/>
  <c r="D2904" i="4"/>
  <c r="F2904" i="4" s="1"/>
  <c r="D2935" i="4"/>
  <c r="F2935" i="4" s="1"/>
  <c r="D2938" i="4"/>
  <c r="F2938" i="4" s="1"/>
  <c r="D2941" i="4"/>
  <c r="F2941" i="4" s="1"/>
  <c r="D2944" i="4"/>
  <c r="F2944" i="4" s="1"/>
  <c r="D2947" i="4"/>
  <c r="F2947" i="4" s="1"/>
  <c r="D2950" i="4"/>
  <c r="F2950" i="4" s="1"/>
  <c r="D2953" i="4"/>
  <c r="F2953" i="4" s="1"/>
  <c r="D2999" i="4"/>
  <c r="F2999" i="4" s="1"/>
  <c r="D3002" i="4"/>
  <c r="F3002" i="4" s="1"/>
  <c r="D3005" i="4"/>
  <c r="F3005" i="4" s="1"/>
  <c r="D3008" i="4"/>
  <c r="F3008" i="4" s="1"/>
  <c r="D3011" i="4"/>
  <c r="F3011" i="4" s="1"/>
  <c r="D3014" i="4"/>
  <c r="F3014" i="4" s="1"/>
  <c r="D3017" i="4"/>
  <c r="F3017" i="4" s="1"/>
  <c r="D3063" i="4"/>
  <c r="F3063" i="4" s="1"/>
  <c r="D3066" i="4"/>
  <c r="F3066" i="4" s="1"/>
  <c r="D3069" i="4"/>
  <c r="F3069" i="4" s="1"/>
  <c r="D3072" i="4"/>
  <c r="F3072" i="4" s="1"/>
  <c r="D3075" i="4"/>
  <c r="F3075" i="4" s="1"/>
  <c r="D3078" i="4"/>
  <c r="F3078" i="4" s="1"/>
  <c r="D3081" i="4"/>
  <c r="F3081" i="4" s="1"/>
  <c r="D3117" i="4"/>
  <c r="F3117" i="4" s="1"/>
  <c r="D3125" i="4"/>
  <c r="F3125" i="4" s="1"/>
  <c r="D3133" i="4"/>
  <c r="F3133" i="4" s="1"/>
  <c r="D3141" i="4"/>
  <c r="F3141" i="4" s="1"/>
  <c r="D3149" i="4"/>
  <c r="F3149" i="4" s="1"/>
  <c r="D3157" i="4"/>
  <c r="F3157" i="4" s="1"/>
  <c r="D3165" i="4"/>
  <c r="F3165" i="4" s="1"/>
  <c r="D3173" i="4"/>
  <c r="F3173" i="4" s="1"/>
  <c r="D3181" i="4"/>
  <c r="F3181" i="4" s="1"/>
  <c r="D3189" i="4"/>
  <c r="F3189" i="4" s="1"/>
  <c r="D3197" i="4"/>
  <c r="F3197" i="4" s="1"/>
  <c r="D3205" i="4"/>
  <c r="F3205" i="4" s="1"/>
  <c r="D3213" i="4"/>
  <c r="F3213" i="4" s="1"/>
  <c r="D3221" i="4"/>
  <c r="F3221" i="4" s="1"/>
  <c r="D3229" i="4"/>
  <c r="F3229" i="4" s="1"/>
  <c r="D3237" i="4"/>
  <c r="F3237" i="4" s="1"/>
  <c r="D3245" i="4"/>
  <c r="F3245" i="4" s="1"/>
  <c r="D3253" i="4"/>
  <c r="F3253" i="4" s="1"/>
  <c r="D2532" i="4"/>
  <c r="F2532" i="4" s="1"/>
  <c r="D2549" i="4"/>
  <c r="F2549" i="4" s="1"/>
  <c r="D2576" i="4"/>
  <c r="F2576" i="4" s="1"/>
  <c r="D2582" i="4"/>
  <c r="F2582" i="4" s="1"/>
  <c r="D2593" i="4"/>
  <c r="F2593" i="4" s="1"/>
  <c r="D2598" i="4"/>
  <c r="F2598" i="4" s="1"/>
  <c r="D2607" i="4"/>
  <c r="F2607" i="4" s="1"/>
  <c r="D2612" i="4"/>
  <c r="F2612" i="4" s="1"/>
  <c r="D2616" i="4"/>
  <c r="F2616" i="4" s="1"/>
  <c r="D2621" i="4"/>
  <c r="F2621" i="4" s="1"/>
  <c r="D2626" i="4"/>
  <c r="F2626" i="4" s="1"/>
  <c r="D2649" i="4"/>
  <c r="F2649" i="4" s="1"/>
  <c r="D2690" i="4"/>
  <c r="F2690" i="4" s="1"/>
  <c r="D2698" i="4"/>
  <c r="F2698" i="4" s="1"/>
  <c r="D2706" i="4"/>
  <c r="F2706" i="4" s="1"/>
  <c r="D2714" i="4"/>
  <c r="F2714" i="4" s="1"/>
  <c r="D2737" i="4"/>
  <c r="F2737" i="4" s="1"/>
  <c r="D2758" i="4"/>
  <c r="F2758" i="4" s="1"/>
  <c r="D2765" i="4"/>
  <c r="F2765" i="4" s="1"/>
  <c r="D2779" i="4"/>
  <c r="F2779" i="4" s="1"/>
  <c r="D2786" i="4"/>
  <c r="F2786" i="4" s="1"/>
  <c r="D2793" i="4"/>
  <c r="F2793" i="4" s="1"/>
  <c r="D2800" i="4"/>
  <c r="F2800" i="4" s="1"/>
  <c r="D2807" i="4"/>
  <c r="F2807" i="4" s="1"/>
  <c r="D2821" i="4"/>
  <c r="F2821" i="4" s="1"/>
  <c r="D2838" i="4"/>
  <c r="F2838" i="4" s="1"/>
  <c r="D2842" i="4"/>
  <c r="F2842" i="4" s="1"/>
  <c r="D2859" i="4"/>
  <c r="F2859" i="4" s="1"/>
  <c r="D2873" i="4"/>
  <c r="F2873" i="4" s="1"/>
  <c r="D2880" i="4"/>
  <c r="F2880" i="4" s="1"/>
  <c r="D2887" i="4"/>
  <c r="F2887" i="4" s="1"/>
  <c r="D2894" i="4"/>
  <c r="F2894" i="4" s="1"/>
  <c r="D2901" i="4"/>
  <c r="F2901" i="4" s="1"/>
  <c r="D2911" i="4"/>
  <c r="F2911" i="4" s="1"/>
  <c r="D2914" i="4"/>
  <c r="F2914" i="4" s="1"/>
  <c r="D2917" i="4"/>
  <c r="F2917" i="4" s="1"/>
  <c r="D2920" i="4"/>
  <c r="F2920" i="4" s="1"/>
  <c r="D2923" i="4"/>
  <c r="F2923" i="4" s="1"/>
  <c r="D2926" i="4"/>
  <c r="F2926" i="4" s="1"/>
  <c r="D2929" i="4"/>
  <c r="F2929" i="4" s="1"/>
  <c r="D2975" i="4"/>
  <c r="F2975" i="4" s="1"/>
  <c r="D2978" i="4"/>
  <c r="F2978" i="4" s="1"/>
  <c r="D2981" i="4"/>
  <c r="F2981" i="4" s="1"/>
  <c r="D2984" i="4"/>
  <c r="F2984" i="4" s="1"/>
  <c r="D2987" i="4"/>
  <c r="F2987" i="4" s="1"/>
  <c r="D2990" i="4"/>
  <c r="F2990" i="4" s="1"/>
  <c r="D2993" i="4"/>
  <c r="F2993" i="4" s="1"/>
  <c r="D3039" i="4"/>
  <c r="F3039" i="4" s="1"/>
  <c r="D3042" i="4"/>
  <c r="F3042" i="4" s="1"/>
  <c r="D3045" i="4"/>
  <c r="F3045" i="4" s="1"/>
  <c r="D3048" i="4"/>
  <c r="F3048" i="4" s="1"/>
  <c r="D3051" i="4"/>
  <c r="F3051" i="4" s="1"/>
  <c r="D3054" i="4"/>
  <c r="F3054" i="4" s="1"/>
  <c r="D3057" i="4"/>
  <c r="F3057" i="4" s="1"/>
  <c r="D3103" i="4"/>
  <c r="F3103" i="4" s="1"/>
  <c r="D3106" i="4"/>
  <c r="F3106" i="4" s="1"/>
  <c r="D3109" i="4"/>
  <c r="F3109" i="4" s="1"/>
  <c r="D3112" i="4"/>
  <c r="F3112" i="4" s="1"/>
  <c r="D3120" i="4"/>
  <c r="F3120" i="4" s="1"/>
  <c r="D3128" i="4"/>
  <c r="F3128" i="4" s="1"/>
  <c r="D3136" i="4"/>
  <c r="F3136" i="4" s="1"/>
  <c r="D3144" i="4"/>
  <c r="F3144" i="4" s="1"/>
  <c r="D3152" i="4"/>
  <c r="F3152" i="4" s="1"/>
  <c r="D3160" i="4"/>
  <c r="F3160" i="4" s="1"/>
  <c r="D3168" i="4"/>
  <c r="F3168" i="4" s="1"/>
  <c r="D3176" i="4"/>
  <c r="F3176" i="4" s="1"/>
  <c r="D3184" i="4"/>
  <c r="F3184" i="4" s="1"/>
  <c r="D3192" i="4"/>
  <c r="F3192" i="4" s="1"/>
  <c r="D3200" i="4"/>
  <c r="F3200" i="4" s="1"/>
  <c r="D3208" i="4"/>
  <c r="F3208" i="4" s="1"/>
  <c r="D3216" i="4"/>
  <c r="F3216" i="4" s="1"/>
  <c r="D3224" i="4"/>
  <c r="F3224" i="4" s="1"/>
  <c r="D3232" i="4"/>
  <c r="F3232" i="4" s="1"/>
  <c r="D3240" i="4"/>
  <c r="F3240" i="4" s="1"/>
  <c r="D3248" i="4"/>
  <c r="F3248" i="4" s="1"/>
  <c r="D3256" i="4"/>
  <c r="F3256" i="4" s="1"/>
  <c r="D3264" i="4"/>
  <c r="F3264" i="4" s="1"/>
  <c r="D3272" i="4"/>
  <c r="F3272" i="4" s="1"/>
  <c r="D3280" i="4"/>
  <c r="F3280" i="4" s="1"/>
  <c r="D3288" i="4"/>
  <c r="F3288" i="4" s="1"/>
  <c r="D3296" i="4"/>
  <c r="F3296" i="4" s="1"/>
  <c r="D3304" i="4"/>
  <c r="F3304" i="4" s="1"/>
  <c r="D3312" i="4"/>
  <c r="F3312" i="4" s="1"/>
  <c r="D3320" i="4"/>
  <c r="F3320" i="4" s="1"/>
  <c r="D3328" i="4"/>
  <c r="F3328" i="4" s="1"/>
  <c r="D3336" i="4"/>
  <c r="F3336" i="4" s="1"/>
  <c r="D3344" i="4"/>
  <c r="F3344" i="4" s="1"/>
  <c r="D3352" i="4"/>
  <c r="F3352" i="4" s="1"/>
  <c r="D3360" i="4"/>
  <c r="F3360" i="4" s="1"/>
  <c r="D3368" i="4"/>
  <c r="F3368" i="4" s="1"/>
  <c r="D3376" i="4"/>
  <c r="F3376" i="4" s="1"/>
  <c r="D3384" i="4"/>
  <c r="F3384" i="4" s="1"/>
  <c r="D3392" i="4"/>
  <c r="F3392" i="4" s="1"/>
  <c r="D3400" i="4"/>
  <c r="F3400" i="4" s="1"/>
  <c r="D3408" i="4"/>
  <c r="F3408" i="4" s="1"/>
  <c r="D3416" i="4"/>
  <c r="F3416" i="4" s="1"/>
  <c r="D3424" i="4"/>
  <c r="F3424" i="4" s="1"/>
  <c r="D3432" i="4"/>
  <c r="F3432" i="4" s="1"/>
  <c r="D3440" i="4"/>
  <c r="F3440" i="4" s="1"/>
  <c r="D3448" i="4"/>
  <c r="F3448" i="4" s="1"/>
  <c r="D3456" i="4"/>
  <c r="F3456" i="4" s="1"/>
  <c r="D3464" i="4"/>
  <c r="F3464" i="4" s="1"/>
  <c r="D3472" i="4"/>
  <c r="F3472" i="4" s="1"/>
  <c r="D3480" i="4"/>
  <c r="F3480" i="4" s="1"/>
  <c r="D3488" i="4"/>
  <c r="F3488" i="4" s="1"/>
  <c r="D3496" i="4"/>
  <c r="F3496" i="4" s="1"/>
  <c r="D3504" i="4"/>
  <c r="F3504" i="4" s="1"/>
  <c r="D3512" i="4"/>
  <c r="F3512" i="4" s="1"/>
  <c r="D3520" i="4"/>
  <c r="F3520" i="4" s="1"/>
  <c r="D3528" i="4"/>
  <c r="F3528" i="4" s="1"/>
  <c r="D2544" i="4"/>
  <c r="F2544" i="4" s="1"/>
  <c r="D2561" i="4"/>
  <c r="F2561" i="4" s="1"/>
  <c r="D2566" i="4"/>
  <c r="F2566" i="4" s="1"/>
  <c r="D2588" i="4"/>
  <c r="F2588" i="4" s="1"/>
  <c r="D2617" i="4"/>
  <c r="F2617" i="4" s="1"/>
  <c r="D2622" i="4"/>
  <c r="F2622" i="4" s="1"/>
  <c r="D2631" i="4"/>
  <c r="F2631" i="4" s="1"/>
  <c r="D2636" i="4"/>
  <c r="F2636" i="4" s="1"/>
  <c r="D2640" i="4"/>
  <c r="F2640" i="4" s="1"/>
  <c r="D2645" i="4"/>
  <c r="F2645" i="4" s="1"/>
  <c r="D2668" i="4"/>
  <c r="F2668" i="4" s="1"/>
  <c r="D2673" i="4"/>
  <c r="F2673" i="4" s="1"/>
  <c r="D2677" i="4"/>
  <c r="F2677" i="4" s="1"/>
  <c r="D2682" i="4"/>
  <c r="F2682" i="4" s="1"/>
  <c r="D2719" i="4"/>
  <c r="F2719" i="4" s="1"/>
  <c r="D2727" i="4"/>
  <c r="F2727" i="4" s="1"/>
  <c r="D2734" i="4"/>
  <c r="F2734" i="4" s="1"/>
  <c r="D2755" i="4"/>
  <c r="F2755" i="4" s="1"/>
  <c r="D2762" i="4"/>
  <c r="F2762" i="4" s="1"/>
  <c r="D2769" i="4"/>
  <c r="F2769" i="4" s="1"/>
  <c r="D2776" i="4"/>
  <c r="F2776" i="4" s="1"/>
  <c r="D2783" i="4"/>
  <c r="F2783" i="4" s="1"/>
  <c r="D2790" i="4"/>
  <c r="F2790" i="4" s="1"/>
  <c r="D2797" i="4"/>
  <c r="F2797" i="4" s="1"/>
  <c r="D2818" i="4"/>
  <c r="F2818" i="4" s="1"/>
  <c r="D2835" i="4"/>
  <c r="F2835" i="4" s="1"/>
  <c r="D2839" i="4"/>
  <c r="F2839" i="4" s="1"/>
  <c r="D2849" i="4"/>
  <c r="F2849" i="4" s="1"/>
  <c r="D2856" i="4"/>
  <c r="F2856" i="4" s="1"/>
  <c r="D2870" i="4"/>
  <c r="F2870" i="4" s="1"/>
  <c r="D2877" i="4"/>
  <c r="F2877" i="4" s="1"/>
  <c r="D2891" i="4"/>
  <c r="F2891" i="4" s="1"/>
  <c r="D2898" i="4"/>
  <c r="F2898" i="4" s="1"/>
  <c r="D2951" i="4"/>
  <c r="F2951" i="4" s="1"/>
  <c r="D2954" i="4"/>
  <c r="F2954" i="4" s="1"/>
  <c r="D2957" i="4"/>
  <c r="F2957" i="4" s="1"/>
  <c r="D2960" i="4"/>
  <c r="F2960" i="4" s="1"/>
  <c r="D2963" i="4"/>
  <c r="F2963" i="4" s="1"/>
  <c r="D2966" i="4"/>
  <c r="F2966" i="4" s="1"/>
  <c r="D2969" i="4"/>
  <c r="F2969" i="4" s="1"/>
  <c r="D3015" i="4"/>
  <c r="F3015" i="4" s="1"/>
  <c r="D3018" i="4"/>
  <c r="F3018" i="4" s="1"/>
  <c r="D3021" i="4"/>
  <c r="F3021" i="4" s="1"/>
  <c r="D3024" i="4"/>
  <c r="F3024" i="4" s="1"/>
  <c r="D3027" i="4"/>
  <c r="F3027" i="4" s="1"/>
  <c r="D3030" i="4"/>
  <c r="F3030" i="4" s="1"/>
  <c r="D3033" i="4"/>
  <c r="F3033" i="4" s="1"/>
  <c r="D3079" i="4"/>
  <c r="F3079" i="4" s="1"/>
  <c r="D3082" i="4"/>
  <c r="F3082" i="4" s="1"/>
  <c r="D3085" i="4"/>
  <c r="F3085" i="4" s="1"/>
  <c r="D3088" i="4"/>
  <c r="F3088" i="4" s="1"/>
  <c r="D3091" i="4"/>
  <c r="F3091" i="4" s="1"/>
  <c r="D3094" i="4"/>
  <c r="F3094" i="4" s="1"/>
  <c r="D3097" i="4"/>
  <c r="F3097" i="4" s="1"/>
  <c r="D3115" i="4"/>
  <c r="F3115" i="4" s="1"/>
  <c r="D3123" i="4"/>
  <c r="F3123" i="4" s="1"/>
  <c r="D3131" i="4"/>
  <c r="F3131" i="4" s="1"/>
  <c r="D3139" i="4"/>
  <c r="F3139" i="4" s="1"/>
  <c r="D3147" i="4"/>
  <c r="F3147" i="4" s="1"/>
  <c r="D3155" i="4"/>
  <c r="F3155" i="4" s="1"/>
  <c r="D3163" i="4"/>
  <c r="F3163" i="4" s="1"/>
  <c r="D3171" i="4"/>
  <c r="F3171" i="4" s="1"/>
  <c r="D3179" i="4"/>
  <c r="F3179" i="4" s="1"/>
  <c r="D3187" i="4"/>
  <c r="F3187" i="4" s="1"/>
  <c r="D3195" i="4"/>
  <c r="F3195" i="4" s="1"/>
  <c r="D3203" i="4"/>
  <c r="F3203" i="4" s="1"/>
  <c r="D3211" i="4"/>
  <c r="F3211" i="4" s="1"/>
  <c r="D3219" i="4"/>
  <c r="F3219" i="4" s="1"/>
  <c r="D3227" i="4"/>
  <c r="F3227" i="4" s="1"/>
  <c r="D3235" i="4"/>
  <c r="F3235" i="4" s="1"/>
  <c r="D3243" i="4"/>
  <c r="F3243" i="4" s="1"/>
  <c r="D3251" i="4"/>
  <c r="F3251" i="4" s="1"/>
  <c r="D3259" i="4"/>
  <c r="F3259" i="4" s="1"/>
  <c r="D3267" i="4"/>
  <c r="F3267" i="4" s="1"/>
  <c r="D3275" i="4"/>
  <c r="F3275" i="4" s="1"/>
  <c r="D3283" i="4"/>
  <c r="F3283" i="4" s="1"/>
  <c r="D3291" i="4"/>
  <c r="F3291" i="4" s="1"/>
  <c r="D3299" i="4"/>
  <c r="F3299" i="4" s="1"/>
  <c r="D3307" i="4"/>
  <c r="F3307" i="4" s="1"/>
  <c r="D3315" i="4"/>
  <c r="F3315" i="4" s="1"/>
  <c r="D3323" i="4"/>
  <c r="F3323" i="4" s="1"/>
  <c r="D3331" i="4"/>
  <c r="F3331" i="4" s="1"/>
  <c r="D3339" i="4"/>
  <c r="F3339" i="4" s="1"/>
  <c r="D3347" i="4"/>
  <c r="F3347" i="4" s="1"/>
  <c r="D3355" i="4"/>
  <c r="F3355" i="4" s="1"/>
  <c r="D3363" i="4"/>
  <c r="F3363" i="4" s="1"/>
  <c r="D3371" i="4"/>
  <c r="F3371" i="4" s="1"/>
  <c r="D3379" i="4"/>
  <c r="F3379" i="4" s="1"/>
  <c r="D3387" i="4"/>
  <c r="F3387" i="4" s="1"/>
  <c r="D3395" i="4"/>
  <c r="F3395" i="4" s="1"/>
  <c r="D3403" i="4"/>
  <c r="F3403" i="4" s="1"/>
  <c r="D3411" i="4"/>
  <c r="F3411" i="4" s="1"/>
  <c r="D3419" i="4"/>
  <c r="F3419" i="4" s="1"/>
  <c r="D3427" i="4"/>
  <c r="F3427" i="4" s="1"/>
  <c r="D3435" i="4"/>
  <c r="F3435" i="4" s="1"/>
  <c r="D3443" i="4"/>
  <c r="F3443" i="4" s="1"/>
  <c r="D3451" i="4"/>
  <c r="F3451" i="4" s="1"/>
  <c r="D3459" i="4"/>
  <c r="F3459" i="4" s="1"/>
  <c r="D3467" i="4"/>
  <c r="F3467" i="4" s="1"/>
  <c r="D3475" i="4"/>
  <c r="F3475" i="4" s="1"/>
  <c r="D3483" i="4"/>
  <c r="F3483" i="4" s="1"/>
  <c r="D3491" i="4"/>
  <c r="F3491" i="4" s="1"/>
  <c r="D3499" i="4"/>
  <c r="F3499" i="4" s="1"/>
  <c r="D3507" i="4"/>
  <c r="F3507" i="4" s="1"/>
  <c r="D2568" i="4"/>
  <c r="F2568" i="4" s="1"/>
  <c r="D2590" i="4"/>
  <c r="F2590" i="4" s="1"/>
  <c r="D2600" i="4"/>
  <c r="F2600" i="4" s="1"/>
  <c r="D2628" i="4"/>
  <c r="F2628" i="4" s="1"/>
  <c r="D2637" i="4"/>
  <c r="F2637" i="4" s="1"/>
  <c r="D2665" i="4"/>
  <c r="F2665" i="4" s="1"/>
  <c r="D2739" i="4"/>
  <c r="F2739" i="4" s="1"/>
  <c r="D2746" i="4"/>
  <c r="F2746" i="4" s="1"/>
  <c r="D2760" i="4"/>
  <c r="F2760" i="4" s="1"/>
  <c r="D2767" i="4"/>
  <c r="F2767" i="4" s="1"/>
  <c r="D2781" i="4"/>
  <c r="F2781" i="4" s="1"/>
  <c r="D2899" i="4"/>
  <c r="F2899" i="4" s="1"/>
  <c r="D2943" i="4"/>
  <c r="F2943" i="4" s="1"/>
  <c r="D2949" i="4"/>
  <c r="F2949" i="4" s="1"/>
  <c r="D2955" i="4"/>
  <c r="F2955" i="4" s="1"/>
  <c r="D2961" i="4"/>
  <c r="F2961" i="4" s="1"/>
  <c r="D3010" i="4"/>
  <c r="F3010" i="4" s="1"/>
  <c r="D3016" i="4"/>
  <c r="F3016" i="4" s="1"/>
  <c r="D3022" i="4"/>
  <c r="F3022" i="4" s="1"/>
  <c r="D3071" i="4"/>
  <c r="F3071" i="4" s="1"/>
  <c r="D3077" i="4"/>
  <c r="F3077" i="4" s="1"/>
  <c r="D3083" i="4"/>
  <c r="F3083" i="4" s="1"/>
  <c r="D3089" i="4"/>
  <c r="F3089" i="4" s="1"/>
  <c r="D3124" i="4"/>
  <c r="F3124" i="4" s="1"/>
  <c r="D3140" i="4"/>
  <c r="F3140" i="4" s="1"/>
  <c r="D3156" i="4"/>
  <c r="F3156" i="4" s="1"/>
  <c r="D3172" i="4"/>
  <c r="F3172" i="4" s="1"/>
  <c r="D3188" i="4"/>
  <c r="F3188" i="4" s="1"/>
  <c r="D3204" i="4"/>
  <c r="F3204" i="4" s="1"/>
  <c r="D3220" i="4"/>
  <c r="F3220" i="4" s="1"/>
  <c r="D3236" i="4"/>
  <c r="F3236" i="4" s="1"/>
  <c r="D3252" i="4"/>
  <c r="F3252" i="4" s="1"/>
  <c r="D3262" i="4"/>
  <c r="F3262" i="4" s="1"/>
  <c r="D3287" i="4"/>
  <c r="F3287" i="4" s="1"/>
  <c r="D3300" i="4"/>
  <c r="F3300" i="4" s="1"/>
  <c r="D3313" i="4"/>
  <c r="F3313" i="4" s="1"/>
  <c r="D3317" i="4"/>
  <c r="F3317" i="4" s="1"/>
  <c r="D3326" i="4"/>
  <c r="F3326" i="4" s="1"/>
  <c r="D3351" i="4"/>
  <c r="F3351" i="4" s="1"/>
  <c r="D3364" i="4"/>
  <c r="F3364" i="4" s="1"/>
  <c r="D3377" i="4"/>
  <c r="F3377" i="4" s="1"/>
  <c r="D3381" i="4"/>
  <c r="F3381" i="4" s="1"/>
  <c r="D3390" i="4"/>
  <c r="F3390" i="4" s="1"/>
  <c r="D3415" i="4"/>
  <c r="F3415" i="4" s="1"/>
  <c r="D3428" i="4"/>
  <c r="F3428" i="4" s="1"/>
  <c r="D3441" i="4"/>
  <c r="F3441" i="4" s="1"/>
  <c r="D3445" i="4"/>
  <c r="F3445" i="4" s="1"/>
  <c r="D3454" i="4"/>
  <c r="F3454" i="4" s="1"/>
  <c r="D3479" i="4"/>
  <c r="F3479" i="4" s="1"/>
  <c r="D3492" i="4"/>
  <c r="F3492" i="4" s="1"/>
  <c r="D3505" i="4"/>
  <c r="F3505" i="4" s="1"/>
  <c r="D3539" i="4"/>
  <c r="F3539" i="4" s="1"/>
  <c r="D3547" i="4"/>
  <c r="F3547" i="4" s="1"/>
  <c r="D3555" i="4"/>
  <c r="F3555" i="4" s="1"/>
  <c r="D3563" i="4"/>
  <c r="F3563" i="4" s="1"/>
  <c r="D3571" i="4"/>
  <c r="F3571" i="4" s="1"/>
  <c r="D3579" i="4"/>
  <c r="F3579" i="4" s="1"/>
  <c r="D3587" i="4"/>
  <c r="F3587" i="4" s="1"/>
  <c r="D3595" i="4"/>
  <c r="F3595" i="4" s="1"/>
  <c r="D3603" i="4"/>
  <c r="F3603" i="4" s="1"/>
  <c r="D3611" i="4"/>
  <c r="F3611" i="4" s="1"/>
  <c r="D3619" i="4"/>
  <c r="F3619" i="4" s="1"/>
  <c r="D3627" i="4"/>
  <c r="F3627" i="4" s="1"/>
  <c r="D3635" i="4"/>
  <c r="F3635" i="4" s="1"/>
  <c r="D3643" i="4"/>
  <c r="F3643" i="4" s="1"/>
  <c r="D3651" i="4"/>
  <c r="F3651" i="4" s="1"/>
  <c r="D3659" i="4"/>
  <c r="F3659" i="4" s="1"/>
  <c r="D3667" i="4"/>
  <c r="F3667" i="4" s="1"/>
  <c r="D3675" i="4"/>
  <c r="F3675" i="4" s="1"/>
  <c r="D3683" i="4"/>
  <c r="F3683" i="4" s="1"/>
  <c r="D3691" i="4"/>
  <c r="F3691" i="4" s="1"/>
  <c r="D3699" i="4"/>
  <c r="F3699" i="4" s="1"/>
  <c r="D3707" i="4"/>
  <c r="F3707" i="4" s="1"/>
  <c r="D3715" i="4"/>
  <c r="F3715" i="4" s="1"/>
  <c r="D3723" i="4"/>
  <c r="F3723" i="4" s="1"/>
  <c r="D3731" i="4"/>
  <c r="F3731" i="4" s="1"/>
  <c r="D3739" i="4"/>
  <c r="F3739" i="4" s="1"/>
  <c r="D3747" i="4"/>
  <c r="F3747" i="4" s="1"/>
  <c r="D3755" i="4"/>
  <c r="F3755" i="4" s="1"/>
  <c r="D3763" i="4"/>
  <c r="F3763" i="4" s="1"/>
  <c r="D3771" i="4"/>
  <c r="F3771" i="4" s="1"/>
  <c r="D3779" i="4"/>
  <c r="F3779" i="4" s="1"/>
  <c r="D3787" i="4"/>
  <c r="F3787" i="4" s="1"/>
  <c r="D3795" i="4"/>
  <c r="F3795" i="4" s="1"/>
  <c r="D3803" i="4"/>
  <c r="F3803" i="4" s="1"/>
  <c r="D3811" i="4"/>
  <c r="F3811" i="4" s="1"/>
  <c r="D3819" i="4"/>
  <c r="F3819" i="4" s="1"/>
  <c r="D2536" i="4"/>
  <c r="F2536" i="4" s="1"/>
  <c r="D2558" i="4"/>
  <c r="F2558" i="4" s="1"/>
  <c r="D2569" i="4"/>
  <c r="F2569" i="4" s="1"/>
  <c r="D2610" i="4"/>
  <c r="F2610" i="4" s="1"/>
  <c r="D2774" i="4"/>
  <c r="F2774" i="4" s="1"/>
  <c r="D2795" i="4"/>
  <c r="F2795" i="4" s="1"/>
  <c r="D2809" i="4"/>
  <c r="F2809" i="4" s="1"/>
  <c r="D2816" i="4"/>
  <c r="F2816" i="4" s="1"/>
  <c r="D2823" i="4"/>
  <c r="F2823" i="4" s="1"/>
  <c r="D2830" i="4"/>
  <c r="F2830" i="4" s="1"/>
  <c r="D2837" i="4"/>
  <c r="F2837" i="4" s="1"/>
  <c r="D2851" i="4"/>
  <c r="F2851" i="4" s="1"/>
  <c r="D2858" i="4"/>
  <c r="F2858" i="4" s="1"/>
  <c r="D2879" i="4"/>
  <c r="F2879" i="4" s="1"/>
  <c r="D2919" i="4"/>
  <c r="F2919" i="4" s="1"/>
  <c r="D2925" i="4"/>
  <c r="F2925" i="4" s="1"/>
  <c r="D2931" i="4"/>
  <c r="F2931" i="4" s="1"/>
  <c r="D2937" i="4"/>
  <c r="F2937" i="4" s="1"/>
  <c r="D2986" i="4"/>
  <c r="F2986" i="4" s="1"/>
  <c r="D2992" i="4"/>
  <c r="F2992" i="4" s="1"/>
  <c r="D2998" i="4"/>
  <c r="F2998" i="4" s="1"/>
  <c r="D3047" i="4"/>
  <c r="F3047" i="4" s="1"/>
  <c r="D3053" i="4"/>
  <c r="F3053" i="4" s="1"/>
  <c r="D3059" i="4"/>
  <c r="F3059" i="4" s="1"/>
  <c r="D3065" i="4"/>
  <c r="F3065" i="4" s="1"/>
  <c r="D3119" i="4"/>
  <c r="F3119" i="4" s="1"/>
  <c r="D3135" i="4"/>
  <c r="F3135" i="4" s="1"/>
  <c r="D3151" i="4"/>
  <c r="F3151" i="4" s="1"/>
  <c r="D3167" i="4"/>
  <c r="F3167" i="4" s="1"/>
  <c r="D3183" i="4"/>
  <c r="F3183" i="4" s="1"/>
  <c r="D3199" i="4"/>
  <c r="F3199" i="4" s="1"/>
  <c r="D3215" i="4"/>
  <c r="F3215" i="4" s="1"/>
  <c r="D3231" i="4"/>
  <c r="F3231" i="4" s="1"/>
  <c r="D3247" i="4"/>
  <c r="F3247" i="4" s="1"/>
  <c r="D3279" i="4"/>
  <c r="F3279" i="4" s="1"/>
  <c r="D3292" i="4"/>
  <c r="F3292" i="4" s="1"/>
  <c r="D3305" i="4"/>
  <c r="F3305" i="4" s="1"/>
  <c r="D3309" i="4"/>
  <c r="F3309" i="4" s="1"/>
  <c r="D3318" i="4"/>
  <c r="F3318" i="4" s="1"/>
  <c r="D3343" i="4"/>
  <c r="F3343" i="4" s="1"/>
  <c r="D3356" i="4"/>
  <c r="F3356" i="4" s="1"/>
  <c r="D3369" i="4"/>
  <c r="F3369" i="4" s="1"/>
  <c r="D3373" i="4"/>
  <c r="F3373" i="4" s="1"/>
  <c r="D3382" i="4"/>
  <c r="F3382" i="4" s="1"/>
  <c r="D3407" i="4"/>
  <c r="F3407" i="4" s="1"/>
  <c r="D3420" i="4"/>
  <c r="F3420" i="4" s="1"/>
  <c r="D3433" i="4"/>
  <c r="F3433" i="4" s="1"/>
  <c r="D3437" i="4"/>
  <c r="F3437" i="4" s="1"/>
  <c r="D3446" i="4"/>
  <c r="F3446" i="4" s="1"/>
  <c r="D3471" i="4"/>
  <c r="F3471" i="4" s="1"/>
  <c r="D3484" i="4"/>
  <c r="F3484" i="4" s="1"/>
  <c r="D3497" i="4"/>
  <c r="F3497" i="4" s="1"/>
  <c r="D3501" i="4"/>
  <c r="F3501" i="4" s="1"/>
  <c r="D3509" i="4"/>
  <c r="F3509" i="4" s="1"/>
  <c r="D3531" i="4"/>
  <c r="F3531" i="4" s="1"/>
  <c r="D3534" i="4"/>
  <c r="F3534" i="4" s="1"/>
  <c r="D3542" i="4"/>
  <c r="F3542" i="4" s="1"/>
  <c r="D3550" i="4"/>
  <c r="F3550" i="4" s="1"/>
  <c r="D3558" i="4"/>
  <c r="F3558" i="4" s="1"/>
  <c r="D3566" i="4"/>
  <c r="F3566" i="4" s="1"/>
  <c r="D3574" i="4"/>
  <c r="F3574" i="4" s="1"/>
  <c r="D3582" i="4"/>
  <c r="F3582" i="4" s="1"/>
  <c r="D3590" i="4"/>
  <c r="F3590" i="4" s="1"/>
  <c r="D3598" i="4"/>
  <c r="F3598" i="4" s="1"/>
  <c r="D3606" i="4"/>
  <c r="F3606" i="4" s="1"/>
  <c r="D3614" i="4"/>
  <c r="F3614" i="4" s="1"/>
  <c r="D3622" i="4"/>
  <c r="F3622" i="4" s="1"/>
  <c r="D3630" i="4"/>
  <c r="F3630" i="4" s="1"/>
  <c r="D3638" i="4"/>
  <c r="F3638" i="4" s="1"/>
  <c r="D3646" i="4"/>
  <c r="F3646" i="4" s="1"/>
  <c r="D3654" i="4"/>
  <c r="F3654" i="4" s="1"/>
  <c r="D3662" i="4"/>
  <c r="F3662" i="4" s="1"/>
  <c r="D2572" i="4"/>
  <c r="F2572" i="4" s="1"/>
  <c r="D2594" i="4"/>
  <c r="F2594" i="4" s="1"/>
  <c r="D2678" i="4"/>
  <c r="F2678" i="4" s="1"/>
  <c r="D2687" i="4"/>
  <c r="F2687" i="4" s="1"/>
  <c r="D2695" i="4"/>
  <c r="F2695" i="4" s="1"/>
  <c r="D2703" i="4"/>
  <c r="F2703" i="4" s="1"/>
  <c r="D2825" i="4"/>
  <c r="F2825" i="4" s="1"/>
  <c r="D2832" i="4"/>
  <c r="F2832" i="4" s="1"/>
  <c r="D2846" i="4"/>
  <c r="F2846" i="4" s="1"/>
  <c r="D2853" i="4"/>
  <c r="F2853" i="4" s="1"/>
  <c r="D2867" i="4"/>
  <c r="F2867" i="4" s="1"/>
  <c r="D2874" i="4"/>
  <c r="F2874" i="4" s="1"/>
  <c r="D2888" i="4"/>
  <c r="F2888" i="4" s="1"/>
  <c r="D2895" i="4"/>
  <c r="F2895" i="4" s="1"/>
  <c r="D2927" i="4"/>
  <c r="F2927" i="4" s="1"/>
  <c r="D2933" i="4"/>
  <c r="F2933" i="4" s="1"/>
  <c r="D2939" i="4"/>
  <c r="F2939" i="4" s="1"/>
  <c r="D2945" i="4"/>
  <c r="F2945" i="4" s="1"/>
  <c r="D2994" i="4"/>
  <c r="F2994" i="4" s="1"/>
  <c r="D3000" i="4"/>
  <c r="F3000" i="4" s="1"/>
  <c r="D3006" i="4"/>
  <c r="F3006" i="4" s="1"/>
  <c r="D3055" i="4"/>
  <c r="F3055" i="4" s="1"/>
  <c r="D3061" i="4"/>
  <c r="F3061" i="4" s="1"/>
  <c r="D3067" i="4"/>
  <c r="F3067" i="4" s="1"/>
  <c r="D3073" i="4"/>
  <c r="F3073" i="4" s="1"/>
  <c r="D3126" i="4"/>
  <c r="F3126" i="4" s="1"/>
  <c r="D3142" i="4"/>
  <c r="F3142" i="4" s="1"/>
  <c r="D3158" i="4"/>
  <c r="F3158" i="4" s="1"/>
  <c r="D3174" i="4"/>
  <c r="F3174" i="4" s="1"/>
  <c r="D3190" i="4"/>
  <c r="F3190" i="4" s="1"/>
  <c r="D3206" i="4"/>
  <c r="F3206" i="4" s="1"/>
  <c r="D3222" i="4"/>
  <c r="F3222" i="4" s="1"/>
  <c r="D3238" i="4"/>
  <c r="F3238" i="4" s="1"/>
  <c r="D3254" i="4"/>
  <c r="F3254" i="4" s="1"/>
  <c r="D3271" i="4"/>
  <c r="F3271" i="4" s="1"/>
  <c r="D3284" i="4"/>
  <c r="F3284" i="4" s="1"/>
  <c r="D3297" i="4"/>
  <c r="F3297" i="4" s="1"/>
  <c r="D3301" i="4"/>
  <c r="F3301" i="4" s="1"/>
  <c r="D3310" i="4"/>
  <c r="F3310" i="4" s="1"/>
  <c r="D3335" i="4"/>
  <c r="F3335" i="4" s="1"/>
  <c r="D3348" i="4"/>
  <c r="F3348" i="4" s="1"/>
  <c r="D3361" i="4"/>
  <c r="F3361" i="4" s="1"/>
  <c r="D3365" i="4"/>
  <c r="F3365" i="4" s="1"/>
  <c r="D3374" i="4"/>
  <c r="F3374" i="4" s="1"/>
  <c r="D3399" i="4"/>
  <c r="F3399" i="4" s="1"/>
  <c r="D3412" i="4"/>
  <c r="F3412" i="4" s="1"/>
  <c r="D3425" i="4"/>
  <c r="F3425" i="4" s="1"/>
  <c r="D3429" i="4"/>
  <c r="F3429" i="4" s="1"/>
  <c r="D3438" i="4"/>
  <c r="F3438" i="4" s="1"/>
  <c r="D3463" i="4"/>
  <c r="F3463" i="4" s="1"/>
  <c r="D3476" i="4"/>
  <c r="F3476" i="4" s="1"/>
  <c r="D3489" i="4"/>
  <c r="F3489" i="4" s="1"/>
  <c r="D3493" i="4"/>
  <c r="F3493" i="4" s="1"/>
  <c r="D3502" i="4"/>
  <c r="F3502" i="4" s="1"/>
  <c r="D3510" i="4"/>
  <c r="F3510" i="4" s="1"/>
  <c r="D3513" i="4"/>
  <c r="F3513" i="4" s="1"/>
  <c r="D3516" i="4"/>
  <c r="F3516" i="4" s="1"/>
  <c r="D3519" i="4"/>
  <c r="F3519" i="4" s="1"/>
  <c r="D3522" i="4"/>
  <c r="F3522" i="4" s="1"/>
  <c r="D3525" i="4"/>
  <c r="F3525" i="4" s="1"/>
  <c r="D3537" i="4"/>
  <c r="F3537" i="4" s="1"/>
  <c r="D3545" i="4"/>
  <c r="F3545" i="4" s="1"/>
  <c r="D3553" i="4"/>
  <c r="F3553" i="4" s="1"/>
  <c r="D3561" i="4"/>
  <c r="F3561" i="4" s="1"/>
  <c r="D3569" i="4"/>
  <c r="F3569" i="4" s="1"/>
  <c r="D3577" i="4"/>
  <c r="F3577" i="4" s="1"/>
  <c r="D3585" i="4"/>
  <c r="F3585" i="4" s="1"/>
  <c r="D3593" i="4"/>
  <c r="F3593" i="4" s="1"/>
  <c r="D3601" i="4"/>
  <c r="F3601" i="4" s="1"/>
  <c r="D3609" i="4"/>
  <c r="F3609" i="4" s="1"/>
  <c r="D3617" i="4"/>
  <c r="F3617" i="4" s="1"/>
  <c r="D3625" i="4"/>
  <c r="F3625" i="4" s="1"/>
  <c r="D3633" i="4"/>
  <c r="F3633" i="4" s="1"/>
  <c r="D3641" i="4"/>
  <c r="F3641" i="4" s="1"/>
  <c r="D3649" i="4"/>
  <c r="F3649" i="4" s="1"/>
  <c r="D3657" i="4"/>
  <c r="F3657" i="4" s="1"/>
  <c r="D3665" i="4"/>
  <c r="F3665" i="4" s="1"/>
  <c r="D3673" i="4"/>
  <c r="F3673" i="4" s="1"/>
  <c r="D3681" i="4"/>
  <c r="F3681" i="4" s="1"/>
  <c r="D3689" i="4"/>
  <c r="F3689" i="4" s="1"/>
  <c r="D3697" i="4"/>
  <c r="F3697" i="4" s="1"/>
  <c r="D3705" i="4"/>
  <c r="F3705" i="4" s="1"/>
  <c r="D3713" i="4"/>
  <c r="F3713" i="4" s="1"/>
  <c r="D3721" i="4"/>
  <c r="F3721" i="4" s="1"/>
  <c r="D3729" i="4"/>
  <c r="F3729" i="4" s="1"/>
  <c r="D3737" i="4"/>
  <c r="F3737" i="4" s="1"/>
  <c r="D3745" i="4"/>
  <c r="F3745" i="4" s="1"/>
  <c r="D3753" i="4"/>
  <c r="F3753" i="4" s="1"/>
  <c r="D3761" i="4"/>
  <c r="F3761" i="4" s="1"/>
  <c r="D3769" i="4"/>
  <c r="F3769" i="4" s="1"/>
  <c r="D3777" i="4"/>
  <c r="F3777" i="4" s="1"/>
  <c r="D3785" i="4"/>
  <c r="F3785" i="4" s="1"/>
  <c r="D3793" i="4"/>
  <c r="F3793" i="4" s="1"/>
  <c r="D3801" i="4"/>
  <c r="F3801" i="4" s="1"/>
  <c r="D3809" i="4"/>
  <c r="F3809" i="4" s="1"/>
  <c r="D3817" i="4"/>
  <c r="F3817" i="4" s="1"/>
  <c r="D2562" i="4"/>
  <c r="F2562" i="4" s="1"/>
  <c r="D2604" i="4"/>
  <c r="F2604" i="4" s="1"/>
  <c r="D2614" i="4"/>
  <c r="F2614" i="4" s="1"/>
  <c r="D2623" i="4"/>
  <c r="F2623" i="4" s="1"/>
  <c r="D2632" i="4"/>
  <c r="F2632" i="4" s="1"/>
  <c r="D2679" i="4"/>
  <c r="F2679" i="4" s="1"/>
  <c r="D2742" i="4"/>
  <c r="F2742" i="4" s="1"/>
  <c r="D2749" i="4"/>
  <c r="F2749" i="4" s="1"/>
  <c r="D2763" i="4"/>
  <c r="F2763" i="4" s="1"/>
  <c r="D2770" i="4"/>
  <c r="F2770" i="4" s="1"/>
  <c r="D2784" i="4"/>
  <c r="F2784" i="4" s="1"/>
  <c r="D2791" i="4"/>
  <c r="F2791" i="4" s="1"/>
  <c r="D2902" i="4"/>
  <c r="F2902" i="4" s="1"/>
  <c r="D2909" i="4"/>
  <c r="F2909" i="4" s="1"/>
  <c r="D2915" i="4"/>
  <c r="F2915" i="4" s="1"/>
  <c r="D2921" i="4"/>
  <c r="F2921" i="4" s="1"/>
  <c r="D2970" i="4"/>
  <c r="F2970" i="4" s="1"/>
  <c r="D2976" i="4"/>
  <c r="F2976" i="4" s="1"/>
  <c r="D2982" i="4"/>
  <c r="F2982" i="4" s="1"/>
  <c r="D3031" i="4"/>
  <c r="F3031" i="4" s="1"/>
  <c r="D3037" i="4"/>
  <c r="F3037" i="4" s="1"/>
  <c r="D3043" i="4"/>
  <c r="F3043" i="4" s="1"/>
  <c r="D3049" i="4"/>
  <c r="F3049" i="4" s="1"/>
  <c r="D3098" i="4"/>
  <c r="F3098" i="4" s="1"/>
  <c r="D3104" i="4"/>
  <c r="F3104" i="4" s="1"/>
  <c r="D3110" i="4"/>
  <c r="F3110" i="4" s="1"/>
  <c r="D3121" i="4"/>
  <c r="F3121" i="4" s="1"/>
  <c r="D3137" i="4"/>
  <c r="F3137" i="4" s="1"/>
  <c r="D3153" i="4"/>
  <c r="F3153" i="4" s="1"/>
  <c r="D3169" i="4"/>
  <c r="F3169" i="4" s="1"/>
  <c r="D3185" i="4"/>
  <c r="F3185" i="4" s="1"/>
  <c r="D3201" i="4"/>
  <c r="F3201" i="4" s="1"/>
  <c r="D3217" i="4"/>
  <c r="F3217" i="4" s="1"/>
  <c r="D3233" i="4"/>
  <c r="F3233" i="4" s="1"/>
  <c r="D3249" i="4"/>
  <c r="F3249" i="4" s="1"/>
  <c r="D3263" i="4"/>
  <c r="F3263" i="4" s="1"/>
  <c r="D3276" i="4"/>
  <c r="F3276" i="4" s="1"/>
  <c r="D3289" i="4"/>
  <c r="F3289" i="4" s="1"/>
  <c r="D3293" i="4"/>
  <c r="F3293" i="4" s="1"/>
  <c r="D3302" i="4"/>
  <c r="F3302" i="4" s="1"/>
  <c r="D3327" i="4"/>
  <c r="F3327" i="4" s="1"/>
  <c r="D3340" i="4"/>
  <c r="F3340" i="4" s="1"/>
  <c r="D3353" i="4"/>
  <c r="F3353" i="4" s="1"/>
  <c r="D3357" i="4"/>
  <c r="F3357" i="4" s="1"/>
  <c r="D3366" i="4"/>
  <c r="F3366" i="4" s="1"/>
  <c r="D3391" i="4"/>
  <c r="F3391" i="4" s="1"/>
  <c r="D3404" i="4"/>
  <c r="F3404" i="4" s="1"/>
  <c r="D3417" i="4"/>
  <c r="F3417" i="4" s="1"/>
  <c r="D3421" i="4"/>
  <c r="F3421" i="4" s="1"/>
  <c r="D3430" i="4"/>
  <c r="F3430" i="4" s="1"/>
  <c r="D3455" i="4"/>
  <c r="F3455" i="4" s="1"/>
  <c r="D3468" i="4"/>
  <c r="F3468" i="4" s="1"/>
  <c r="D3481" i="4"/>
  <c r="F3481" i="4" s="1"/>
  <c r="D3485" i="4"/>
  <c r="F3485" i="4" s="1"/>
  <c r="D3494" i="4"/>
  <c r="F3494" i="4" s="1"/>
  <c r="D3540" i="4"/>
  <c r="F3540" i="4" s="1"/>
  <c r="D3548" i="4"/>
  <c r="F3548" i="4" s="1"/>
  <c r="D3556" i="4"/>
  <c r="F3556" i="4" s="1"/>
  <c r="D3564" i="4"/>
  <c r="F3564" i="4" s="1"/>
  <c r="D3572" i="4"/>
  <c r="F3572" i="4" s="1"/>
  <c r="D3580" i="4"/>
  <c r="F3580" i="4" s="1"/>
  <c r="D3588" i="4"/>
  <c r="F3588" i="4" s="1"/>
  <c r="D3596" i="4"/>
  <c r="F3596" i="4" s="1"/>
  <c r="D3604" i="4"/>
  <c r="F3604" i="4" s="1"/>
  <c r="D3612" i="4"/>
  <c r="F3612" i="4" s="1"/>
  <c r="D3620" i="4"/>
  <c r="F3620" i="4" s="1"/>
  <c r="D3628" i="4"/>
  <c r="F3628" i="4" s="1"/>
  <c r="D3636" i="4"/>
  <c r="F3636" i="4" s="1"/>
  <c r="D3644" i="4"/>
  <c r="F3644" i="4" s="1"/>
  <c r="D3652" i="4"/>
  <c r="F3652" i="4" s="1"/>
  <c r="D3660" i="4"/>
  <c r="F3660" i="4" s="1"/>
  <c r="D3668" i="4"/>
  <c r="F3668" i="4" s="1"/>
  <c r="D3676" i="4"/>
  <c r="F3676" i="4" s="1"/>
  <c r="D3684" i="4"/>
  <c r="F3684" i="4" s="1"/>
  <c r="D3692" i="4"/>
  <c r="F3692" i="4" s="1"/>
  <c r="D3700" i="4"/>
  <c r="F3700" i="4" s="1"/>
  <c r="D3708" i="4"/>
  <c r="F3708" i="4" s="1"/>
  <c r="D3716" i="4"/>
  <c r="F3716" i="4" s="1"/>
  <c r="D3724" i="4"/>
  <c r="F3724" i="4" s="1"/>
  <c r="D3732" i="4"/>
  <c r="F3732" i="4" s="1"/>
  <c r="D3740" i="4"/>
  <c r="F3740" i="4" s="1"/>
  <c r="D3748" i="4"/>
  <c r="F3748" i="4" s="1"/>
  <c r="D3756" i="4"/>
  <c r="F3756" i="4" s="1"/>
  <c r="D3764" i="4"/>
  <c r="F3764" i="4" s="1"/>
  <c r="D3772" i="4"/>
  <c r="F3772" i="4" s="1"/>
  <c r="D3780" i="4"/>
  <c r="F3780" i="4" s="1"/>
  <c r="D3788" i="4"/>
  <c r="F3788" i="4" s="1"/>
  <c r="D3796" i="4"/>
  <c r="F3796" i="4" s="1"/>
  <c r="D3804" i="4"/>
  <c r="F3804" i="4" s="1"/>
  <c r="D3812" i="4"/>
  <c r="F3812" i="4" s="1"/>
  <c r="D3820" i="4"/>
  <c r="F3820" i="4" s="1"/>
  <c r="D2520" i="4"/>
  <c r="F2520" i="4" s="1"/>
  <c r="D2533" i="4"/>
  <c r="F2533" i="4" s="1"/>
  <c r="D2556" i="4"/>
  <c r="F2556" i="4" s="1"/>
  <c r="D2589" i="4"/>
  <c r="F2589" i="4" s="1"/>
  <c r="D2618" i="4"/>
  <c r="F2618" i="4" s="1"/>
  <c r="D2655" i="4"/>
  <c r="F2655" i="4" s="1"/>
  <c r="D2664" i="4"/>
  <c r="F2664" i="4" s="1"/>
  <c r="D2715" i="4"/>
  <c r="F2715" i="4" s="1"/>
  <c r="D2723" i="4"/>
  <c r="F2723" i="4" s="1"/>
  <c r="D2731" i="4"/>
  <c r="F2731" i="4" s="1"/>
  <c r="D2745" i="4"/>
  <c r="F2745" i="4" s="1"/>
  <c r="D2752" i="4"/>
  <c r="F2752" i="4" s="1"/>
  <c r="D2759" i="4"/>
  <c r="F2759" i="4" s="1"/>
  <c r="D2766" i="4"/>
  <c r="F2766" i="4" s="1"/>
  <c r="D2773" i="4"/>
  <c r="F2773" i="4" s="1"/>
  <c r="D2787" i="4"/>
  <c r="F2787" i="4" s="1"/>
  <c r="D2794" i="4"/>
  <c r="F2794" i="4" s="1"/>
  <c r="D2815" i="4"/>
  <c r="F2815" i="4" s="1"/>
  <c r="D2905" i="4"/>
  <c r="F2905" i="4" s="1"/>
  <c r="D2930" i="4"/>
  <c r="F2930" i="4" s="1"/>
  <c r="D2936" i="4"/>
  <c r="F2936" i="4" s="1"/>
  <c r="D2942" i="4"/>
  <c r="F2942" i="4" s="1"/>
  <c r="D2991" i="4"/>
  <c r="F2991" i="4" s="1"/>
  <c r="D2997" i="4"/>
  <c r="F2997" i="4" s="1"/>
  <c r="D3003" i="4"/>
  <c r="F3003" i="4" s="1"/>
  <c r="D3009" i="4"/>
  <c r="F3009" i="4" s="1"/>
  <c r="D3058" i="4"/>
  <c r="F3058" i="4" s="1"/>
  <c r="D3064" i="4"/>
  <c r="F3064" i="4" s="1"/>
  <c r="D3070" i="4"/>
  <c r="F3070" i="4" s="1"/>
  <c r="D3118" i="4"/>
  <c r="F3118" i="4" s="1"/>
  <c r="D3134" i="4"/>
  <c r="F3134" i="4" s="1"/>
  <c r="D3150" i="4"/>
  <c r="F3150" i="4" s="1"/>
  <c r="D3166" i="4"/>
  <c r="F3166" i="4" s="1"/>
  <c r="D3182" i="4"/>
  <c r="F3182" i="4" s="1"/>
  <c r="D3198" i="4"/>
  <c r="F3198" i="4" s="1"/>
  <c r="D3214" i="4"/>
  <c r="F3214" i="4" s="1"/>
  <c r="D3230" i="4"/>
  <c r="F3230" i="4" s="1"/>
  <c r="D3246" i="4"/>
  <c r="F3246" i="4" s="1"/>
  <c r="D3265" i="4"/>
  <c r="F3265" i="4" s="1"/>
  <c r="D3269" i="4"/>
  <c r="F3269" i="4" s="1"/>
  <c r="D3278" i="4"/>
  <c r="F3278" i="4" s="1"/>
  <c r="D3303" i="4"/>
  <c r="F3303" i="4" s="1"/>
  <c r="D3316" i="4"/>
  <c r="F3316" i="4" s="1"/>
  <c r="D3329" i="4"/>
  <c r="F3329" i="4" s="1"/>
  <c r="D3333" i="4"/>
  <c r="F3333" i="4" s="1"/>
  <c r="D3342" i="4"/>
  <c r="F3342" i="4" s="1"/>
  <c r="D3367" i="4"/>
  <c r="F3367" i="4" s="1"/>
  <c r="D3380" i="4"/>
  <c r="F3380" i="4" s="1"/>
  <c r="D3393" i="4"/>
  <c r="F3393" i="4" s="1"/>
  <c r="D3397" i="4"/>
  <c r="F3397" i="4" s="1"/>
  <c r="D3406" i="4"/>
  <c r="F3406" i="4" s="1"/>
  <c r="D3431" i="4"/>
  <c r="F3431" i="4" s="1"/>
  <c r="D3444" i="4"/>
  <c r="F3444" i="4" s="1"/>
  <c r="D3457" i="4"/>
  <c r="F3457" i="4" s="1"/>
  <c r="D3461" i="4"/>
  <c r="F3461" i="4" s="1"/>
  <c r="D3470" i="4"/>
  <c r="F3470" i="4" s="1"/>
  <c r="D3495" i="4"/>
  <c r="F3495" i="4" s="1"/>
  <c r="D3508" i="4"/>
  <c r="F3508" i="4" s="1"/>
  <c r="D3541" i="4"/>
  <c r="F3541" i="4" s="1"/>
  <c r="D3549" i="4"/>
  <c r="F3549" i="4" s="1"/>
  <c r="D3557" i="4"/>
  <c r="F3557" i="4" s="1"/>
  <c r="D3565" i="4"/>
  <c r="F3565" i="4" s="1"/>
  <c r="D3573" i="4"/>
  <c r="F3573" i="4" s="1"/>
  <c r="D3581" i="4"/>
  <c r="F3581" i="4" s="1"/>
  <c r="D3589" i="4"/>
  <c r="F3589" i="4" s="1"/>
  <c r="D3597" i="4"/>
  <c r="F3597" i="4" s="1"/>
  <c r="D3605" i="4"/>
  <c r="F3605" i="4" s="1"/>
  <c r="D3613" i="4"/>
  <c r="F3613" i="4" s="1"/>
  <c r="D3621" i="4"/>
  <c r="F3621" i="4" s="1"/>
  <c r="D3629" i="4"/>
  <c r="F3629" i="4" s="1"/>
  <c r="D3637" i="4"/>
  <c r="F3637" i="4" s="1"/>
  <c r="D3645" i="4"/>
  <c r="F3645" i="4" s="1"/>
  <c r="D3653" i="4"/>
  <c r="F3653" i="4" s="1"/>
  <c r="D3661" i="4"/>
  <c r="F3661" i="4" s="1"/>
  <c r="D3669" i="4"/>
  <c r="F3669" i="4" s="1"/>
  <c r="D3677" i="4"/>
  <c r="F3677" i="4" s="1"/>
  <c r="D3685" i="4"/>
  <c r="F3685" i="4" s="1"/>
  <c r="D3693" i="4"/>
  <c r="F3693" i="4" s="1"/>
  <c r="D3701" i="4"/>
  <c r="F3701" i="4" s="1"/>
  <c r="D3709" i="4"/>
  <c r="F3709" i="4" s="1"/>
  <c r="D3717" i="4"/>
  <c r="F3717" i="4" s="1"/>
  <c r="D3725" i="4"/>
  <c r="F3725" i="4" s="1"/>
  <c r="D3733" i="4"/>
  <c r="F3733" i="4" s="1"/>
  <c r="D3741" i="4"/>
  <c r="F3741" i="4" s="1"/>
  <c r="D3749" i="4"/>
  <c r="F3749" i="4" s="1"/>
  <c r="D3757" i="4"/>
  <c r="F3757" i="4" s="1"/>
  <c r="D3765" i="4"/>
  <c r="F3765" i="4" s="1"/>
  <c r="D3773" i="4"/>
  <c r="F3773" i="4" s="1"/>
  <c r="D3781" i="4"/>
  <c r="F3781" i="4" s="1"/>
  <c r="D3789" i="4"/>
  <c r="F3789" i="4" s="1"/>
  <c r="D3797" i="4"/>
  <c r="F3797" i="4" s="1"/>
  <c r="D3805" i="4"/>
  <c r="F3805" i="4" s="1"/>
  <c r="D3813" i="4"/>
  <c r="F3813" i="4" s="1"/>
  <c r="D3821" i="4"/>
  <c r="F3821" i="4" s="1"/>
  <c r="D3829" i="4"/>
  <c r="F3829" i="4" s="1"/>
  <c r="D3837" i="4"/>
  <c r="F3837" i="4" s="1"/>
  <c r="D3845" i="4"/>
  <c r="F3845" i="4" s="1"/>
  <c r="D3853" i="4"/>
  <c r="F3853" i="4" s="1"/>
  <c r="D3861" i="4"/>
  <c r="F3861" i="4" s="1"/>
  <c r="D3869" i="4"/>
  <c r="F3869" i="4" s="1"/>
  <c r="D3877" i="4"/>
  <c r="F3877" i="4" s="1"/>
  <c r="D3885" i="4"/>
  <c r="F3885" i="4" s="1"/>
  <c r="D3893" i="4"/>
  <c r="F3893" i="4" s="1"/>
  <c r="D3901" i="4"/>
  <c r="F3901" i="4" s="1"/>
  <c r="D3909" i="4"/>
  <c r="F3909" i="4" s="1"/>
  <c r="D3917" i="4"/>
  <c r="F3917" i="4" s="1"/>
  <c r="D3925" i="4"/>
  <c r="F3925" i="4" s="1"/>
  <c r="D3933" i="4"/>
  <c r="F3933" i="4" s="1"/>
  <c r="D3941" i="4"/>
  <c r="F3941" i="4" s="1"/>
  <c r="D3949" i="4"/>
  <c r="F3949" i="4" s="1"/>
  <c r="D3957" i="4"/>
  <c r="F3957" i="4" s="1"/>
  <c r="D3965" i="4"/>
  <c r="F3965" i="4" s="1"/>
  <c r="D2606" i="4"/>
  <c r="F2606" i="4" s="1"/>
  <c r="D2633" i="4"/>
  <c r="F2633" i="4" s="1"/>
  <c r="D2704" i="4"/>
  <c r="F2704" i="4" s="1"/>
  <c r="D2743" i="4"/>
  <c r="F2743" i="4" s="1"/>
  <c r="D2819" i="4"/>
  <c r="F2819" i="4" s="1"/>
  <c r="D3025" i="4"/>
  <c r="F3025" i="4" s="1"/>
  <c r="D3040" i="4"/>
  <c r="F3040" i="4" s="1"/>
  <c r="D3056" i="4"/>
  <c r="F3056" i="4" s="1"/>
  <c r="D3074" i="4"/>
  <c r="F3074" i="4" s="1"/>
  <c r="D3164" i="4"/>
  <c r="F3164" i="4" s="1"/>
  <c r="D3177" i="4"/>
  <c r="F3177" i="4" s="1"/>
  <c r="D3191" i="4"/>
  <c r="F3191" i="4" s="1"/>
  <c r="D3261" i="4"/>
  <c r="F3261" i="4" s="1"/>
  <c r="D3273" i="4"/>
  <c r="F3273" i="4" s="1"/>
  <c r="D3285" i="4"/>
  <c r="F3285" i="4" s="1"/>
  <c r="D3295" i="4"/>
  <c r="F3295" i="4" s="1"/>
  <c r="D3319" i="4"/>
  <c r="F3319" i="4" s="1"/>
  <c r="D3341" i="4"/>
  <c r="F3341" i="4" s="1"/>
  <c r="D3375" i="4"/>
  <c r="F3375" i="4" s="1"/>
  <c r="D3398" i="4"/>
  <c r="F3398" i="4" s="1"/>
  <c r="D3422" i="4"/>
  <c r="F3422" i="4" s="1"/>
  <c r="D3478" i="4"/>
  <c r="F3478" i="4" s="1"/>
  <c r="D3500" i="4"/>
  <c r="F3500" i="4" s="1"/>
  <c r="D3511" i="4"/>
  <c r="F3511" i="4" s="1"/>
  <c r="D3527" i="4"/>
  <c r="F3527" i="4" s="1"/>
  <c r="D3543" i="4"/>
  <c r="F3543" i="4" s="1"/>
  <c r="D3578" i="4"/>
  <c r="F3578" i="4" s="1"/>
  <c r="D3592" i="4"/>
  <c r="F3592" i="4" s="1"/>
  <c r="D3607" i="4"/>
  <c r="F3607" i="4" s="1"/>
  <c r="D3642" i="4"/>
  <c r="F3642" i="4" s="1"/>
  <c r="D3656" i="4"/>
  <c r="F3656" i="4" s="1"/>
  <c r="D3674" i="4"/>
  <c r="F3674" i="4" s="1"/>
  <c r="D3690" i="4"/>
  <c r="F3690" i="4" s="1"/>
  <c r="D3706" i="4"/>
  <c r="F3706" i="4" s="1"/>
  <c r="D3722" i="4"/>
  <c r="F3722" i="4" s="1"/>
  <c r="D3738" i="4"/>
  <c r="F3738" i="4" s="1"/>
  <c r="D3754" i="4"/>
  <c r="F3754" i="4" s="1"/>
  <c r="D3770" i="4"/>
  <c r="F3770" i="4" s="1"/>
  <c r="D3786" i="4"/>
  <c r="F3786" i="4" s="1"/>
  <c r="D3802" i="4"/>
  <c r="F3802" i="4" s="1"/>
  <c r="D3818" i="4"/>
  <c r="F3818" i="4" s="1"/>
  <c r="D3822" i="4"/>
  <c r="F3822" i="4" s="1"/>
  <c r="D3825" i="4"/>
  <c r="F3825" i="4" s="1"/>
  <c r="D3828" i="4"/>
  <c r="F3828" i="4" s="1"/>
  <c r="D3831" i="4"/>
  <c r="F3831" i="4" s="1"/>
  <c r="D3834" i="4"/>
  <c r="F3834" i="4" s="1"/>
  <c r="D3880" i="4"/>
  <c r="F3880" i="4" s="1"/>
  <c r="D3883" i="4"/>
  <c r="F3883" i="4" s="1"/>
  <c r="D3886" i="4"/>
  <c r="F3886" i="4" s="1"/>
  <c r="D3889" i="4"/>
  <c r="F3889" i="4" s="1"/>
  <c r="D3892" i="4"/>
  <c r="F3892" i="4" s="1"/>
  <c r="D3895" i="4"/>
  <c r="F3895" i="4" s="1"/>
  <c r="D3898" i="4"/>
  <c r="F3898" i="4" s="1"/>
  <c r="D3944" i="4"/>
  <c r="F3944" i="4" s="1"/>
  <c r="D3947" i="4"/>
  <c r="F3947" i="4" s="1"/>
  <c r="D3950" i="4"/>
  <c r="F3950" i="4" s="1"/>
  <c r="D3953" i="4"/>
  <c r="F3953" i="4" s="1"/>
  <c r="D3956" i="4"/>
  <c r="F3956" i="4" s="1"/>
  <c r="D3959" i="4"/>
  <c r="F3959" i="4" s="1"/>
  <c r="D3962" i="4"/>
  <c r="F3962" i="4" s="1"/>
  <c r="D3968" i="4"/>
  <c r="F3968" i="4" s="1"/>
  <c r="D3976" i="4"/>
  <c r="F3976" i="4" s="1"/>
  <c r="D3984" i="4"/>
  <c r="F3984" i="4" s="1"/>
  <c r="D3992" i="4"/>
  <c r="F3992" i="4" s="1"/>
  <c r="D4000" i="4"/>
  <c r="F4000" i="4" s="1"/>
  <c r="D4008" i="4"/>
  <c r="F4008" i="4" s="1"/>
  <c r="D2609" i="4"/>
  <c r="F2609" i="4" s="1"/>
  <c r="D2683" i="4"/>
  <c r="F2683" i="4" s="1"/>
  <c r="D2728" i="4"/>
  <c r="F2728" i="4" s="1"/>
  <c r="D2801" i="4"/>
  <c r="F2801" i="4" s="1"/>
  <c r="D2840" i="4"/>
  <c r="F2840" i="4" s="1"/>
  <c r="D2857" i="4"/>
  <c r="F2857" i="4" s="1"/>
  <c r="D2912" i="4"/>
  <c r="F2912" i="4" s="1"/>
  <c r="D2928" i="4"/>
  <c r="F2928" i="4" s="1"/>
  <c r="D2946" i="4"/>
  <c r="F2946" i="4" s="1"/>
  <c r="D3107" i="4"/>
  <c r="F3107" i="4" s="1"/>
  <c r="D3180" i="4"/>
  <c r="F3180" i="4" s="1"/>
  <c r="D3193" i="4"/>
  <c r="F3193" i="4" s="1"/>
  <c r="D3207" i="4"/>
  <c r="F3207" i="4" s="1"/>
  <c r="D3286" i="4"/>
  <c r="F3286" i="4" s="1"/>
  <c r="D3308" i="4"/>
  <c r="F3308" i="4" s="1"/>
  <c r="D3332" i="4"/>
  <c r="F3332" i="4" s="1"/>
  <c r="D3388" i="4"/>
  <c r="F3388" i="4" s="1"/>
  <c r="D3529" i="4"/>
  <c r="F3529" i="4" s="1"/>
  <c r="D3536" i="4"/>
  <c r="F3536" i="4" s="1"/>
  <c r="D3551" i="4"/>
  <c r="F3551" i="4" s="1"/>
  <c r="D3586" i="4"/>
  <c r="F3586" i="4" s="1"/>
  <c r="D3600" i="4"/>
  <c r="F3600" i="4" s="1"/>
  <c r="D3615" i="4"/>
  <c r="F3615" i="4" s="1"/>
  <c r="D3650" i="4"/>
  <c r="F3650" i="4" s="1"/>
  <c r="D3664" i="4"/>
  <c r="F3664" i="4" s="1"/>
  <c r="D3680" i="4"/>
  <c r="F3680" i="4" s="1"/>
  <c r="D3696" i="4"/>
  <c r="F3696" i="4" s="1"/>
  <c r="D3712" i="4"/>
  <c r="F3712" i="4" s="1"/>
  <c r="D3728" i="4"/>
  <c r="F3728" i="4" s="1"/>
  <c r="D3744" i="4"/>
  <c r="F3744" i="4" s="1"/>
  <c r="D3760" i="4"/>
  <c r="F3760" i="4" s="1"/>
  <c r="D3776" i="4"/>
  <c r="F3776" i="4" s="1"/>
  <c r="D3792" i="4"/>
  <c r="F3792" i="4" s="1"/>
  <c r="D3808" i="4"/>
  <c r="F3808" i="4" s="1"/>
  <c r="D3856" i="4"/>
  <c r="F3856" i="4" s="1"/>
  <c r="D3859" i="4"/>
  <c r="F3859" i="4" s="1"/>
  <c r="D3862" i="4"/>
  <c r="F3862" i="4" s="1"/>
  <c r="D3865" i="4"/>
  <c r="F3865" i="4" s="1"/>
  <c r="D3868" i="4"/>
  <c r="F3868" i="4" s="1"/>
  <c r="D3871" i="4"/>
  <c r="F3871" i="4" s="1"/>
  <c r="D3874" i="4"/>
  <c r="F3874" i="4" s="1"/>
  <c r="D3920" i="4"/>
  <c r="F3920" i="4" s="1"/>
  <c r="D3923" i="4"/>
  <c r="F3923" i="4" s="1"/>
  <c r="D3926" i="4"/>
  <c r="F3926" i="4" s="1"/>
  <c r="D3929" i="4"/>
  <c r="F3929" i="4" s="1"/>
  <c r="D3932" i="4"/>
  <c r="F3932" i="4" s="1"/>
  <c r="D3935" i="4"/>
  <c r="F3935" i="4" s="1"/>
  <c r="D3938" i="4"/>
  <c r="F3938" i="4" s="1"/>
  <c r="D3971" i="4"/>
  <c r="F3971" i="4" s="1"/>
  <c r="D3979" i="4"/>
  <c r="F3979" i="4" s="1"/>
  <c r="D3987" i="4"/>
  <c r="F3987" i="4" s="1"/>
  <c r="D3995" i="4"/>
  <c r="F3995" i="4" s="1"/>
  <c r="D4003" i="4"/>
  <c r="F4003" i="4" s="1"/>
  <c r="D4011" i="4"/>
  <c r="F4011" i="4" s="1"/>
  <c r="D4016" i="4"/>
  <c r="F4016" i="4" s="1"/>
  <c r="D4018" i="4"/>
  <c r="F4018" i="4" s="1"/>
  <c r="D4020" i="4"/>
  <c r="F4020" i="4" s="1"/>
  <c r="D4022" i="4"/>
  <c r="F4022" i="4" s="1"/>
  <c r="D4024" i="4"/>
  <c r="F4024" i="4" s="1"/>
  <c r="D4026" i="4"/>
  <c r="F4026" i="4" s="1"/>
  <c r="D4028" i="4"/>
  <c r="F4028" i="4" s="1"/>
  <c r="D4030" i="4"/>
  <c r="F4030" i="4" s="1"/>
  <c r="D4032" i="4"/>
  <c r="F4032" i="4" s="1"/>
  <c r="D4034" i="4"/>
  <c r="F4034" i="4" s="1"/>
  <c r="D4036" i="4"/>
  <c r="F4036" i="4" s="1"/>
  <c r="D4038" i="4"/>
  <c r="F4038" i="4" s="1"/>
  <c r="D4040" i="4"/>
  <c r="F4040" i="4" s="1"/>
  <c r="D4042" i="4"/>
  <c r="F4042" i="4" s="1"/>
  <c r="D4044" i="4"/>
  <c r="F4044" i="4" s="1"/>
  <c r="D4046" i="4"/>
  <c r="F4046" i="4" s="1"/>
  <c r="D4048" i="4"/>
  <c r="F4048" i="4" s="1"/>
  <c r="D4050" i="4"/>
  <c r="F4050" i="4" s="1"/>
  <c r="D4052" i="4"/>
  <c r="F4052" i="4" s="1"/>
  <c r="D4054" i="4"/>
  <c r="F4054" i="4" s="1"/>
  <c r="D4056" i="4"/>
  <c r="F4056" i="4" s="1"/>
  <c r="D4058" i="4"/>
  <c r="F4058" i="4" s="1"/>
  <c r="D4060" i="4"/>
  <c r="F4060" i="4" s="1"/>
  <c r="D4062" i="4"/>
  <c r="F4062" i="4" s="1"/>
  <c r="D4064" i="4"/>
  <c r="F4064" i="4" s="1"/>
  <c r="D4066" i="4"/>
  <c r="F4066" i="4" s="1"/>
  <c r="D4068" i="4"/>
  <c r="F4068" i="4" s="1"/>
  <c r="D4070" i="4"/>
  <c r="F4070" i="4" s="1"/>
  <c r="D4072" i="4"/>
  <c r="F4072" i="4" s="1"/>
  <c r="D4074" i="4"/>
  <c r="F4074" i="4" s="1"/>
  <c r="D4076" i="4"/>
  <c r="F4076" i="4" s="1"/>
  <c r="D4078" i="4"/>
  <c r="F4078" i="4" s="1"/>
  <c r="D4080" i="4"/>
  <c r="F4080" i="4" s="1"/>
  <c r="D4082" i="4"/>
  <c r="F4082" i="4" s="1"/>
  <c r="D4084" i="4"/>
  <c r="F4084" i="4" s="1"/>
  <c r="D4086" i="4"/>
  <c r="F4086" i="4" s="1"/>
  <c r="D4088" i="4"/>
  <c r="F4088" i="4" s="1"/>
  <c r="D4090" i="4"/>
  <c r="F4090" i="4" s="1"/>
  <c r="D4092" i="4"/>
  <c r="F4092" i="4" s="1"/>
  <c r="D4094" i="4"/>
  <c r="F4094" i="4" s="1"/>
  <c r="D4096" i="4"/>
  <c r="F4096" i="4" s="1"/>
  <c r="D4098" i="4"/>
  <c r="F4098" i="4" s="1"/>
  <c r="D4100" i="4"/>
  <c r="F4100" i="4" s="1"/>
  <c r="D4102" i="4"/>
  <c r="F4102" i="4" s="1"/>
  <c r="D4104" i="4"/>
  <c r="F4104" i="4" s="1"/>
  <c r="D4106" i="4"/>
  <c r="F4106" i="4" s="1"/>
  <c r="D4108" i="4"/>
  <c r="F4108" i="4" s="1"/>
  <c r="D4110" i="4"/>
  <c r="F4110" i="4" s="1"/>
  <c r="D4112" i="4"/>
  <c r="F4112" i="4" s="1"/>
  <c r="D4114" i="4"/>
  <c r="F4114" i="4" s="1"/>
  <c r="D4116" i="4"/>
  <c r="F4116" i="4" s="1"/>
  <c r="D4118" i="4"/>
  <c r="F4118" i="4" s="1"/>
  <c r="D4120" i="4"/>
  <c r="F4120" i="4" s="1"/>
  <c r="D4122" i="4"/>
  <c r="F4122" i="4" s="1"/>
  <c r="D4124" i="4"/>
  <c r="F4124" i="4" s="1"/>
  <c r="D4126" i="4"/>
  <c r="F4126" i="4" s="1"/>
  <c r="D4128" i="4"/>
  <c r="F4128" i="4" s="1"/>
  <c r="D4130" i="4"/>
  <c r="F4130" i="4" s="1"/>
  <c r="D4132" i="4"/>
  <c r="F4132" i="4" s="1"/>
  <c r="D4134" i="4"/>
  <c r="F4134" i="4" s="1"/>
  <c r="D4136" i="4"/>
  <c r="F4136" i="4" s="1"/>
  <c r="D4138" i="4"/>
  <c r="F4138" i="4" s="1"/>
  <c r="D4140" i="4"/>
  <c r="F4140" i="4" s="1"/>
  <c r="D4142" i="4"/>
  <c r="F4142" i="4" s="1"/>
  <c r="D4144" i="4"/>
  <c r="F4144" i="4" s="1"/>
  <c r="D4146" i="4"/>
  <c r="F4146" i="4" s="1"/>
  <c r="D4148" i="4"/>
  <c r="F4148" i="4" s="1"/>
  <c r="D4150" i="4"/>
  <c r="F4150" i="4" s="1"/>
  <c r="D4152" i="4"/>
  <c r="F4152" i="4" s="1"/>
  <c r="D4154" i="4"/>
  <c r="F4154" i="4" s="1"/>
  <c r="D4156" i="4"/>
  <c r="F4156" i="4" s="1"/>
  <c r="D4158" i="4"/>
  <c r="F4158" i="4" s="1"/>
  <c r="D4160" i="4"/>
  <c r="F4160" i="4" s="1"/>
  <c r="D4162" i="4"/>
  <c r="F4162" i="4" s="1"/>
  <c r="D4164" i="4"/>
  <c r="F4164" i="4" s="1"/>
  <c r="D4166" i="4"/>
  <c r="F4166" i="4" s="1"/>
  <c r="D4168" i="4"/>
  <c r="F4168" i="4" s="1"/>
  <c r="D4170" i="4"/>
  <c r="F4170" i="4" s="1"/>
  <c r="D4172" i="4"/>
  <c r="F4172" i="4" s="1"/>
  <c r="D4174" i="4"/>
  <c r="F4174" i="4" s="1"/>
  <c r="D4176" i="4"/>
  <c r="F4176" i="4" s="1"/>
  <c r="D4178" i="4"/>
  <c r="F4178" i="4" s="1"/>
  <c r="D4180" i="4"/>
  <c r="F4180" i="4" s="1"/>
  <c r="D4182" i="4"/>
  <c r="F4182" i="4" s="1"/>
  <c r="D4184" i="4"/>
  <c r="F4184" i="4" s="1"/>
  <c r="D4186" i="4"/>
  <c r="F4186" i="4" s="1"/>
  <c r="D4188" i="4"/>
  <c r="F4188" i="4" s="1"/>
  <c r="D4190" i="4"/>
  <c r="F4190" i="4" s="1"/>
  <c r="D4192" i="4"/>
  <c r="F4192" i="4" s="1"/>
  <c r="D4194" i="4"/>
  <c r="F4194" i="4" s="1"/>
  <c r="D4196" i="4"/>
  <c r="F4196" i="4" s="1"/>
  <c r="D4198" i="4"/>
  <c r="F4198" i="4" s="1"/>
  <c r="D4200" i="4"/>
  <c r="F4200" i="4" s="1"/>
  <c r="D4202" i="4"/>
  <c r="F4202" i="4" s="1"/>
  <c r="D4204" i="4"/>
  <c r="F4204" i="4" s="1"/>
  <c r="D4206" i="4"/>
  <c r="F4206" i="4" s="1"/>
  <c r="D4208" i="4"/>
  <c r="F4208" i="4" s="1"/>
  <c r="D4210" i="4"/>
  <c r="F4210" i="4" s="1"/>
  <c r="D4212" i="4"/>
  <c r="F4212" i="4" s="1"/>
  <c r="D4214" i="4"/>
  <c r="F4214" i="4" s="1"/>
  <c r="D4216" i="4"/>
  <c r="F4216" i="4" s="1"/>
  <c r="D4218" i="4"/>
  <c r="F4218" i="4" s="1"/>
  <c r="D4220" i="4"/>
  <c r="F4220" i="4" s="1"/>
  <c r="D4222" i="4"/>
  <c r="F4222" i="4" s="1"/>
  <c r="D4224" i="4"/>
  <c r="F4224" i="4" s="1"/>
  <c r="D4226" i="4"/>
  <c r="F4226" i="4" s="1"/>
  <c r="D4228" i="4"/>
  <c r="F4228" i="4" s="1"/>
  <c r="D4230" i="4"/>
  <c r="F4230" i="4" s="1"/>
  <c r="D4232" i="4"/>
  <c r="F4232" i="4" s="1"/>
  <c r="D4234" i="4"/>
  <c r="F4234" i="4" s="1"/>
  <c r="D4236" i="4"/>
  <c r="F4236" i="4" s="1"/>
  <c r="D4238" i="4"/>
  <c r="F4238" i="4" s="1"/>
  <c r="D4240" i="4"/>
  <c r="F4240" i="4" s="1"/>
  <c r="D4242" i="4"/>
  <c r="F4242" i="4" s="1"/>
  <c r="D4244" i="4"/>
  <c r="F4244" i="4" s="1"/>
  <c r="D4246" i="4"/>
  <c r="F4246" i="4" s="1"/>
  <c r="D4248" i="4"/>
  <c r="F4248" i="4" s="1"/>
  <c r="D4250" i="4"/>
  <c r="F4250" i="4" s="1"/>
  <c r="D4252" i="4"/>
  <c r="F4252" i="4" s="1"/>
  <c r="D4254" i="4"/>
  <c r="F4254" i="4" s="1"/>
  <c r="D4256" i="4"/>
  <c r="F4256" i="4" s="1"/>
  <c r="D4258" i="4"/>
  <c r="F4258" i="4" s="1"/>
  <c r="D4260" i="4"/>
  <c r="F4260" i="4" s="1"/>
  <c r="D4262" i="4"/>
  <c r="F4262" i="4" s="1"/>
  <c r="D4264" i="4"/>
  <c r="F4264" i="4" s="1"/>
  <c r="D4266" i="4"/>
  <c r="F4266" i="4" s="1"/>
  <c r="D4268" i="4"/>
  <c r="F4268" i="4" s="1"/>
  <c r="D4270" i="4"/>
  <c r="F4270" i="4" s="1"/>
  <c r="D4272" i="4"/>
  <c r="F4272" i="4" s="1"/>
  <c r="D4274" i="4"/>
  <c r="F4274" i="4" s="1"/>
  <c r="D4276" i="4"/>
  <c r="F4276" i="4" s="1"/>
  <c r="D4278" i="4"/>
  <c r="F4278" i="4" s="1"/>
  <c r="D4280" i="4"/>
  <c r="F4280" i="4" s="1"/>
  <c r="D4282" i="4"/>
  <c r="F4282" i="4" s="1"/>
  <c r="D4284" i="4"/>
  <c r="F4284" i="4" s="1"/>
  <c r="D4286" i="4"/>
  <c r="F4286" i="4" s="1"/>
  <c r="D4288" i="4"/>
  <c r="F4288" i="4" s="1"/>
  <c r="D4290" i="4"/>
  <c r="F4290" i="4" s="1"/>
  <c r="D4292" i="4"/>
  <c r="F4292" i="4" s="1"/>
  <c r="D4294" i="4"/>
  <c r="F4294" i="4" s="1"/>
  <c r="D4296" i="4"/>
  <c r="F4296" i="4" s="1"/>
  <c r="D4298" i="4"/>
  <c r="F4298" i="4" s="1"/>
  <c r="D4300" i="4"/>
  <c r="F4300" i="4" s="1"/>
  <c r="D4302" i="4"/>
  <c r="F4302" i="4" s="1"/>
  <c r="D4304" i="4"/>
  <c r="F4304" i="4" s="1"/>
  <c r="D4306" i="4"/>
  <c r="F4306" i="4" s="1"/>
  <c r="D4308" i="4"/>
  <c r="F4308" i="4" s="1"/>
  <c r="D4310" i="4"/>
  <c r="F4310" i="4" s="1"/>
  <c r="D4312" i="4"/>
  <c r="F4312" i="4" s="1"/>
  <c r="D4314" i="4"/>
  <c r="F4314" i="4" s="1"/>
  <c r="D4316" i="4"/>
  <c r="F4316" i="4" s="1"/>
  <c r="D4318" i="4"/>
  <c r="F4318" i="4" s="1"/>
  <c r="D4320" i="4"/>
  <c r="F4320" i="4" s="1"/>
  <c r="D4322" i="4"/>
  <c r="F4322" i="4" s="1"/>
  <c r="D4324" i="4"/>
  <c r="F4324" i="4" s="1"/>
  <c r="D4326" i="4"/>
  <c r="F4326" i="4" s="1"/>
  <c r="D4328" i="4"/>
  <c r="F4328" i="4" s="1"/>
  <c r="D4330" i="4"/>
  <c r="F4330" i="4" s="1"/>
  <c r="D4332" i="4"/>
  <c r="F4332" i="4" s="1"/>
  <c r="D4334" i="4"/>
  <c r="F4334" i="4" s="1"/>
  <c r="D4336" i="4"/>
  <c r="F4336" i="4" s="1"/>
  <c r="D2528" i="4"/>
  <c r="F2528" i="4" s="1"/>
  <c r="D2557" i="4"/>
  <c r="F2557" i="4" s="1"/>
  <c r="D2661" i="4"/>
  <c r="F2661" i="4" s="1"/>
  <c r="D2729" i="4"/>
  <c r="F2729" i="4" s="1"/>
  <c r="D2822" i="4"/>
  <c r="F2822" i="4" s="1"/>
  <c r="D2861" i="4"/>
  <c r="F2861" i="4" s="1"/>
  <c r="D2896" i="4"/>
  <c r="F2896" i="4" s="1"/>
  <c r="D2979" i="4"/>
  <c r="F2979" i="4" s="1"/>
  <c r="D2995" i="4"/>
  <c r="F2995" i="4" s="1"/>
  <c r="D3013" i="4"/>
  <c r="F3013" i="4" s="1"/>
  <c r="D3196" i="4"/>
  <c r="F3196" i="4" s="1"/>
  <c r="D3209" i="4"/>
  <c r="F3209" i="4" s="1"/>
  <c r="D3223" i="4"/>
  <c r="F3223" i="4" s="1"/>
  <c r="D3321" i="4"/>
  <c r="F3321" i="4" s="1"/>
  <c r="D3345" i="4"/>
  <c r="F3345" i="4" s="1"/>
  <c r="D3389" i="4"/>
  <c r="F3389" i="4" s="1"/>
  <c r="D3401" i="4"/>
  <c r="F3401" i="4" s="1"/>
  <c r="D3413" i="4"/>
  <c r="F3413" i="4" s="1"/>
  <c r="D3423" i="4"/>
  <c r="F3423" i="4" s="1"/>
  <c r="D3447" i="4"/>
  <c r="F3447" i="4" s="1"/>
  <c r="D3469" i="4"/>
  <c r="F3469" i="4" s="1"/>
  <c r="D3503" i="4"/>
  <c r="F3503" i="4" s="1"/>
  <c r="D3521" i="4"/>
  <c r="F3521" i="4" s="1"/>
  <c r="D3544" i="4"/>
  <c r="F3544" i="4" s="1"/>
  <c r="D3559" i="4"/>
  <c r="F3559" i="4" s="1"/>
  <c r="D3594" i="4"/>
  <c r="F3594" i="4" s="1"/>
  <c r="D3608" i="4"/>
  <c r="F3608" i="4" s="1"/>
  <c r="D3623" i="4"/>
  <c r="F3623" i="4" s="1"/>
  <c r="D3658" i="4"/>
  <c r="F3658" i="4" s="1"/>
  <c r="D3670" i="4"/>
  <c r="F3670" i="4" s="1"/>
  <c r="D3686" i="4"/>
  <c r="F3686" i="4" s="1"/>
  <c r="D3702" i="4"/>
  <c r="F3702" i="4" s="1"/>
  <c r="D3718" i="4"/>
  <c r="F3718" i="4" s="1"/>
  <c r="D3734" i="4"/>
  <c r="F3734" i="4" s="1"/>
  <c r="D3750" i="4"/>
  <c r="F3750" i="4" s="1"/>
  <c r="D3766" i="4"/>
  <c r="F3766" i="4" s="1"/>
  <c r="D3782" i="4"/>
  <c r="F3782" i="4" s="1"/>
  <c r="D3798" i="4"/>
  <c r="F3798" i="4" s="1"/>
  <c r="D3814" i="4"/>
  <c r="F3814" i="4" s="1"/>
  <c r="D3832" i="4"/>
  <c r="F3832" i="4" s="1"/>
  <c r="D3835" i="4"/>
  <c r="F3835" i="4" s="1"/>
  <c r="D3838" i="4"/>
  <c r="F3838" i="4" s="1"/>
  <c r="D3841" i="4"/>
  <c r="F3841" i="4" s="1"/>
  <c r="D3844" i="4"/>
  <c r="F3844" i="4" s="1"/>
  <c r="D3847" i="4"/>
  <c r="F3847" i="4" s="1"/>
  <c r="D3850" i="4"/>
  <c r="F3850" i="4" s="1"/>
  <c r="D3896" i="4"/>
  <c r="F3896" i="4" s="1"/>
  <c r="D3899" i="4"/>
  <c r="F3899" i="4" s="1"/>
  <c r="D3902" i="4"/>
  <c r="F3902" i="4" s="1"/>
  <c r="D3905" i="4"/>
  <c r="F3905" i="4" s="1"/>
  <c r="D3908" i="4"/>
  <c r="F3908" i="4" s="1"/>
  <c r="D3911" i="4"/>
  <c r="F3911" i="4" s="1"/>
  <c r="D3914" i="4"/>
  <c r="F3914" i="4" s="1"/>
  <c r="D3960" i="4"/>
  <c r="F3960" i="4" s="1"/>
  <c r="D3963" i="4"/>
  <c r="F3963" i="4" s="1"/>
  <c r="D3966" i="4"/>
  <c r="F3966" i="4" s="1"/>
  <c r="D3974" i="4"/>
  <c r="F3974" i="4" s="1"/>
  <c r="D3982" i="4"/>
  <c r="F3982" i="4" s="1"/>
  <c r="D3990" i="4"/>
  <c r="F3990" i="4" s="1"/>
  <c r="D3998" i="4"/>
  <c r="F3998" i="4" s="1"/>
  <c r="D4006" i="4"/>
  <c r="F4006" i="4" s="1"/>
  <c r="D4014" i="4"/>
  <c r="F4014" i="4" s="1"/>
  <c r="D2530" i="4"/>
  <c r="F2530" i="4" s="1"/>
  <c r="D2615" i="4"/>
  <c r="F2615" i="4" s="1"/>
  <c r="D2688" i="4"/>
  <c r="F2688" i="4" s="1"/>
  <c r="D2712" i="4"/>
  <c r="F2712" i="4" s="1"/>
  <c r="D2826" i="4"/>
  <c r="F2826" i="4" s="1"/>
  <c r="D2843" i="4"/>
  <c r="F2843" i="4" s="1"/>
  <c r="D2882" i="4"/>
  <c r="F2882" i="4" s="1"/>
  <c r="D3046" i="4"/>
  <c r="F3046" i="4" s="1"/>
  <c r="D3062" i="4"/>
  <c r="F3062" i="4" s="1"/>
  <c r="D3080" i="4"/>
  <c r="F3080" i="4" s="1"/>
  <c r="D3095" i="4"/>
  <c r="F3095" i="4" s="1"/>
  <c r="D3111" i="4"/>
  <c r="F3111" i="4" s="1"/>
  <c r="D3212" i="4"/>
  <c r="F3212" i="4" s="1"/>
  <c r="D3225" i="4"/>
  <c r="F3225" i="4" s="1"/>
  <c r="D3239" i="4"/>
  <c r="F3239" i="4" s="1"/>
  <c r="D3277" i="4"/>
  <c r="F3277" i="4" s="1"/>
  <c r="D3311" i="4"/>
  <c r="F3311" i="4" s="1"/>
  <c r="D3334" i="4"/>
  <c r="F3334" i="4" s="1"/>
  <c r="D3358" i="4"/>
  <c r="F3358" i="4" s="1"/>
  <c r="D3414" i="4"/>
  <c r="F3414" i="4" s="1"/>
  <c r="D3436" i="4"/>
  <c r="F3436" i="4" s="1"/>
  <c r="D3460" i="4"/>
  <c r="F3460" i="4" s="1"/>
  <c r="D3514" i="4"/>
  <c r="F3514" i="4" s="1"/>
  <c r="D3523" i="4"/>
  <c r="F3523" i="4" s="1"/>
  <c r="D3530" i="4"/>
  <c r="F3530" i="4" s="1"/>
  <c r="D3538" i="4"/>
  <c r="F3538" i="4" s="1"/>
  <c r="D3552" i="4"/>
  <c r="F3552" i="4" s="1"/>
  <c r="D3567" i="4"/>
  <c r="F3567" i="4" s="1"/>
  <c r="D3602" i="4"/>
  <c r="F3602" i="4" s="1"/>
  <c r="D3616" i="4"/>
  <c r="F3616" i="4" s="1"/>
  <c r="D3631" i="4"/>
  <c r="F3631" i="4" s="1"/>
  <c r="D3671" i="4"/>
  <c r="F3671" i="4" s="1"/>
  <c r="D3687" i="4"/>
  <c r="F3687" i="4" s="1"/>
  <c r="D3703" i="4"/>
  <c r="F3703" i="4" s="1"/>
  <c r="D3719" i="4"/>
  <c r="F3719" i="4" s="1"/>
  <c r="D3735" i="4"/>
  <c r="F3735" i="4" s="1"/>
  <c r="D3751" i="4"/>
  <c r="F3751" i="4" s="1"/>
  <c r="D3767" i="4"/>
  <c r="F3767" i="4" s="1"/>
  <c r="D3783" i="4"/>
  <c r="F3783" i="4" s="1"/>
  <c r="D3799" i="4"/>
  <c r="F3799" i="4" s="1"/>
  <c r="D3815" i="4"/>
  <c r="F3815" i="4" s="1"/>
  <c r="D3823" i="4"/>
  <c r="F3823" i="4" s="1"/>
  <c r="D3826" i="4"/>
  <c r="F3826" i="4" s="1"/>
  <c r="D3872" i="4"/>
  <c r="F3872" i="4" s="1"/>
  <c r="D3875" i="4"/>
  <c r="F3875" i="4" s="1"/>
  <c r="D3878" i="4"/>
  <c r="F3878" i="4" s="1"/>
  <c r="D3881" i="4"/>
  <c r="F3881" i="4" s="1"/>
  <c r="D3884" i="4"/>
  <c r="F3884" i="4" s="1"/>
  <c r="D3887" i="4"/>
  <c r="F3887" i="4" s="1"/>
  <c r="D3890" i="4"/>
  <c r="F3890" i="4" s="1"/>
  <c r="D3936" i="4"/>
  <c r="F3936" i="4" s="1"/>
  <c r="D3939" i="4"/>
  <c r="F3939" i="4" s="1"/>
  <c r="D3942" i="4"/>
  <c r="F3942" i="4" s="1"/>
  <c r="D3945" i="4"/>
  <c r="F3945" i="4" s="1"/>
  <c r="D3948" i="4"/>
  <c r="F3948" i="4" s="1"/>
  <c r="D3951" i="4"/>
  <c r="F3951" i="4" s="1"/>
  <c r="D3954" i="4"/>
  <c r="F3954" i="4" s="1"/>
  <c r="D3969" i="4"/>
  <c r="F3969" i="4" s="1"/>
  <c r="D3977" i="4"/>
  <c r="F3977" i="4" s="1"/>
  <c r="D3985" i="4"/>
  <c r="F3985" i="4" s="1"/>
  <c r="D3993" i="4"/>
  <c r="F3993" i="4" s="1"/>
  <c r="D4001" i="4"/>
  <c r="F4001" i="4" s="1"/>
  <c r="D4009" i="4"/>
  <c r="F4009" i="4" s="1"/>
  <c r="D2542" i="4"/>
  <c r="F2542" i="4" s="1"/>
  <c r="D2574" i="4"/>
  <c r="F2574" i="4" s="1"/>
  <c r="D2624" i="4"/>
  <c r="F2624" i="4" s="1"/>
  <c r="D2696" i="4"/>
  <c r="F2696" i="4" s="1"/>
  <c r="D2720" i="4"/>
  <c r="F2720" i="4" s="1"/>
  <c r="D2757" i="4"/>
  <c r="F2757" i="4" s="1"/>
  <c r="D2777" i="4"/>
  <c r="F2777" i="4" s="1"/>
  <c r="D2833" i="4"/>
  <c r="F2833" i="4" s="1"/>
  <c r="D2850" i="4"/>
  <c r="F2850" i="4" s="1"/>
  <c r="D2906" i="4"/>
  <c r="F2906" i="4" s="1"/>
  <c r="D2922" i="4"/>
  <c r="F2922" i="4" s="1"/>
  <c r="D3086" i="4"/>
  <c r="F3086" i="4" s="1"/>
  <c r="D3101" i="4"/>
  <c r="F3101" i="4" s="1"/>
  <c r="D3132" i="4"/>
  <c r="F3132" i="4" s="1"/>
  <c r="D3145" i="4"/>
  <c r="F3145" i="4" s="1"/>
  <c r="D3159" i="4"/>
  <c r="F3159" i="4" s="1"/>
  <c r="D3270" i="4"/>
  <c r="F3270" i="4" s="1"/>
  <c r="D3294" i="4"/>
  <c r="F3294" i="4" s="1"/>
  <c r="D3350" i="4"/>
  <c r="F3350" i="4" s="1"/>
  <c r="D3372" i="4"/>
  <c r="F3372" i="4" s="1"/>
  <c r="D3396" i="4"/>
  <c r="F3396" i="4" s="1"/>
  <c r="D3452" i="4"/>
  <c r="F3452" i="4" s="1"/>
  <c r="D3517" i="4"/>
  <c r="F3517" i="4" s="1"/>
  <c r="D3526" i="4"/>
  <c r="F3526" i="4" s="1"/>
  <c r="D3533" i="4"/>
  <c r="F3533" i="4" s="1"/>
  <c r="D3562" i="4"/>
  <c r="F3562" i="4" s="1"/>
  <c r="D3576" i="4"/>
  <c r="F3576" i="4" s="1"/>
  <c r="D3591" i="4"/>
  <c r="F3591" i="4" s="1"/>
  <c r="D3626" i="4"/>
  <c r="F3626" i="4" s="1"/>
  <c r="D3640" i="4"/>
  <c r="F3640" i="4" s="1"/>
  <c r="D3655" i="4"/>
  <c r="F3655" i="4" s="1"/>
  <c r="D3678" i="4"/>
  <c r="F3678" i="4" s="1"/>
  <c r="D3694" i="4"/>
  <c r="F3694" i="4" s="1"/>
  <c r="D3710" i="4"/>
  <c r="F3710" i="4" s="1"/>
  <c r="D3726" i="4"/>
  <c r="F3726" i="4" s="1"/>
  <c r="D3742" i="4"/>
  <c r="F3742" i="4" s="1"/>
  <c r="D3758" i="4"/>
  <c r="F3758" i="4" s="1"/>
  <c r="D3774" i="4"/>
  <c r="F3774" i="4" s="1"/>
  <c r="D3790" i="4"/>
  <c r="F3790" i="4" s="1"/>
  <c r="D3806" i="4"/>
  <c r="F3806" i="4" s="1"/>
  <c r="D3864" i="4"/>
  <c r="F3864" i="4" s="1"/>
  <c r="D3867" i="4"/>
  <c r="F3867" i="4" s="1"/>
  <c r="D3870" i="4"/>
  <c r="F3870" i="4" s="1"/>
  <c r="D3873" i="4"/>
  <c r="F3873" i="4" s="1"/>
  <c r="D3876" i="4"/>
  <c r="F3876" i="4" s="1"/>
  <c r="D3879" i="4"/>
  <c r="F3879" i="4" s="1"/>
  <c r="D3882" i="4"/>
  <c r="F3882" i="4" s="1"/>
  <c r="D3928" i="4"/>
  <c r="F3928" i="4" s="1"/>
  <c r="D3931" i="4"/>
  <c r="F3931" i="4" s="1"/>
  <c r="D3934" i="4"/>
  <c r="F3934" i="4" s="1"/>
  <c r="D3937" i="4"/>
  <c r="F3937" i="4" s="1"/>
  <c r="D3940" i="4"/>
  <c r="F3940" i="4" s="1"/>
  <c r="D3943" i="4"/>
  <c r="F3943" i="4" s="1"/>
  <c r="D3946" i="4"/>
  <c r="F3946" i="4" s="1"/>
  <c r="D3970" i="4"/>
  <c r="F3970" i="4" s="1"/>
  <c r="D3978" i="4"/>
  <c r="F3978" i="4" s="1"/>
  <c r="D3986" i="4"/>
  <c r="F3986" i="4" s="1"/>
  <c r="D3994" i="4"/>
  <c r="F3994" i="4" s="1"/>
  <c r="D4002" i="4"/>
  <c r="F4002" i="4" s="1"/>
  <c r="D4010" i="4"/>
  <c r="F4010" i="4" s="1"/>
  <c r="D2534" i="4"/>
  <c r="F2534" i="4" s="1"/>
  <c r="D2778" i="4"/>
  <c r="F2778" i="4" s="1"/>
  <c r="D2829" i="4"/>
  <c r="F2829" i="4" s="1"/>
  <c r="D3175" i="4"/>
  <c r="F3175" i="4" s="1"/>
  <c r="D3255" i="4"/>
  <c r="F3255" i="4" s="1"/>
  <c r="D3405" i="4"/>
  <c r="F3405" i="4" s="1"/>
  <c r="D3465" i="4"/>
  <c r="F3465" i="4" s="1"/>
  <c r="D3599" i="4"/>
  <c r="F3599" i="4" s="1"/>
  <c r="D3618" i="4"/>
  <c r="F3618" i="4" s="1"/>
  <c r="D3639" i="4"/>
  <c r="F3639" i="4" s="1"/>
  <c r="D3672" i="4"/>
  <c r="F3672" i="4" s="1"/>
  <c r="D3730" i="4"/>
  <c r="F3730" i="4" s="1"/>
  <c r="D3743" i="4"/>
  <c r="F3743" i="4" s="1"/>
  <c r="D3800" i="4"/>
  <c r="F3800" i="4" s="1"/>
  <c r="D3833" i="4"/>
  <c r="F3833" i="4" s="1"/>
  <c r="D3849" i="4"/>
  <c r="F3849" i="4" s="1"/>
  <c r="D3866" i="4"/>
  <c r="F3866" i="4" s="1"/>
  <c r="D3906" i="4"/>
  <c r="F3906" i="4" s="1"/>
  <c r="D3915" i="4"/>
  <c r="F3915" i="4" s="1"/>
  <c r="D3922" i="4"/>
  <c r="F3922" i="4" s="1"/>
  <c r="D3955" i="4"/>
  <c r="F3955" i="4" s="1"/>
  <c r="D3999" i="4"/>
  <c r="F3999" i="4" s="1"/>
  <c r="D4013" i="4"/>
  <c r="F4013" i="4" s="1"/>
  <c r="D4029" i="4"/>
  <c r="F4029" i="4" s="1"/>
  <c r="D4045" i="4"/>
  <c r="F4045" i="4" s="1"/>
  <c r="D4061" i="4"/>
  <c r="F4061" i="4" s="1"/>
  <c r="D4077" i="4"/>
  <c r="F4077" i="4" s="1"/>
  <c r="D4093" i="4"/>
  <c r="F4093" i="4" s="1"/>
  <c r="D4109" i="4"/>
  <c r="F4109" i="4" s="1"/>
  <c r="D4125" i="4"/>
  <c r="F4125" i="4" s="1"/>
  <c r="D4141" i="4"/>
  <c r="F4141" i="4" s="1"/>
  <c r="D4157" i="4"/>
  <c r="F4157" i="4" s="1"/>
  <c r="D4173" i="4"/>
  <c r="F4173" i="4" s="1"/>
  <c r="D4189" i="4"/>
  <c r="F4189" i="4" s="1"/>
  <c r="D4205" i="4"/>
  <c r="F4205" i="4" s="1"/>
  <c r="D4221" i="4"/>
  <c r="F4221" i="4" s="1"/>
  <c r="D4237" i="4"/>
  <c r="F4237" i="4" s="1"/>
  <c r="D4253" i="4"/>
  <c r="F4253" i="4" s="1"/>
  <c r="D4269" i="4"/>
  <c r="F4269" i="4" s="1"/>
  <c r="D4285" i="4"/>
  <c r="F4285" i="4" s="1"/>
  <c r="D4301" i="4"/>
  <c r="F4301" i="4" s="1"/>
  <c r="D4317" i="4"/>
  <c r="F4317" i="4" s="1"/>
  <c r="D4333" i="4"/>
  <c r="F4333" i="4" s="1"/>
  <c r="D4338" i="4"/>
  <c r="F4338" i="4" s="1"/>
  <c r="D4342" i="4"/>
  <c r="F4342" i="4" s="1"/>
  <c r="D4346" i="4"/>
  <c r="F4346" i="4" s="1"/>
  <c r="D4350" i="4"/>
  <c r="F4350" i="4" s="1"/>
  <c r="D4354" i="4"/>
  <c r="F4354" i="4" s="1"/>
  <c r="D4358" i="4"/>
  <c r="F4358" i="4" s="1"/>
  <c r="D4362" i="4"/>
  <c r="F4362" i="4" s="1"/>
  <c r="D4366" i="4"/>
  <c r="F4366" i="4" s="1"/>
  <c r="D4370" i="4"/>
  <c r="F4370" i="4" s="1"/>
  <c r="D4374" i="4"/>
  <c r="F4374" i="4" s="1"/>
  <c r="D4378" i="4"/>
  <c r="F4378" i="4" s="1"/>
  <c r="D4382" i="4"/>
  <c r="F4382" i="4" s="1"/>
  <c r="D4385" i="4"/>
  <c r="F4385" i="4" s="1"/>
  <c r="D4398" i="4"/>
  <c r="F4398" i="4" s="1"/>
  <c r="D4401" i="4"/>
  <c r="F4401" i="4" s="1"/>
  <c r="D4414" i="4"/>
  <c r="F4414" i="4" s="1"/>
  <c r="D4417" i="4"/>
  <c r="F4417" i="4" s="1"/>
  <c r="D4430" i="4"/>
  <c r="F4430" i="4" s="1"/>
  <c r="D4433" i="4"/>
  <c r="F4433" i="4" s="1"/>
  <c r="D4446" i="4"/>
  <c r="F4446" i="4" s="1"/>
  <c r="D4449" i="4"/>
  <c r="F4449" i="4" s="1"/>
  <c r="D4462" i="4"/>
  <c r="F4462" i="4" s="1"/>
  <c r="D4465" i="4"/>
  <c r="F4465" i="4" s="1"/>
  <c r="D4478" i="4"/>
  <c r="F4478" i="4" s="1"/>
  <c r="D4481" i="4"/>
  <c r="F4481" i="4" s="1"/>
  <c r="D4494" i="4"/>
  <c r="F4494" i="4" s="1"/>
  <c r="D4497" i="4"/>
  <c r="F4497" i="4" s="1"/>
  <c r="D4509" i="4"/>
  <c r="F4509" i="4" s="1"/>
  <c r="D4512" i="4"/>
  <c r="F4512" i="4" s="1"/>
  <c r="D4517" i="4"/>
  <c r="F4517" i="4" s="1"/>
  <c r="D4520" i="4"/>
  <c r="F4520" i="4" s="1"/>
  <c r="D4525" i="4"/>
  <c r="F4525" i="4" s="1"/>
  <c r="D4528" i="4"/>
  <c r="F4528" i="4" s="1"/>
  <c r="D4533" i="4"/>
  <c r="F4533" i="4" s="1"/>
  <c r="D4536" i="4"/>
  <c r="F4536" i="4" s="1"/>
  <c r="D4541" i="4"/>
  <c r="F4541" i="4" s="1"/>
  <c r="D4548" i="4"/>
  <c r="F4548" i="4" s="1"/>
  <c r="D4557" i="4"/>
  <c r="F4557" i="4" s="1"/>
  <c r="D4564" i="4"/>
  <c r="F4564" i="4" s="1"/>
  <c r="D4573" i="4"/>
  <c r="F4573" i="4" s="1"/>
  <c r="D4580" i="4"/>
  <c r="F4580" i="4" s="1"/>
  <c r="D4589" i="4"/>
  <c r="F4589" i="4" s="1"/>
  <c r="D4596" i="4"/>
  <c r="F4596" i="4" s="1"/>
  <c r="D4605" i="4"/>
  <c r="F4605" i="4" s="1"/>
  <c r="D4612" i="4"/>
  <c r="F4612" i="4" s="1"/>
  <c r="D4621" i="4"/>
  <c r="F4621" i="4" s="1"/>
  <c r="D4628" i="4"/>
  <c r="F4628" i="4" s="1"/>
  <c r="D4637" i="4"/>
  <c r="F4637" i="4" s="1"/>
  <c r="D4644" i="4"/>
  <c r="F4644" i="4" s="1"/>
  <c r="D4787" i="4"/>
  <c r="F4787" i="4" s="1"/>
  <c r="D4805" i="4"/>
  <c r="F4805" i="4" s="1"/>
  <c r="D4809" i="4"/>
  <c r="F4809" i="4" s="1"/>
  <c r="D4813" i="4"/>
  <c r="F4813" i="4" s="1"/>
  <c r="D4817" i="4"/>
  <c r="F4817" i="4" s="1"/>
  <c r="D4821" i="4"/>
  <c r="F4821" i="4" s="1"/>
  <c r="D4825" i="4"/>
  <c r="F4825" i="4" s="1"/>
  <c r="D4829" i="4"/>
  <c r="F4829" i="4" s="1"/>
  <c r="D4833" i="4"/>
  <c r="F4833" i="4" s="1"/>
  <c r="D4837" i="4"/>
  <c r="F4837" i="4" s="1"/>
  <c r="D4841" i="4"/>
  <c r="F4841" i="4" s="1"/>
  <c r="D4843" i="4"/>
  <c r="F4843" i="4" s="1"/>
  <c r="D4847" i="4"/>
  <c r="F4847" i="4" s="1"/>
  <c r="D4851" i="4"/>
  <c r="F4851" i="4" s="1"/>
  <c r="D4855" i="4"/>
  <c r="F4855" i="4" s="1"/>
  <c r="D4859" i="4"/>
  <c r="F4859" i="4" s="1"/>
  <c r="D4863" i="4"/>
  <c r="F4863" i="4" s="1"/>
  <c r="D4867" i="4"/>
  <c r="F4867" i="4" s="1"/>
  <c r="D4871" i="4"/>
  <c r="F4871" i="4" s="1"/>
  <c r="D4873" i="4"/>
  <c r="F4873" i="4" s="1"/>
  <c r="D4877" i="4"/>
  <c r="F4877" i="4" s="1"/>
  <c r="D4881" i="4"/>
  <c r="F4881" i="4" s="1"/>
  <c r="D4885" i="4"/>
  <c r="F4885" i="4" s="1"/>
  <c r="D4889" i="4"/>
  <c r="F4889" i="4" s="1"/>
  <c r="D4891" i="4"/>
  <c r="F4891" i="4" s="1"/>
  <c r="D4895" i="4"/>
  <c r="F4895" i="4" s="1"/>
  <c r="D4899" i="4"/>
  <c r="F4899" i="4" s="1"/>
  <c r="D4903" i="4"/>
  <c r="F4903" i="4" s="1"/>
  <c r="D4907" i="4"/>
  <c r="F4907" i="4" s="1"/>
  <c r="D4911" i="4"/>
  <c r="F4911" i="4" s="1"/>
  <c r="D4915" i="4"/>
  <c r="F4915" i="4" s="1"/>
  <c r="D4919" i="4"/>
  <c r="F4919" i="4" s="1"/>
  <c r="D4923" i="4"/>
  <c r="F4923" i="4" s="1"/>
  <c r="D4927" i="4"/>
  <c r="F4927" i="4" s="1"/>
  <c r="D4931" i="4"/>
  <c r="F4931" i="4" s="1"/>
  <c r="D4933" i="4"/>
  <c r="F4933" i="4" s="1"/>
  <c r="D4937" i="4"/>
  <c r="F4937" i="4" s="1"/>
  <c r="D4941" i="4"/>
  <c r="F4941" i="4" s="1"/>
  <c r="D4945" i="4"/>
  <c r="F4945" i="4" s="1"/>
  <c r="D4949" i="4"/>
  <c r="F4949" i="4" s="1"/>
  <c r="D4953" i="4"/>
  <c r="F4953" i="4" s="1"/>
  <c r="D4959" i="4"/>
  <c r="F4959" i="4" s="1"/>
  <c r="D4963" i="4"/>
  <c r="F4963" i="4" s="1"/>
  <c r="D4967" i="4"/>
  <c r="F4967" i="4" s="1"/>
  <c r="D4971" i="4"/>
  <c r="F4971" i="4" s="1"/>
  <c r="D4975" i="4"/>
  <c r="F4975" i="4" s="1"/>
  <c r="D4979" i="4"/>
  <c r="F4979" i="4" s="1"/>
  <c r="D4983" i="4"/>
  <c r="F4983" i="4" s="1"/>
  <c r="D4987" i="4"/>
  <c r="F4987" i="4" s="1"/>
  <c r="D4991" i="4"/>
  <c r="F4991" i="4" s="1"/>
  <c r="D4995" i="4"/>
  <c r="F4995" i="4" s="1"/>
  <c r="D4997" i="4"/>
  <c r="F4997" i="4" s="1"/>
  <c r="D5001" i="4"/>
  <c r="F5001" i="4" s="1"/>
  <c r="D5005" i="4"/>
  <c r="F5005" i="4" s="1"/>
  <c r="D5009" i="4"/>
  <c r="F5009" i="4" s="1"/>
  <c r="D5013" i="4"/>
  <c r="F5013" i="4" s="1"/>
  <c r="D3161" i="4"/>
  <c r="F3161" i="4" s="1"/>
  <c r="D3453" i="4"/>
  <c r="F3453" i="4" s="1"/>
  <c r="D3535" i="4"/>
  <c r="F3535" i="4" s="1"/>
  <c r="D3682" i="4"/>
  <c r="F3682" i="4" s="1"/>
  <c r="D3912" i="4"/>
  <c r="F3912" i="4" s="1"/>
  <c r="D4004" i="4"/>
  <c r="F4004" i="4" s="1"/>
  <c r="D4107" i="4"/>
  <c r="F4107" i="4" s="1"/>
  <c r="D4171" i="4"/>
  <c r="F4171" i="4" s="1"/>
  <c r="D4187" i="4"/>
  <c r="F4187" i="4" s="1"/>
  <c r="D4267" i="4"/>
  <c r="F4267" i="4" s="1"/>
  <c r="D4299" i="4"/>
  <c r="F4299" i="4" s="1"/>
  <c r="D4387" i="4"/>
  <c r="F4387" i="4" s="1"/>
  <c r="D4400" i="4"/>
  <c r="F4400" i="4" s="1"/>
  <c r="D4419" i="4"/>
  <c r="F4419" i="4" s="1"/>
  <c r="D4451" i="4"/>
  <c r="F4451" i="4" s="1"/>
  <c r="D4467" i="4"/>
  <c r="F4467" i="4" s="1"/>
  <c r="D4499" i="4"/>
  <c r="F4499" i="4" s="1"/>
  <c r="D4554" i="4"/>
  <c r="F4554" i="4" s="1"/>
  <c r="D4570" i="4"/>
  <c r="F4570" i="4" s="1"/>
  <c r="D4586" i="4"/>
  <c r="F4586" i="4" s="1"/>
  <c r="D4634" i="4"/>
  <c r="F4634" i="4" s="1"/>
  <c r="D4652" i="4"/>
  <c r="F4652" i="4" s="1"/>
  <c r="D4660" i="4"/>
  <c r="F4660" i="4" s="1"/>
  <c r="D4670" i="4"/>
  <c r="F4670" i="4" s="1"/>
  <c r="D4682" i="4"/>
  <c r="F4682" i="4" s="1"/>
  <c r="D4692" i="4"/>
  <c r="F4692" i="4" s="1"/>
  <c r="D4706" i="4"/>
  <c r="F4706" i="4" s="1"/>
  <c r="D4716" i="4"/>
  <c r="F4716" i="4" s="1"/>
  <c r="D4724" i="4"/>
  <c r="F4724" i="4" s="1"/>
  <c r="D4736" i="4"/>
  <c r="F4736" i="4" s="1"/>
  <c r="D4746" i="4"/>
  <c r="F4746" i="4" s="1"/>
  <c r="D4758" i="4"/>
  <c r="F4758" i="4" s="1"/>
  <c r="D4768" i="4"/>
  <c r="F4768" i="4" s="1"/>
  <c r="D4778" i="4"/>
  <c r="F4778" i="4" s="1"/>
  <c r="D4792" i="4"/>
  <c r="F4792" i="4" s="1"/>
  <c r="D4802" i="4"/>
  <c r="F4802" i="4" s="1"/>
  <c r="D4812" i="4"/>
  <c r="F4812" i="4" s="1"/>
  <c r="D4822" i="4"/>
  <c r="F4822" i="4" s="1"/>
  <c r="D4830" i="4"/>
  <c r="F4830" i="4" s="1"/>
  <c r="D4840" i="4"/>
  <c r="F4840" i="4" s="1"/>
  <c r="D4852" i="4"/>
  <c r="F4852" i="4" s="1"/>
  <c r="D4864" i="4"/>
  <c r="F4864" i="4" s="1"/>
  <c r="D4872" i="4"/>
  <c r="F4872" i="4" s="1"/>
  <c r="D4882" i="4"/>
  <c r="F4882" i="4" s="1"/>
  <c r="D4892" i="4"/>
  <c r="F4892" i="4" s="1"/>
  <c r="D4904" i="4"/>
  <c r="F4904" i="4" s="1"/>
  <c r="D4914" i="4"/>
  <c r="F4914" i="4" s="1"/>
  <c r="D4922" i="4"/>
  <c r="F4922" i="4" s="1"/>
  <c r="D4932" i="4"/>
  <c r="F4932" i="4" s="1"/>
  <c r="D4942" i="4"/>
  <c r="F4942" i="4" s="1"/>
  <c r="D4952" i="4"/>
  <c r="F4952" i="4" s="1"/>
  <c r="D4962" i="4"/>
  <c r="F4962" i="4" s="1"/>
  <c r="D4974" i="4"/>
  <c r="F4974" i="4" s="1"/>
  <c r="D4982" i="4"/>
  <c r="F4982" i="4" s="1"/>
  <c r="D4994" i="4"/>
  <c r="F4994" i="4" s="1"/>
  <c r="D5004" i="4"/>
  <c r="F5004" i="4" s="1"/>
  <c r="D5014" i="4"/>
  <c r="F5014" i="4" s="1"/>
  <c r="D2918" i="4"/>
  <c r="F2918" i="4" s="1"/>
  <c r="D3698" i="4"/>
  <c r="F3698" i="4" s="1"/>
  <c r="D3855" i="4"/>
  <c r="F3855" i="4" s="1"/>
  <c r="D3921" i="4"/>
  <c r="F3921" i="4" s="1"/>
  <c r="D4012" i="4"/>
  <c r="F4012" i="4" s="1"/>
  <c r="D4033" i="4"/>
  <c r="F4033" i="4" s="1"/>
  <c r="D4177" i="4"/>
  <c r="F4177" i="4" s="1"/>
  <c r="D4209" i="4"/>
  <c r="F4209" i="4" s="1"/>
  <c r="D4289" i="4"/>
  <c r="F4289" i="4" s="1"/>
  <c r="D4341" i="4"/>
  <c r="F4341" i="4" s="1"/>
  <c r="D4361" i="4"/>
  <c r="F4361" i="4" s="1"/>
  <c r="D4381" i="4"/>
  <c r="F4381" i="4" s="1"/>
  <c r="D4397" i="4"/>
  <c r="F4397" i="4" s="1"/>
  <c r="D4413" i="4"/>
  <c r="F4413" i="4" s="1"/>
  <c r="D4445" i="4"/>
  <c r="F4445" i="4" s="1"/>
  <c r="D4461" i="4"/>
  <c r="F4461" i="4" s="1"/>
  <c r="D4511" i="4"/>
  <c r="F4511" i="4" s="1"/>
  <c r="D4535" i="4"/>
  <c r="F4535" i="4" s="1"/>
  <c r="D4584" i="4"/>
  <c r="F4584" i="4" s="1"/>
  <c r="D2541" i="4"/>
  <c r="F2541" i="4" s="1"/>
  <c r="D2736" i="4"/>
  <c r="F2736" i="4" s="1"/>
  <c r="D2885" i="4"/>
  <c r="F2885" i="4" s="1"/>
  <c r="D2934" i="4"/>
  <c r="F2934" i="4" s="1"/>
  <c r="D2973" i="4"/>
  <c r="F2973" i="4" s="1"/>
  <c r="D3019" i="4"/>
  <c r="F3019" i="4" s="1"/>
  <c r="D3143" i="4"/>
  <c r="F3143" i="4" s="1"/>
  <c r="D3257" i="4"/>
  <c r="F3257" i="4" s="1"/>
  <c r="D3349" i="4"/>
  <c r="F3349" i="4" s="1"/>
  <c r="D3409" i="4"/>
  <c r="F3409" i="4" s="1"/>
  <c r="D3439" i="4"/>
  <c r="F3439" i="4" s="1"/>
  <c r="D3473" i="4"/>
  <c r="F3473" i="4" s="1"/>
  <c r="D3524" i="4"/>
  <c r="F3524" i="4" s="1"/>
  <c r="D3546" i="4"/>
  <c r="F3546" i="4" s="1"/>
  <c r="D3583" i="4"/>
  <c r="F3583" i="4" s="1"/>
  <c r="D3688" i="4"/>
  <c r="F3688" i="4" s="1"/>
  <c r="D3746" i="4"/>
  <c r="F3746" i="4" s="1"/>
  <c r="D3759" i="4"/>
  <c r="F3759" i="4" s="1"/>
  <c r="D3816" i="4"/>
  <c r="F3816" i="4" s="1"/>
  <c r="D3842" i="4"/>
  <c r="F3842" i="4" s="1"/>
  <c r="D3851" i="4"/>
  <c r="F3851" i="4" s="1"/>
  <c r="D3858" i="4"/>
  <c r="F3858" i="4" s="1"/>
  <c r="D3891" i="4"/>
  <c r="F3891" i="4" s="1"/>
  <c r="D3907" i="4"/>
  <c r="F3907" i="4" s="1"/>
  <c r="D3924" i="4"/>
  <c r="F3924" i="4" s="1"/>
  <c r="D3964" i="4"/>
  <c r="F3964" i="4" s="1"/>
  <c r="D3972" i="4"/>
  <c r="F3972" i="4" s="1"/>
  <c r="D4007" i="4"/>
  <c r="F4007" i="4" s="1"/>
  <c r="D4019" i="4"/>
  <c r="F4019" i="4" s="1"/>
  <c r="D4035" i="4"/>
  <c r="F4035" i="4" s="1"/>
  <c r="D4051" i="4"/>
  <c r="F4051" i="4" s="1"/>
  <c r="D4067" i="4"/>
  <c r="F4067" i="4" s="1"/>
  <c r="D4083" i="4"/>
  <c r="F4083" i="4" s="1"/>
  <c r="D4099" i="4"/>
  <c r="F4099" i="4" s="1"/>
  <c r="D4115" i="4"/>
  <c r="F4115" i="4" s="1"/>
  <c r="D4131" i="4"/>
  <c r="F4131" i="4" s="1"/>
  <c r="D4147" i="4"/>
  <c r="F4147" i="4" s="1"/>
  <c r="D4163" i="4"/>
  <c r="F4163" i="4" s="1"/>
  <c r="D4179" i="4"/>
  <c r="F4179" i="4" s="1"/>
  <c r="D4195" i="4"/>
  <c r="F4195" i="4" s="1"/>
  <c r="D4211" i="4"/>
  <c r="F4211" i="4" s="1"/>
  <c r="D4227" i="4"/>
  <c r="F4227" i="4" s="1"/>
  <c r="D4243" i="4"/>
  <c r="F4243" i="4" s="1"/>
  <c r="D4259" i="4"/>
  <c r="F4259" i="4" s="1"/>
  <c r="D4275" i="4"/>
  <c r="F4275" i="4" s="1"/>
  <c r="D4291" i="4"/>
  <c r="F4291" i="4" s="1"/>
  <c r="D4307" i="4"/>
  <c r="F4307" i="4" s="1"/>
  <c r="D4323" i="4"/>
  <c r="F4323" i="4" s="1"/>
  <c r="D4392" i="4"/>
  <c r="F4392" i="4" s="1"/>
  <c r="D4395" i="4"/>
  <c r="F4395" i="4" s="1"/>
  <c r="D4408" i="4"/>
  <c r="F4408" i="4" s="1"/>
  <c r="D4411" i="4"/>
  <c r="F4411" i="4" s="1"/>
  <c r="D4424" i="4"/>
  <c r="F4424" i="4" s="1"/>
  <c r="D4427" i="4"/>
  <c r="F4427" i="4" s="1"/>
  <c r="D4440" i="4"/>
  <c r="F4440" i="4" s="1"/>
  <c r="D4443" i="4"/>
  <c r="F4443" i="4" s="1"/>
  <c r="D4456" i="4"/>
  <c r="F4456" i="4" s="1"/>
  <c r="D4459" i="4"/>
  <c r="F4459" i="4" s="1"/>
  <c r="D4472" i="4"/>
  <c r="F4472" i="4" s="1"/>
  <c r="D4475" i="4"/>
  <c r="F4475" i="4" s="1"/>
  <c r="D4488" i="4"/>
  <c r="F4488" i="4" s="1"/>
  <c r="D4491" i="4"/>
  <c r="F4491" i="4" s="1"/>
  <c r="D4504" i="4"/>
  <c r="F4504" i="4" s="1"/>
  <c r="D4546" i="4"/>
  <c r="F4546" i="4" s="1"/>
  <c r="D4555" i="4"/>
  <c r="F4555" i="4" s="1"/>
  <c r="D4562" i="4"/>
  <c r="F4562" i="4" s="1"/>
  <c r="D4571" i="4"/>
  <c r="F4571" i="4" s="1"/>
  <c r="D4578" i="4"/>
  <c r="F4578" i="4" s="1"/>
  <c r="D4587" i="4"/>
  <c r="F4587" i="4" s="1"/>
  <c r="D4594" i="4"/>
  <c r="F4594" i="4" s="1"/>
  <c r="D4603" i="4"/>
  <c r="F4603" i="4" s="1"/>
  <c r="D4610" i="4"/>
  <c r="F4610" i="4" s="1"/>
  <c r="D4619" i="4"/>
  <c r="F4619" i="4" s="1"/>
  <c r="D4626" i="4"/>
  <c r="F4626" i="4" s="1"/>
  <c r="D4635" i="4"/>
  <c r="F4635" i="4" s="1"/>
  <c r="D4642" i="4"/>
  <c r="F4642" i="4" s="1"/>
  <c r="D4651" i="4"/>
  <c r="F4651" i="4" s="1"/>
  <c r="D4653" i="4"/>
  <c r="F4653" i="4" s="1"/>
  <c r="D4655" i="4"/>
  <c r="F4655" i="4" s="1"/>
  <c r="D4657" i="4"/>
  <c r="F4657" i="4" s="1"/>
  <c r="D4659" i="4"/>
  <c r="F4659" i="4" s="1"/>
  <c r="D4661" i="4"/>
  <c r="F4661" i="4" s="1"/>
  <c r="D4663" i="4"/>
  <c r="F4663" i="4" s="1"/>
  <c r="D4665" i="4"/>
  <c r="F4665" i="4" s="1"/>
  <c r="D4667" i="4"/>
  <c r="F4667" i="4" s="1"/>
  <c r="D4669" i="4"/>
  <c r="F4669" i="4" s="1"/>
  <c r="D4671" i="4"/>
  <c r="F4671" i="4" s="1"/>
  <c r="D4673" i="4"/>
  <c r="F4673" i="4" s="1"/>
  <c r="D4675" i="4"/>
  <c r="F4675" i="4" s="1"/>
  <c r="D4677" i="4"/>
  <c r="F4677" i="4" s="1"/>
  <c r="D4679" i="4"/>
  <c r="F4679" i="4" s="1"/>
  <c r="D4681" i="4"/>
  <c r="F4681" i="4" s="1"/>
  <c r="D4683" i="4"/>
  <c r="F4683" i="4" s="1"/>
  <c r="D4685" i="4"/>
  <c r="F4685" i="4" s="1"/>
  <c r="D4687" i="4"/>
  <c r="F4687" i="4" s="1"/>
  <c r="D4689" i="4"/>
  <c r="F4689" i="4" s="1"/>
  <c r="D4691" i="4"/>
  <c r="F4691" i="4" s="1"/>
  <c r="D4693" i="4"/>
  <c r="F4693" i="4" s="1"/>
  <c r="D4695" i="4"/>
  <c r="F4695" i="4" s="1"/>
  <c r="D4697" i="4"/>
  <c r="F4697" i="4" s="1"/>
  <c r="D4699" i="4"/>
  <c r="F4699" i="4" s="1"/>
  <c r="D4701" i="4"/>
  <c r="F4701" i="4" s="1"/>
  <c r="D4703" i="4"/>
  <c r="F4703" i="4" s="1"/>
  <c r="D4705" i="4"/>
  <c r="F4705" i="4" s="1"/>
  <c r="D4707" i="4"/>
  <c r="F4707" i="4" s="1"/>
  <c r="D4709" i="4"/>
  <c r="F4709" i="4" s="1"/>
  <c r="D4711" i="4"/>
  <c r="F4711" i="4" s="1"/>
  <c r="D4713" i="4"/>
  <c r="F4713" i="4" s="1"/>
  <c r="D4715" i="4"/>
  <c r="F4715" i="4" s="1"/>
  <c r="D4717" i="4"/>
  <c r="F4717" i="4" s="1"/>
  <c r="D4719" i="4"/>
  <c r="F4719" i="4" s="1"/>
  <c r="D4721" i="4"/>
  <c r="F4721" i="4" s="1"/>
  <c r="D4723" i="4"/>
  <c r="F4723" i="4" s="1"/>
  <c r="D4725" i="4"/>
  <c r="F4725" i="4" s="1"/>
  <c r="D4727" i="4"/>
  <c r="F4727" i="4" s="1"/>
  <c r="D4729" i="4"/>
  <c r="F4729" i="4" s="1"/>
  <c r="D4731" i="4"/>
  <c r="F4731" i="4" s="1"/>
  <c r="D4733" i="4"/>
  <c r="F4733" i="4" s="1"/>
  <c r="D4735" i="4"/>
  <c r="F4735" i="4" s="1"/>
  <c r="D4737" i="4"/>
  <c r="F4737" i="4" s="1"/>
  <c r="D4739" i="4"/>
  <c r="F4739" i="4" s="1"/>
  <c r="D4741" i="4"/>
  <c r="F4741" i="4" s="1"/>
  <c r="D4743" i="4"/>
  <c r="F4743" i="4" s="1"/>
  <c r="D4745" i="4"/>
  <c r="F4745" i="4" s="1"/>
  <c r="D4747" i="4"/>
  <c r="F4747" i="4" s="1"/>
  <c r="D4749" i="4"/>
  <c r="F4749" i="4" s="1"/>
  <c r="D4751" i="4"/>
  <c r="F4751" i="4" s="1"/>
  <c r="D4753" i="4"/>
  <c r="F4753" i="4" s="1"/>
  <c r="D4755" i="4"/>
  <c r="F4755" i="4" s="1"/>
  <c r="D4757" i="4"/>
  <c r="F4757" i="4" s="1"/>
  <c r="D4759" i="4"/>
  <c r="F4759" i="4" s="1"/>
  <c r="D4761" i="4"/>
  <c r="F4761" i="4" s="1"/>
  <c r="D4763" i="4"/>
  <c r="F4763" i="4" s="1"/>
  <c r="D4765" i="4"/>
  <c r="F4765" i="4" s="1"/>
  <c r="D4767" i="4"/>
  <c r="F4767" i="4" s="1"/>
  <c r="D4769" i="4"/>
  <c r="F4769" i="4" s="1"/>
  <c r="D4771" i="4"/>
  <c r="F4771" i="4" s="1"/>
  <c r="D4773" i="4"/>
  <c r="F4773" i="4" s="1"/>
  <c r="D4775" i="4"/>
  <c r="F4775" i="4" s="1"/>
  <c r="D4777" i="4"/>
  <c r="F4777" i="4" s="1"/>
  <c r="D4779" i="4"/>
  <c r="F4779" i="4" s="1"/>
  <c r="D4781" i="4"/>
  <c r="F4781" i="4" s="1"/>
  <c r="D4783" i="4"/>
  <c r="F4783" i="4" s="1"/>
  <c r="D4785" i="4"/>
  <c r="F4785" i="4" s="1"/>
  <c r="D4789" i="4"/>
  <c r="F4789" i="4" s="1"/>
  <c r="D4791" i="4"/>
  <c r="F4791" i="4" s="1"/>
  <c r="D4793" i="4"/>
  <c r="F4793" i="4" s="1"/>
  <c r="D4795" i="4"/>
  <c r="F4795" i="4" s="1"/>
  <c r="D4797" i="4"/>
  <c r="F4797" i="4" s="1"/>
  <c r="D4799" i="4"/>
  <c r="F4799" i="4" s="1"/>
  <c r="D4801" i="4"/>
  <c r="F4801" i="4" s="1"/>
  <c r="D4803" i="4"/>
  <c r="F4803" i="4" s="1"/>
  <c r="D4807" i="4"/>
  <c r="F4807" i="4" s="1"/>
  <c r="D4811" i="4"/>
  <c r="F4811" i="4" s="1"/>
  <c r="D4815" i="4"/>
  <c r="F4815" i="4" s="1"/>
  <c r="D4819" i="4"/>
  <c r="F4819" i="4" s="1"/>
  <c r="D4823" i="4"/>
  <c r="F4823" i="4" s="1"/>
  <c r="D4827" i="4"/>
  <c r="F4827" i="4" s="1"/>
  <c r="D4831" i="4"/>
  <c r="F4831" i="4" s="1"/>
  <c r="D4835" i="4"/>
  <c r="F4835" i="4" s="1"/>
  <c r="D4839" i="4"/>
  <c r="F4839" i="4" s="1"/>
  <c r="D4845" i="4"/>
  <c r="F4845" i="4" s="1"/>
  <c r="D4849" i="4"/>
  <c r="F4849" i="4" s="1"/>
  <c r="D4853" i="4"/>
  <c r="F4853" i="4" s="1"/>
  <c r="D4857" i="4"/>
  <c r="F4857" i="4" s="1"/>
  <c r="D4861" i="4"/>
  <c r="F4861" i="4" s="1"/>
  <c r="D4865" i="4"/>
  <c r="F4865" i="4" s="1"/>
  <c r="D4869" i="4"/>
  <c r="F4869" i="4" s="1"/>
  <c r="D4875" i="4"/>
  <c r="F4875" i="4" s="1"/>
  <c r="D4879" i="4"/>
  <c r="F4879" i="4" s="1"/>
  <c r="D4883" i="4"/>
  <c r="F4883" i="4" s="1"/>
  <c r="D4887" i="4"/>
  <c r="F4887" i="4" s="1"/>
  <c r="D4893" i="4"/>
  <c r="F4893" i="4" s="1"/>
  <c r="D4897" i="4"/>
  <c r="F4897" i="4" s="1"/>
  <c r="D4901" i="4"/>
  <c r="F4901" i="4" s="1"/>
  <c r="D4905" i="4"/>
  <c r="F4905" i="4" s="1"/>
  <c r="D4909" i="4"/>
  <c r="F4909" i="4" s="1"/>
  <c r="D4913" i="4"/>
  <c r="F4913" i="4" s="1"/>
  <c r="D4917" i="4"/>
  <c r="F4917" i="4" s="1"/>
  <c r="D4921" i="4"/>
  <c r="F4921" i="4" s="1"/>
  <c r="D4925" i="4"/>
  <c r="F4925" i="4" s="1"/>
  <c r="D4929" i="4"/>
  <c r="F4929" i="4" s="1"/>
  <c r="D4935" i="4"/>
  <c r="F4935" i="4" s="1"/>
  <c r="D4939" i="4"/>
  <c r="F4939" i="4" s="1"/>
  <c r="D4943" i="4"/>
  <c r="F4943" i="4" s="1"/>
  <c r="D4947" i="4"/>
  <c r="F4947" i="4" s="1"/>
  <c r="D4951" i="4"/>
  <c r="F4951" i="4" s="1"/>
  <c r="D4955" i="4"/>
  <c r="F4955" i="4" s="1"/>
  <c r="D4957" i="4"/>
  <c r="F4957" i="4" s="1"/>
  <c r="D4961" i="4"/>
  <c r="F4961" i="4" s="1"/>
  <c r="D4965" i="4"/>
  <c r="F4965" i="4" s="1"/>
  <c r="D4969" i="4"/>
  <c r="F4969" i="4" s="1"/>
  <c r="D4973" i="4"/>
  <c r="F4973" i="4" s="1"/>
  <c r="D4977" i="4"/>
  <c r="F4977" i="4" s="1"/>
  <c r="D4981" i="4"/>
  <c r="F4981" i="4" s="1"/>
  <c r="D4985" i="4"/>
  <c r="F4985" i="4" s="1"/>
  <c r="D4989" i="4"/>
  <c r="F4989" i="4" s="1"/>
  <c r="D4993" i="4"/>
  <c r="F4993" i="4" s="1"/>
  <c r="D4999" i="4"/>
  <c r="F4999" i="4" s="1"/>
  <c r="D5003" i="4"/>
  <c r="F5003" i="4" s="1"/>
  <c r="D5007" i="4"/>
  <c r="F5007" i="4" s="1"/>
  <c r="D5011" i="4"/>
  <c r="F5011" i="4" s="1"/>
  <c r="D5015" i="4"/>
  <c r="F5015" i="4" s="1"/>
  <c r="D3554" i="4"/>
  <c r="F3554" i="4" s="1"/>
  <c r="D3975" i="4"/>
  <c r="F3975" i="4" s="1"/>
  <c r="D4059" i="4"/>
  <c r="F4059" i="4" s="1"/>
  <c r="D4219" i="4"/>
  <c r="F4219" i="4" s="1"/>
  <c r="D4283" i="4"/>
  <c r="F4283" i="4" s="1"/>
  <c r="D4315" i="4"/>
  <c r="F4315" i="4" s="1"/>
  <c r="D4435" i="4"/>
  <c r="F4435" i="4" s="1"/>
  <c r="D4602" i="4"/>
  <c r="F4602" i="4" s="1"/>
  <c r="D4618" i="4"/>
  <c r="F4618" i="4" s="1"/>
  <c r="D4658" i="4"/>
  <c r="F4658" i="4" s="1"/>
  <c r="D4668" i="4"/>
  <c r="F4668" i="4" s="1"/>
  <c r="D4678" i="4"/>
  <c r="F4678" i="4" s="1"/>
  <c r="D4688" i="4"/>
  <c r="F4688" i="4" s="1"/>
  <c r="D4698" i="4"/>
  <c r="F4698" i="4" s="1"/>
  <c r="D4708" i="4"/>
  <c r="F4708" i="4" s="1"/>
  <c r="D4718" i="4"/>
  <c r="F4718" i="4" s="1"/>
  <c r="D4728" i="4"/>
  <c r="F4728" i="4" s="1"/>
  <c r="D4738" i="4"/>
  <c r="F4738" i="4" s="1"/>
  <c r="D4748" i="4"/>
  <c r="F4748" i="4" s="1"/>
  <c r="D4756" i="4"/>
  <c r="F4756" i="4" s="1"/>
  <c r="D4764" i="4"/>
  <c r="F4764" i="4" s="1"/>
  <c r="D4774" i="4"/>
  <c r="F4774" i="4" s="1"/>
  <c r="D4784" i="4"/>
  <c r="F4784" i="4" s="1"/>
  <c r="D4794" i="4"/>
  <c r="F4794" i="4" s="1"/>
  <c r="D4804" i="4"/>
  <c r="F4804" i="4" s="1"/>
  <c r="D4814" i="4"/>
  <c r="F4814" i="4" s="1"/>
  <c r="D4824" i="4"/>
  <c r="F4824" i="4" s="1"/>
  <c r="D4836" i="4"/>
  <c r="F4836" i="4" s="1"/>
  <c r="D4846" i="4"/>
  <c r="F4846" i="4" s="1"/>
  <c r="D4856" i="4"/>
  <c r="F4856" i="4" s="1"/>
  <c r="D4868" i="4"/>
  <c r="F4868" i="4" s="1"/>
  <c r="D4878" i="4"/>
  <c r="F4878" i="4" s="1"/>
  <c r="D4888" i="4"/>
  <c r="F4888" i="4" s="1"/>
  <c r="D4898" i="4"/>
  <c r="F4898" i="4" s="1"/>
  <c r="D4910" i="4"/>
  <c r="F4910" i="4" s="1"/>
  <c r="D4920" i="4"/>
  <c r="F4920" i="4" s="1"/>
  <c r="D4930" i="4"/>
  <c r="F4930" i="4" s="1"/>
  <c r="D4940" i="4"/>
  <c r="F4940" i="4" s="1"/>
  <c r="D4950" i="4"/>
  <c r="F4950" i="4" s="1"/>
  <c r="D4960" i="4"/>
  <c r="F4960" i="4" s="1"/>
  <c r="D4970" i="4"/>
  <c r="F4970" i="4" s="1"/>
  <c r="D4980" i="4"/>
  <c r="F4980" i="4" s="1"/>
  <c r="D4990" i="4"/>
  <c r="F4990" i="4" s="1"/>
  <c r="D5002" i="4"/>
  <c r="F5002" i="4" s="1"/>
  <c r="D5012" i="4"/>
  <c r="F5012" i="4" s="1"/>
  <c r="D3983" i="4"/>
  <c r="F3983" i="4" s="1"/>
  <c r="D4257" i="4"/>
  <c r="F4257" i="4" s="1"/>
  <c r="D4353" i="4"/>
  <c r="F4353" i="4" s="1"/>
  <c r="D4373" i="4"/>
  <c r="F4373" i="4" s="1"/>
  <c r="D4429" i="4"/>
  <c r="F4429" i="4" s="1"/>
  <c r="D4477" i="4"/>
  <c r="F4477" i="4" s="1"/>
  <c r="D4493" i="4"/>
  <c r="F4493" i="4" s="1"/>
  <c r="D4527" i="4"/>
  <c r="F4527" i="4" s="1"/>
  <c r="D4625" i="4"/>
  <c r="F4625" i="4" s="1"/>
  <c r="D4641" i="4"/>
  <c r="F4641" i="4" s="1"/>
  <c r="D2691" i="4"/>
  <c r="F2691" i="4" s="1"/>
  <c r="D2847" i="4"/>
  <c r="F2847" i="4" s="1"/>
  <c r="D2889" i="4"/>
  <c r="F2889" i="4" s="1"/>
  <c r="D2983" i="4"/>
  <c r="F2983" i="4" s="1"/>
  <c r="D3113" i="4"/>
  <c r="F3113" i="4" s="1"/>
  <c r="D3148" i="4"/>
  <c r="F3148" i="4" s="1"/>
  <c r="D3228" i="4"/>
  <c r="F3228" i="4" s="1"/>
  <c r="D3260" i="4"/>
  <c r="F3260" i="4" s="1"/>
  <c r="D3324" i="4"/>
  <c r="F3324" i="4" s="1"/>
  <c r="D3383" i="4"/>
  <c r="F3383" i="4" s="1"/>
  <c r="D3584" i="4"/>
  <c r="F3584" i="4" s="1"/>
  <c r="D3624" i="4"/>
  <c r="F3624" i="4" s="1"/>
  <c r="D3704" i="4"/>
  <c r="F3704" i="4" s="1"/>
  <c r="D3762" i="4"/>
  <c r="F3762" i="4" s="1"/>
  <c r="D3775" i="4"/>
  <c r="F3775" i="4" s="1"/>
  <c r="D3827" i="4"/>
  <c r="F3827" i="4" s="1"/>
  <c r="D3843" i="4"/>
  <c r="F3843" i="4" s="1"/>
  <c r="D3860" i="4"/>
  <c r="F3860" i="4" s="1"/>
  <c r="D3900" i="4"/>
  <c r="F3900" i="4" s="1"/>
  <c r="D3916" i="4"/>
  <c r="F3916" i="4" s="1"/>
  <c r="D3980" i="4"/>
  <c r="F3980" i="4" s="1"/>
  <c r="D4015" i="4"/>
  <c r="F4015" i="4" s="1"/>
  <c r="D4025" i="4"/>
  <c r="F4025" i="4" s="1"/>
  <c r="D4041" i="4"/>
  <c r="F4041" i="4" s="1"/>
  <c r="D4057" i="4"/>
  <c r="F4057" i="4" s="1"/>
  <c r="D4073" i="4"/>
  <c r="F4073" i="4" s="1"/>
  <c r="D4089" i="4"/>
  <c r="F4089" i="4" s="1"/>
  <c r="D4105" i="4"/>
  <c r="F4105" i="4" s="1"/>
  <c r="D4121" i="4"/>
  <c r="F4121" i="4" s="1"/>
  <c r="D4137" i="4"/>
  <c r="F4137" i="4" s="1"/>
  <c r="D4153" i="4"/>
  <c r="F4153" i="4" s="1"/>
  <c r="D4169" i="4"/>
  <c r="F4169" i="4" s="1"/>
  <c r="D4185" i="4"/>
  <c r="F4185" i="4" s="1"/>
  <c r="D4201" i="4"/>
  <c r="F4201" i="4" s="1"/>
  <c r="D4217" i="4"/>
  <c r="F4217" i="4" s="1"/>
  <c r="D4233" i="4"/>
  <c r="F4233" i="4" s="1"/>
  <c r="D4249" i="4"/>
  <c r="F4249" i="4" s="1"/>
  <c r="D4265" i="4"/>
  <c r="F4265" i="4" s="1"/>
  <c r="D4281" i="4"/>
  <c r="F4281" i="4" s="1"/>
  <c r="D4297" i="4"/>
  <c r="F4297" i="4" s="1"/>
  <c r="D4313" i="4"/>
  <c r="F4313" i="4" s="1"/>
  <c r="D4329" i="4"/>
  <c r="F4329" i="4" s="1"/>
  <c r="D4339" i="4"/>
  <c r="F4339" i="4" s="1"/>
  <c r="D4343" i="4"/>
  <c r="F4343" i="4" s="1"/>
  <c r="D4347" i="4"/>
  <c r="F4347" i="4" s="1"/>
  <c r="D4351" i="4"/>
  <c r="F4351" i="4" s="1"/>
  <c r="D4355" i="4"/>
  <c r="F4355" i="4" s="1"/>
  <c r="D4359" i="4"/>
  <c r="F4359" i="4" s="1"/>
  <c r="D4363" i="4"/>
  <c r="F4363" i="4" s="1"/>
  <c r="D4367" i="4"/>
  <c r="F4367" i="4" s="1"/>
  <c r="D4371" i="4"/>
  <c r="F4371" i="4" s="1"/>
  <c r="D4375" i="4"/>
  <c r="F4375" i="4" s="1"/>
  <c r="D4379" i="4"/>
  <c r="F4379" i="4" s="1"/>
  <c r="D4386" i="4"/>
  <c r="F4386" i="4" s="1"/>
  <c r="D4389" i="4"/>
  <c r="F4389" i="4" s="1"/>
  <c r="D4402" i="4"/>
  <c r="F4402" i="4" s="1"/>
  <c r="D4405" i="4"/>
  <c r="F4405" i="4" s="1"/>
  <c r="D4418" i="4"/>
  <c r="F4418" i="4" s="1"/>
  <c r="D4421" i="4"/>
  <c r="F4421" i="4" s="1"/>
  <c r="D4434" i="4"/>
  <c r="F4434" i="4" s="1"/>
  <c r="D4437" i="4"/>
  <c r="F4437" i="4" s="1"/>
  <c r="D4450" i="4"/>
  <c r="F4450" i="4" s="1"/>
  <c r="D4453" i="4"/>
  <c r="F4453" i="4" s="1"/>
  <c r="D4466" i="4"/>
  <c r="F4466" i="4" s="1"/>
  <c r="D4469" i="4"/>
  <c r="F4469" i="4" s="1"/>
  <c r="D4482" i="4"/>
  <c r="F4482" i="4" s="1"/>
  <c r="D4485" i="4"/>
  <c r="F4485" i="4" s="1"/>
  <c r="D4498" i="4"/>
  <c r="F4498" i="4" s="1"/>
  <c r="D4501" i="4"/>
  <c r="F4501" i="4" s="1"/>
  <c r="D4507" i="4"/>
  <c r="F4507" i="4" s="1"/>
  <c r="D4510" i="4"/>
  <c r="F4510" i="4" s="1"/>
  <c r="D4515" i="4"/>
  <c r="F4515" i="4" s="1"/>
  <c r="D4518" i="4"/>
  <c r="F4518" i="4" s="1"/>
  <c r="D4523" i="4"/>
  <c r="F4523" i="4" s="1"/>
  <c r="D4526" i="4"/>
  <c r="F4526" i="4" s="1"/>
  <c r="D4531" i="4"/>
  <c r="F4531" i="4" s="1"/>
  <c r="D4534" i="4"/>
  <c r="F4534" i="4" s="1"/>
  <c r="D4539" i="4"/>
  <c r="F4539" i="4" s="1"/>
  <c r="D4544" i="4"/>
  <c r="F4544" i="4" s="1"/>
  <c r="D4553" i="4"/>
  <c r="F4553" i="4" s="1"/>
  <c r="D4560" i="4"/>
  <c r="F4560" i="4" s="1"/>
  <c r="D4569" i="4"/>
  <c r="F4569" i="4" s="1"/>
  <c r="D4576" i="4"/>
  <c r="F4576" i="4" s="1"/>
  <c r="D4585" i="4"/>
  <c r="F4585" i="4" s="1"/>
  <c r="D4592" i="4"/>
  <c r="F4592" i="4" s="1"/>
  <c r="D4601" i="4"/>
  <c r="F4601" i="4" s="1"/>
  <c r="D4608" i="4"/>
  <c r="F4608" i="4" s="1"/>
  <c r="D4617" i="4"/>
  <c r="F4617" i="4" s="1"/>
  <c r="D4624" i="4"/>
  <c r="F4624" i="4" s="1"/>
  <c r="D4633" i="4"/>
  <c r="F4633" i="4" s="1"/>
  <c r="D4640" i="4"/>
  <c r="F4640" i="4" s="1"/>
  <c r="D4649" i="4"/>
  <c r="F4649" i="4" s="1"/>
  <c r="D3810" i="4"/>
  <c r="F3810" i="4" s="1"/>
  <c r="D4075" i="4"/>
  <c r="F4075" i="4" s="1"/>
  <c r="D4123" i="4"/>
  <c r="F4123" i="4" s="1"/>
  <c r="D4235" i="4"/>
  <c r="F4235" i="4" s="1"/>
  <c r="D4432" i="4"/>
  <c r="F4432" i="4" s="1"/>
  <c r="D4483" i="4"/>
  <c r="F4483" i="4" s="1"/>
  <c r="D4650" i="4"/>
  <c r="F4650" i="4" s="1"/>
  <c r="D4662" i="4"/>
  <c r="F4662" i="4" s="1"/>
  <c r="D4672" i="4"/>
  <c r="F4672" i="4" s="1"/>
  <c r="D4680" i="4"/>
  <c r="F4680" i="4" s="1"/>
  <c r="D4690" i="4"/>
  <c r="F4690" i="4" s="1"/>
  <c r="D4700" i="4"/>
  <c r="F4700" i="4" s="1"/>
  <c r="D4710" i="4"/>
  <c r="F4710" i="4" s="1"/>
  <c r="D4720" i="4"/>
  <c r="F4720" i="4" s="1"/>
  <c r="D4730" i="4"/>
  <c r="F4730" i="4" s="1"/>
  <c r="D4744" i="4"/>
  <c r="F4744" i="4" s="1"/>
  <c r="D4754" i="4"/>
  <c r="F4754" i="4" s="1"/>
  <c r="D4766" i="4"/>
  <c r="F4766" i="4" s="1"/>
  <c r="D4776" i="4"/>
  <c r="F4776" i="4" s="1"/>
  <c r="D4786" i="4"/>
  <c r="F4786" i="4" s="1"/>
  <c r="D4798" i="4"/>
  <c r="F4798" i="4" s="1"/>
  <c r="D4808" i="4"/>
  <c r="F4808" i="4" s="1"/>
  <c r="D4818" i="4"/>
  <c r="F4818" i="4" s="1"/>
  <c r="D4828" i="4"/>
  <c r="F4828" i="4" s="1"/>
  <c r="D4838" i="4"/>
  <c r="F4838" i="4" s="1"/>
  <c r="D4848" i="4"/>
  <c r="F4848" i="4" s="1"/>
  <c r="D4858" i="4"/>
  <c r="F4858" i="4" s="1"/>
  <c r="D4866" i="4"/>
  <c r="F4866" i="4" s="1"/>
  <c r="D4876" i="4"/>
  <c r="F4876" i="4" s="1"/>
  <c r="D4886" i="4"/>
  <c r="F4886" i="4" s="1"/>
  <c r="D4896" i="4"/>
  <c r="F4896" i="4" s="1"/>
  <c r="D4906" i="4"/>
  <c r="F4906" i="4" s="1"/>
  <c r="D4916" i="4"/>
  <c r="F4916" i="4" s="1"/>
  <c r="D4928" i="4"/>
  <c r="F4928" i="4" s="1"/>
  <c r="D4938" i="4"/>
  <c r="F4938" i="4" s="1"/>
  <c r="D4946" i="4"/>
  <c r="F4946" i="4" s="1"/>
  <c r="D4956" i="4"/>
  <c r="F4956" i="4" s="1"/>
  <c r="D4966" i="4"/>
  <c r="F4966" i="4" s="1"/>
  <c r="D4976" i="4"/>
  <c r="F4976" i="4" s="1"/>
  <c r="D4986" i="4"/>
  <c r="F4986" i="4" s="1"/>
  <c r="D4996" i="4"/>
  <c r="F4996" i="4" s="1"/>
  <c r="D5006" i="4"/>
  <c r="F5006" i="4" s="1"/>
  <c r="D4241" i="4"/>
  <c r="F4241" i="4" s="1"/>
  <c r="D4337" i="4"/>
  <c r="F4337" i="4" s="1"/>
  <c r="D4369" i="4"/>
  <c r="F4369" i="4" s="1"/>
  <c r="D4394" i="4"/>
  <c r="F4394" i="4" s="1"/>
  <c r="D4514" i="4"/>
  <c r="F4514" i="4" s="1"/>
  <c r="D4530" i="4"/>
  <c r="F4530" i="4" s="1"/>
  <c r="D4545" i="4"/>
  <c r="F4545" i="4" s="1"/>
  <c r="D4561" i="4"/>
  <c r="F4561" i="4" s="1"/>
  <c r="D4577" i="4"/>
  <c r="F4577" i="4" s="1"/>
  <c r="D4616" i="4"/>
  <c r="F4616" i="4" s="1"/>
  <c r="D4632" i="4"/>
  <c r="F4632" i="4" s="1"/>
  <c r="D4648" i="4"/>
  <c r="F4648" i="4" s="1"/>
  <c r="D2798" i="4"/>
  <c r="F2798" i="4" s="1"/>
  <c r="D2903" i="4"/>
  <c r="F2903" i="4" s="1"/>
  <c r="D2985" i="4"/>
  <c r="F2985" i="4" s="1"/>
  <c r="D3116" i="4"/>
  <c r="F3116" i="4" s="1"/>
  <c r="D3268" i="4"/>
  <c r="F3268" i="4" s="1"/>
  <c r="D3325" i="4"/>
  <c r="F3325" i="4" s="1"/>
  <c r="D3385" i="4"/>
  <c r="F3385" i="4" s="1"/>
  <c r="D3449" i="4"/>
  <c r="F3449" i="4" s="1"/>
  <c r="D3477" i="4"/>
  <c r="F3477" i="4" s="1"/>
  <c r="D3532" i="4"/>
  <c r="F3532" i="4" s="1"/>
  <c r="D3568" i="4"/>
  <c r="F3568" i="4" s="1"/>
  <c r="D3663" i="4"/>
  <c r="F3663" i="4" s="1"/>
  <c r="D3720" i="4"/>
  <c r="F3720" i="4" s="1"/>
  <c r="D3778" i="4"/>
  <c r="F3778" i="4" s="1"/>
  <c r="D3791" i="4"/>
  <c r="F3791" i="4" s="1"/>
  <c r="D3836" i="4"/>
  <c r="F3836" i="4" s="1"/>
  <c r="D3852" i="4"/>
  <c r="F3852" i="4" s="1"/>
  <c r="D3918" i="4"/>
  <c r="F3918" i="4" s="1"/>
  <c r="D3958" i="4"/>
  <c r="F3958" i="4" s="1"/>
  <c r="D3973" i="4"/>
  <c r="F3973" i="4" s="1"/>
  <c r="D3988" i="4"/>
  <c r="F3988" i="4" s="1"/>
  <c r="D4031" i="4"/>
  <c r="F4031" i="4" s="1"/>
  <c r="D4047" i="4"/>
  <c r="F4047" i="4" s="1"/>
  <c r="D4063" i="4"/>
  <c r="F4063" i="4" s="1"/>
  <c r="D4079" i="4"/>
  <c r="F4079" i="4" s="1"/>
  <c r="D4095" i="4"/>
  <c r="F4095" i="4" s="1"/>
  <c r="D4111" i="4"/>
  <c r="F4111" i="4" s="1"/>
  <c r="D4127" i="4"/>
  <c r="F4127" i="4" s="1"/>
  <c r="D4143" i="4"/>
  <c r="F4143" i="4" s="1"/>
  <c r="D4159" i="4"/>
  <c r="F4159" i="4" s="1"/>
  <c r="D4175" i="4"/>
  <c r="F4175" i="4" s="1"/>
  <c r="D4191" i="4"/>
  <c r="F4191" i="4" s="1"/>
  <c r="D4207" i="4"/>
  <c r="F4207" i="4" s="1"/>
  <c r="D4223" i="4"/>
  <c r="F4223" i="4" s="1"/>
  <c r="D4239" i="4"/>
  <c r="F4239" i="4" s="1"/>
  <c r="D4255" i="4"/>
  <c r="F4255" i="4" s="1"/>
  <c r="D4271" i="4"/>
  <c r="F4271" i="4" s="1"/>
  <c r="D4287" i="4"/>
  <c r="F4287" i="4" s="1"/>
  <c r="D4303" i="4"/>
  <c r="F4303" i="4" s="1"/>
  <c r="D4319" i="4"/>
  <c r="F4319" i="4" s="1"/>
  <c r="D4335" i="4"/>
  <c r="F4335" i="4" s="1"/>
  <c r="D4383" i="4"/>
  <c r="F4383" i="4" s="1"/>
  <c r="D4396" i="4"/>
  <c r="F4396" i="4" s="1"/>
  <c r="D4399" i="4"/>
  <c r="F4399" i="4" s="1"/>
  <c r="D4412" i="4"/>
  <c r="F4412" i="4" s="1"/>
  <c r="D4415" i="4"/>
  <c r="F4415" i="4" s="1"/>
  <c r="D4428" i="4"/>
  <c r="F4428" i="4" s="1"/>
  <c r="D4431" i="4"/>
  <c r="F4431" i="4" s="1"/>
  <c r="D4444" i="4"/>
  <c r="F4444" i="4" s="1"/>
  <c r="D4447" i="4"/>
  <c r="F4447" i="4" s="1"/>
  <c r="D4460" i="4"/>
  <c r="F4460" i="4" s="1"/>
  <c r="D4463" i="4"/>
  <c r="F4463" i="4" s="1"/>
  <c r="D4476" i="4"/>
  <c r="F4476" i="4" s="1"/>
  <c r="D4479" i="4"/>
  <c r="F4479" i="4" s="1"/>
  <c r="D4492" i="4"/>
  <c r="F4492" i="4" s="1"/>
  <c r="D4495" i="4"/>
  <c r="F4495" i="4" s="1"/>
  <c r="D4542" i="4"/>
  <c r="F4542" i="4" s="1"/>
  <c r="D4551" i="4"/>
  <c r="F4551" i="4" s="1"/>
  <c r="D4558" i="4"/>
  <c r="F4558" i="4" s="1"/>
  <c r="D4567" i="4"/>
  <c r="F4567" i="4" s="1"/>
  <c r="D4574" i="4"/>
  <c r="F4574" i="4" s="1"/>
  <c r="D4583" i="4"/>
  <c r="F4583" i="4" s="1"/>
  <c r="D4590" i="4"/>
  <c r="F4590" i="4" s="1"/>
  <c r="D4599" i="4"/>
  <c r="F4599" i="4" s="1"/>
  <c r="D4606" i="4"/>
  <c r="F4606" i="4" s="1"/>
  <c r="D4615" i="4"/>
  <c r="F4615" i="4" s="1"/>
  <c r="D4622" i="4"/>
  <c r="F4622" i="4" s="1"/>
  <c r="D4631" i="4"/>
  <c r="F4631" i="4" s="1"/>
  <c r="D4638" i="4"/>
  <c r="F4638" i="4" s="1"/>
  <c r="D4647" i="4"/>
  <c r="F4647" i="4" s="1"/>
  <c r="D2864" i="4"/>
  <c r="F2864" i="4" s="1"/>
  <c r="D3515" i="4"/>
  <c r="F3515" i="4" s="1"/>
  <c r="D3830" i="4"/>
  <c r="F3830" i="4" s="1"/>
  <c r="D3863" i="4"/>
  <c r="F3863" i="4" s="1"/>
  <c r="D3903" i="4"/>
  <c r="F3903" i="4" s="1"/>
  <c r="D4251" i="4"/>
  <c r="F4251" i="4" s="1"/>
  <c r="D4403" i="4"/>
  <c r="F4403" i="4" s="1"/>
  <c r="D4547" i="4"/>
  <c r="F4547" i="4" s="1"/>
  <c r="D4627" i="4"/>
  <c r="F4627" i="4" s="1"/>
  <c r="D4643" i="4"/>
  <c r="F4643" i="4" s="1"/>
  <c r="D4654" i="4"/>
  <c r="F4654" i="4" s="1"/>
  <c r="D4664" i="4"/>
  <c r="F4664" i="4" s="1"/>
  <c r="D4674" i="4"/>
  <c r="F4674" i="4" s="1"/>
  <c r="D4684" i="4"/>
  <c r="F4684" i="4" s="1"/>
  <c r="D4694" i="4"/>
  <c r="F4694" i="4" s="1"/>
  <c r="D4702" i="4"/>
  <c r="F4702" i="4" s="1"/>
  <c r="D4712" i="4"/>
  <c r="F4712" i="4" s="1"/>
  <c r="D4722" i="4"/>
  <c r="F4722" i="4" s="1"/>
  <c r="D4732" i="4"/>
  <c r="F4732" i="4" s="1"/>
  <c r="D4740" i="4"/>
  <c r="F4740" i="4" s="1"/>
  <c r="D4750" i="4"/>
  <c r="F4750" i="4" s="1"/>
  <c r="D4760" i="4"/>
  <c r="F4760" i="4" s="1"/>
  <c r="D4770" i="4"/>
  <c r="F4770" i="4" s="1"/>
  <c r="D4780" i="4"/>
  <c r="F4780" i="4" s="1"/>
  <c r="D4788" i="4"/>
  <c r="F4788" i="4" s="1"/>
  <c r="D4796" i="4"/>
  <c r="F4796" i="4" s="1"/>
  <c r="D4806" i="4"/>
  <c r="F4806" i="4" s="1"/>
  <c r="D4816" i="4"/>
  <c r="F4816" i="4" s="1"/>
  <c r="D4826" i="4"/>
  <c r="F4826" i="4" s="1"/>
  <c r="D4834" i="4"/>
  <c r="F4834" i="4" s="1"/>
  <c r="D4842" i="4"/>
  <c r="F4842" i="4" s="1"/>
  <c r="D4850" i="4"/>
  <c r="F4850" i="4" s="1"/>
  <c r="D4860" i="4"/>
  <c r="F4860" i="4" s="1"/>
  <c r="D4870" i="4"/>
  <c r="F4870" i="4" s="1"/>
  <c r="D4880" i="4"/>
  <c r="F4880" i="4" s="1"/>
  <c r="D4890" i="4"/>
  <c r="F4890" i="4" s="1"/>
  <c r="D4900" i="4"/>
  <c r="F4900" i="4" s="1"/>
  <c r="D4908" i="4"/>
  <c r="F4908" i="4" s="1"/>
  <c r="D4918" i="4"/>
  <c r="F4918" i="4" s="1"/>
  <c r="D4926" i="4"/>
  <c r="F4926" i="4" s="1"/>
  <c r="D4936" i="4"/>
  <c r="F4936" i="4" s="1"/>
  <c r="D4948" i="4"/>
  <c r="F4948" i="4" s="1"/>
  <c r="D4958" i="4"/>
  <c r="F4958" i="4" s="1"/>
  <c r="D4968" i="4"/>
  <c r="F4968" i="4" s="1"/>
  <c r="D4978" i="4"/>
  <c r="F4978" i="4" s="1"/>
  <c r="D4988" i="4"/>
  <c r="F4988" i="4" s="1"/>
  <c r="D4998" i="4"/>
  <c r="F4998" i="4" s="1"/>
  <c r="D5008" i="4"/>
  <c r="F5008" i="4" s="1"/>
  <c r="D2958" i="4"/>
  <c r="F2958" i="4" s="1"/>
  <c r="D3129" i="4"/>
  <c r="F3129" i="4" s="1"/>
  <c r="D3487" i="4"/>
  <c r="F3487" i="4" s="1"/>
  <c r="D3711" i="4"/>
  <c r="F3711" i="4" s="1"/>
  <c r="D3768" i="4"/>
  <c r="F3768" i="4" s="1"/>
  <c r="D3839" i="4"/>
  <c r="F3839" i="4" s="1"/>
  <c r="D3888" i="4"/>
  <c r="F3888" i="4" s="1"/>
  <c r="D3961" i="4"/>
  <c r="F3961" i="4" s="1"/>
  <c r="D4049" i="4"/>
  <c r="F4049" i="4" s="1"/>
  <c r="D4081" i="4"/>
  <c r="F4081" i="4" s="1"/>
  <c r="D4113" i="4"/>
  <c r="F4113" i="4" s="1"/>
  <c r="D4145" i="4"/>
  <c r="F4145" i="4" s="1"/>
  <c r="D4193" i="4"/>
  <c r="F4193" i="4" s="1"/>
  <c r="D4273" i="4"/>
  <c r="F4273" i="4" s="1"/>
  <c r="D4305" i="4"/>
  <c r="F4305" i="4" s="1"/>
  <c r="D4349" i="4"/>
  <c r="F4349" i="4" s="1"/>
  <c r="D4365" i="4"/>
  <c r="F4365" i="4" s="1"/>
  <c r="D4410" i="4"/>
  <c r="F4410" i="4" s="1"/>
  <c r="D4426" i="4"/>
  <c r="F4426" i="4" s="1"/>
  <c r="D4442" i="4"/>
  <c r="F4442" i="4" s="1"/>
  <c r="D4458" i="4"/>
  <c r="F4458" i="4" s="1"/>
  <c r="D4474" i="4"/>
  <c r="F4474" i="4" s="1"/>
  <c r="D4490" i="4"/>
  <c r="F4490" i="4" s="1"/>
  <c r="D4506" i="4"/>
  <c r="F4506" i="4" s="1"/>
  <c r="D4522" i="4"/>
  <c r="F4522" i="4" s="1"/>
  <c r="D4538" i="4"/>
  <c r="F4538" i="4" s="1"/>
  <c r="D4568" i="4"/>
  <c r="F4568" i="4" s="1"/>
  <c r="D4593" i="4"/>
  <c r="F4593" i="4" s="1"/>
  <c r="D4609" i="4"/>
  <c r="F4609" i="4" s="1"/>
  <c r="D2699" i="4"/>
  <c r="F2699" i="4" s="1"/>
  <c r="D2854" i="4"/>
  <c r="F2854" i="4" s="1"/>
  <c r="D2952" i="4"/>
  <c r="F2952" i="4" s="1"/>
  <c r="D2989" i="4"/>
  <c r="F2989" i="4" s="1"/>
  <c r="D3034" i="4"/>
  <c r="F3034" i="4" s="1"/>
  <c r="D3359" i="4"/>
  <c r="F3359" i="4" s="1"/>
  <c r="D3570" i="4"/>
  <c r="F3570" i="4" s="1"/>
  <c r="D3610" i="4"/>
  <c r="F3610" i="4" s="1"/>
  <c r="D3647" i="4"/>
  <c r="F3647" i="4" s="1"/>
  <c r="D3666" i="4"/>
  <c r="F3666" i="4" s="1"/>
  <c r="D3679" i="4"/>
  <c r="F3679" i="4" s="1"/>
  <c r="D3736" i="4"/>
  <c r="F3736" i="4" s="1"/>
  <c r="D3794" i="4"/>
  <c r="F3794" i="4" s="1"/>
  <c r="D3807" i="4"/>
  <c r="F3807" i="4" s="1"/>
  <c r="D3854" i="4"/>
  <c r="F3854" i="4" s="1"/>
  <c r="D3894" i="4"/>
  <c r="F3894" i="4" s="1"/>
  <c r="D3910" i="4"/>
  <c r="F3910" i="4" s="1"/>
  <c r="D3927" i="4"/>
  <c r="F3927" i="4" s="1"/>
  <c r="D3967" i="4"/>
  <c r="F3967" i="4" s="1"/>
  <c r="D3981" i="4"/>
  <c r="F3981" i="4" s="1"/>
  <c r="D3996" i="4"/>
  <c r="F3996" i="4" s="1"/>
  <c r="D4021" i="4"/>
  <c r="F4021" i="4" s="1"/>
  <c r="D4037" i="4"/>
  <c r="F4037" i="4" s="1"/>
  <c r="D4053" i="4"/>
  <c r="F4053" i="4" s="1"/>
  <c r="D4069" i="4"/>
  <c r="F4069" i="4" s="1"/>
  <c r="D4085" i="4"/>
  <c r="F4085" i="4" s="1"/>
  <c r="D4101" i="4"/>
  <c r="F4101" i="4" s="1"/>
  <c r="D4117" i="4"/>
  <c r="F4117" i="4" s="1"/>
  <c r="D4133" i="4"/>
  <c r="F4133" i="4" s="1"/>
  <c r="D4149" i="4"/>
  <c r="F4149" i="4" s="1"/>
  <c r="D4165" i="4"/>
  <c r="F4165" i="4" s="1"/>
  <c r="D4181" i="4"/>
  <c r="F4181" i="4" s="1"/>
  <c r="D4197" i="4"/>
  <c r="F4197" i="4" s="1"/>
  <c r="D4213" i="4"/>
  <c r="F4213" i="4" s="1"/>
  <c r="D4229" i="4"/>
  <c r="F4229" i="4" s="1"/>
  <c r="D4245" i="4"/>
  <c r="F4245" i="4" s="1"/>
  <c r="D4261" i="4"/>
  <c r="F4261" i="4" s="1"/>
  <c r="D4277" i="4"/>
  <c r="F4277" i="4" s="1"/>
  <c r="D4293" i="4"/>
  <c r="F4293" i="4" s="1"/>
  <c r="D4309" i="4"/>
  <c r="F4309" i="4" s="1"/>
  <c r="D4325" i="4"/>
  <c r="F4325" i="4" s="1"/>
  <c r="D4340" i="4"/>
  <c r="F4340" i="4" s="1"/>
  <c r="D4344" i="4"/>
  <c r="F4344" i="4" s="1"/>
  <c r="D4348" i="4"/>
  <c r="F4348" i="4" s="1"/>
  <c r="D4352" i="4"/>
  <c r="F4352" i="4" s="1"/>
  <c r="D4356" i="4"/>
  <c r="F4356" i="4" s="1"/>
  <c r="D4360" i="4"/>
  <c r="F4360" i="4" s="1"/>
  <c r="D4364" i="4"/>
  <c r="F4364" i="4" s="1"/>
  <c r="D4368" i="4"/>
  <c r="F4368" i="4" s="1"/>
  <c r="D4372" i="4"/>
  <c r="F4372" i="4" s="1"/>
  <c r="D4376" i="4"/>
  <c r="F4376" i="4" s="1"/>
  <c r="D4380" i="4"/>
  <c r="F4380" i="4" s="1"/>
  <c r="D4390" i="4"/>
  <c r="F4390" i="4" s="1"/>
  <c r="D4393" i="4"/>
  <c r="F4393" i="4" s="1"/>
  <c r="D4406" i="4"/>
  <c r="F4406" i="4" s="1"/>
  <c r="D4409" i="4"/>
  <c r="F4409" i="4" s="1"/>
  <c r="D4422" i="4"/>
  <c r="F4422" i="4" s="1"/>
  <c r="D4425" i="4"/>
  <c r="F4425" i="4" s="1"/>
  <c r="D4438" i="4"/>
  <c r="F4438" i="4" s="1"/>
  <c r="D4441" i="4"/>
  <c r="F4441" i="4" s="1"/>
  <c r="D4454" i="4"/>
  <c r="F4454" i="4" s="1"/>
  <c r="D4457" i="4"/>
  <c r="F4457" i="4" s="1"/>
  <c r="D4470" i="4"/>
  <c r="F4470" i="4" s="1"/>
  <c r="D4473" i="4"/>
  <c r="F4473" i="4" s="1"/>
  <c r="D4486" i="4"/>
  <c r="F4486" i="4" s="1"/>
  <c r="D4489" i="4"/>
  <c r="F4489" i="4" s="1"/>
  <c r="D4502" i="4"/>
  <c r="F4502" i="4" s="1"/>
  <c r="D4505" i="4"/>
  <c r="F4505" i="4" s="1"/>
  <c r="D4508" i="4"/>
  <c r="F4508" i="4" s="1"/>
  <c r="D4513" i="4"/>
  <c r="F4513" i="4" s="1"/>
  <c r="D4516" i="4"/>
  <c r="F4516" i="4" s="1"/>
  <c r="D4521" i="4"/>
  <c r="F4521" i="4" s="1"/>
  <c r="D4524" i="4"/>
  <c r="F4524" i="4" s="1"/>
  <c r="D4529" i="4"/>
  <c r="F4529" i="4" s="1"/>
  <c r="D4532" i="4"/>
  <c r="F4532" i="4" s="1"/>
  <c r="D4537" i="4"/>
  <c r="F4537" i="4" s="1"/>
  <c r="D4540" i="4"/>
  <c r="F4540" i="4" s="1"/>
  <c r="D4549" i="4"/>
  <c r="F4549" i="4" s="1"/>
  <c r="D4556" i="4"/>
  <c r="F4556" i="4" s="1"/>
  <c r="D4565" i="4"/>
  <c r="F4565" i="4" s="1"/>
  <c r="D4572" i="4"/>
  <c r="F4572" i="4" s="1"/>
  <c r="D4581" i="4"/>
  <c r="F4581" i="4" s="1"/>
  <c r="D4588" i="4"/>
  <c r="F4588" i="4" s="1"/>
  <c r="D4597" i="4"/>
  <c r="F4597" i="4" s="1"/>
  <c r="D4604" i="4"/>
  <c r="F4604" i="4" s="1"/>
  <c r="D4613" i="4"/>
  <c r="F4613" i="4" s="1"/>
  <c r="D4620" i="4"/>
  <c r="F4620" i="4" s="1"/>
  <c r="D4629" i="4"/>
  <c r="F4629" i="4" s="1"/>
  <c r="D4636" i="4"/>
  <c r="F4636" i="4" s="1"/>
  <c r="D4645" i="4"/>
  <c r="F4645" i="4" s="1"/>
  <c r="D3127" i="4"/>
  <c r="F3127" i="4" s="1"/>
  <c r="D3241" i="4"/>
  <c r="F3241" i="4" s="1"/>
  <c r="D3486" i="4"/>
  <c r="F3486" i="4" s="1"/>
  <c r="D3575" i="4"/>
  <c r="F3575" i="4" s="1"/>
  <c r="D3648" i="4"/>
  <c r="F3648" i="4" s="1"/>
  <c r="D3695" i="4"/>
  <c r="F3695" i="4" s="1"/>
  <c r="D3752" i="4"/>
  <c r="F3752" i="4" s="1"/>
  <c r="D3846" i="4"/>
  <c r="F3846" i="4" s="1"/>
  <c r="D3919" i="4"/>
  <c r="F3919" i="4" s="1"/>
  <c r="D3952" i="4"/>
  <c r="F3952" i="4" s="1"/>
  <c r="D3989" i="4"/>
  <c r="F3989" i="4" s="1"/>
  <c r="D4027" i="4"/>
  <c r="F4027" i="4" s="1"/>
  <c r="D4043" i="4"/>
  <c r="F4043" i="4" s="1"/>
  <c r="D4091" i="4"/>
  <c r="F4091" i="4" s="1"/>
  <c r="D4139" i="4"/>
  <c r="F4139" i="4" s="1"/>
  <c r="D4155" i="4"/>
  <c r="F4155" i="4" s="1"/>
  <c r="D4203" i="4"/>
  <c r="F4203" i="4" s="1"/>
  <c r="D4331" i="4"/>
  <c r="F4331" i="4" s="1"/>
  <c r="D4384" i="4"/>
  <c r="F4384" i="4" s="1"/>
  <c r="D4416" i="4"/>
  <c r="F4416" i="4" s="1"/>
  <c r="D4448" i="4"/>
  <c r="F4448" i="4" s="1"/>
  <c r="D4464" i="4"/>
  <c r="F4464" i="4" s="1"/>
  <c r="D4480" i="4"/>
  <c r="F4480" i="4" s="1"/>
  <c r="D4496" i="4"/>
  <c r="F4496" i="4" s="1"/>
  <c r="D4563" i="4"/>
  <c r="F4563" i="4" s="1"/>
  <c r="D4579" i="4"/>
  <c r="F4579" i="4" s="1"/>
  <c r="D4595" i="4"/>
  <c r="F4595" i="4" s="1"/>
  <c r="D4611" i="4"/>
  <c r="F4611" i="4" s="1"/>
  <c r="D4656" i="4"/>
  <c r="F4656" i="4" s="1"/>
  <c r="D4666" i="4"/>
  <c r="F4666" i="4" s="1"/>
  <c r="D4676" i="4"/>
  <c r="F4676" i="4" s="1"/>
  <c r="D4686" i="4"/>
  <c r="F4686" i="4" s="1"/>
  <c r="D4696" i="4"/>
  <c r="F4696" i="4" s="1"/>
  <c r="D4704" i="4"/>
  <c r="F4704" i="4" s="1"/>
  <c r="D4714" i="4"/>
  <c r="F4714" i="4" s="1"/>
  <c r="D4726" i="4"/>
  <c r="F4726" i="4" s="1"/>
  <c r="D4734" i="4"/>
  <c r="F4734" i="4" s="1"/>
  <c r="D4742" i="4"/>
  <c r="F4742" i="4" s="1"/>
  <c r="D4752" i="4"/>
  <c r="F4752" i="4" s="1"/>
  <c r="D4762" i="4"/>
  <c r="F4762" i="4" s="1"/>
  <c r="D4772" i="4"/>
  <c r="F4772" i="4" s="1"/>
  <c r="D4782" i="4"/>
  <c r="F4782" i="4" s="1"/>
  <c r="D4790" i="4"/>
  <c r="F4790" i="4" s="1"/>
  <c r="D4800" i="4"/>
  <c r="F4800" i="4" s="1"/>
  <c r="D4810" i="4"/>
  <c r="F4810" i="4" s="1"/>
  <c r="D4820" i="4"/>
  <c r="F4820" i="4" s="1"/>
  <c r="D4832" i="4"/>
  <c r="F4832" i="4" s="1"/>
  <c r="D4844" i="4"/>
  <c r="F4844" i="4" s="1"/>
  <c r="D4854" i="4"/>
  <c r="F4854" i="4" s="1"/>
  <c r="D4862" i="4"/>
  <c r="F4862" i="4" s="1"/>
  <c r="D4874" i="4"/>
  <c r="F4874" i="4" s="1"/>
  <c r="D4884" i="4"/>
  <c r="F4884" i="4" s="1"/>
  <c r="D4894" i="4"/>
  <c r="F4894" i="4" s="1"/>
  <c r="D4902" i="4"/>
  <c r="F4902" i="4" s="1"/>
  <c r="D4912" i="4"/>
  <c r="F4912" i="4" s="1"/>
  <c r="D4924" i="4"/>
  <c r="F4924" i="4" s="1"/>
  <c r="D4934" i="4"/>
  <c r="F4934" i="4" s="1"/>
  <c r="D4944" i="4"/>
  <c r="F4944" i="4" s="1"/>
  <c r="D4954" i="4"/>
  <c r="F4954" i="4" s="1"/>
  <c r="D4964" i="4"/>
  <c r="F4964" i="4" s="1"/>
  <c r="D4972" i="4"/>
  <c r="F4972" i="4" s="1"/>
  <c r="D4984" i="4"/>
  <c r="F4984" i="4" s="1"/>
  <c r="D4992" i="4"/>
  <c r="F4992" i="4" s="1"/>
  <c r="D5000" i="4"/>
  <c r="F5000" i="4" s="1"/>
  <c r="D5010" i="4"/>
  <c r="F5010" i="4" s="1"/>
  <c r="D2652" i="4"/>
  <c r="F2652" i="4" s="1"/>
  <c r="D3001" i="4"/>
  <c r="F3001" i="4" s="1"/>
  <c r="D3244" i="4"/>
  <c r="F3244" i="4" s="1"/>
  <c r="D3337" i="4"/>
  <c r="F3337" i="4" s="1"/>
  <c r="D3632" i="4"/>
  <c r="F3632" i="4" s="1"/>
  <c r="D3848" i="4"/>
  <c r="F3848" i="4" s="1"/>
  <c r="D3904" i="4"/>
  <c r="F3904" i="4" s="1"/>
  <c r="D3997" i="4"/>
  <c r="F3997" i="4" s="1"/>
  <c r="D4017" i="4"/>
  <c r="F4017" i="4" s="1"/>
  <c r="D4065" i="4"/>
  <c r="F4065" i="4" s="1"/>
  <c r="D4097" i="4"/>
  <c r="F4097" i="4" s="1"/>
  <c r="D4129" i="4"/>
  <c r="F4129" i="4" s="1"/>
  <c r="D4161" i="4"/>
  <c r="F4161" i="4" s="1"/>
  <c r="D4225" i="4"/>
  <c r="F4225" i="4" s="1"/>
  <c r="D4321" i="4"/>
  <c r="F4321" i="4" s="1"/>
  <c r="D4345" i="4"/>
  <c r="F4345" i="4" s="1"/>
  <c r="D4357" i="4"/>
  <c r="F4357" i="4" s="1"/>
  <c r="D4377" i="4"/>
  <c r="F4377" i="4" s="1"/>
  <c r="D4519" i="4"/>
  <c r="F4519" i="4" s="1"/>
  <c r="D4552" i="4"/>
  <c r="F4552" i="4" s="1"/>
  <c r="D4600" i="4"/>
  <c r="F4600" i="4" s="1"/>
  <c r="D2596" i="4"/>
  <c r="F2596" i="4" s="1"/>
  <c r="D3007" i="4"/>
  <c r="F3007" i="4" s="1"/>
  <c r="D4119" i="4"/>
  <c r="F4119" i="4" s="1"/>
  <c r="D4247" i="4"/>
  <c r="F4247" i="4" s="1"/>
  <c r="D4420" i="4"/>
  <c r="F4420" i="4" s="1"/>
  <c r="D4471" i="4"/>
  <c r="F4471" i="4" s="1"/>
  <c r="D4559" i="4"/>
  <c r="F4559" i="4" s="1"/>
  <c r="D4614" i="4"/>
  <c r="F4614" i="4" s="1"/>
  <c r="D3840" i="4"/>
  <c r="F3840" i="4" s="1"/>
  <c r="D4484" i="4"/>
  <c r="F4484" i="4" s="1"/>
  <c r="D4550" i="4"/>
  <c r="F4550" i="4" s="1"/>
  <c r="D4103" i="4"/>
  <c r="F4103" i="4" s="1"/>
  <c r="D4487" i="4"/>
  <c r="F4487" i="4" s="1"/>
  <c r="D3281" i="4"/>
  <c r="F3281" i="4" s="1"/>
  <c r="D4391" i="4"/>
  <c r="F4391" i="4" s="1"/>
  <c r="D4630" i="4"/>
  <c r="F4630" i="4" s="1"/>
  <c r="D2670" i="4"/>
  <c r="F2670" i="4" s="1"/>
  <c r="D3050" i="4"/>
  <c r="F3050" i="4" s="1"/>
  <c r="D3560" i="4"/>
  <c r="F3560" i="4" s="1"/>
  <c r="D4005" i="4"/>
  <c r="F4005" i="4" s="1"/>
  <c r="D4039" i="4"/>
  <c r="F4039" i="4" s="1"/>
  <c r="D4167" i="4"/>
  <c r="F4167" i="4" s="1"/>
  <c r="D4295" i="4"/>
  <c r="F4295" i="4" s="1"/>
  <c r="D4423" i="4"/>
  <c r="F4423" i="4" s="1"/>
  <c r="D4500" i="4"/>
  <c r="F4500" i="4" s="1"/>
  <c r="D4543" i="4"/>
  <c r="F4543" i="4" s="1"/>
  <c r="D4598" i="4"/>
  <c r="F4598" i="4" s="1"/>
  <c r="D2967" i="4"/>
  <c r="F2967" i="4" s="1"/>
  <c r="D3930" i="4"/>
  <c r="F3930" i="4" s="1"/>
  <c r="D4199" i="4"/>
  <c r="F4199" i="4" s="1"/>
  <c r="D3714" i="4"/>
  <c r="F3714" i="4" s="1"/>
  <c r="D3824" i="4"/>
  <c r="F3824" i="4" s="1"/>
  <c r="D4087" i="4"/>
  <c r="F4087" i="4" s="1"/>
  <c r="D4215" i="4"/>
  <c r="F4215" i="4" s="1"/>
  <c r="D4452" i="4"/>
  <c r="F4452" i="4" s="1"/>
  <c r="D4503" i="4"/>
  <c r="F4503" i="4" s="1"/>
  <c r="D4582" i="4"/>
  <c r="F4582" i="4" s="1"/>
  <c r="D2871" i="4"/>
  <c r="F2871" i="4" s="1"/>
  <c r="D3634" i="4"/>
  <c r="F3634" i="4" s="1"/>
  <c r="D3913" i="4"/>
  <c r="F3913" i="4" s="1"/>
  <c r="D4607" i="4"/>
  <c r="F4607" i="4" s="1"/>
  <c r="D3518" i="4"/>
  <c r="F3518" i="4" s="1"/>
  <c r="D3784" i="4"/>
  <c r="F3784" i="4" s="1"/>
  <c r="D3991" i="4"/>
  <c r="F3991" i="4" s="1"/>
  <c r="D4575" i="4"/>
  <c r="F4575" i="4" s="1"/>
  <c r="D3727" i="4"/>
  <c r="F3727" i="4" s="1"/>
  <c r="D3897" i="4"/>
  <c r="F3897" i="4" s="1"/>
  <c r="D4135" i="4"/>
  <c r="F4135" i="4" s="1"/>
  <c r="D4263" i="4"/>
  <c r="F4263" i="4" s="1"/>
  <c r="D4404" i="4"/>
  <c r="F4404" i="4" s="1"/>
  <c r="D4455" i="4"/>
  <c r="F4455" i="4" s="1"/>
  <c r="D4566" i="4"/>
  <c r="F4566" i="4" s="1"/>
  <c r="D4639" i="4"/>
  <c r="F4639" i="4" s="1"/>
  <c r="D4055" i="4"/>
  <c r="F4055" i="4" s="1"/>
  <c r="D4183" i="4"/>
  <c r="F4183" i="4" s="1"/>
  <c r="D4311" i="4"/>
  <c r="F4311" i="4" s="1"/>
  <c r="D4407" i="4"/>
  <c r="F4407" i="4" s="1"/>
  <c r="D4623" i="4"/>
  <c r="F4623" i="4" s="1"/>
  <c r="D3462" i="4"/>
  <c r="F3462" i="4" s="1"/>
  <c r="D4231" i="4"/>
  <c r="F4231" i="4" s="1"/>
  <c r="D4436" i="4"/>
  <c r="F4436" i="4" s="1"/>
  <c r="D3857" i="4"/>
  <c r="F3857" i="4" s="1"/>
  <c r="D4023" i="4"/>
  <c r="F4023" i="4" s="1"/>
  <c r="D4151" i="4"/>
  <c r="F4151" i="4" s="1"/>
  <c r="D4279" i="4"/>
  <c r="F4279" i="4" s="1"/>
  <c r="D4388" i="4"/>
  <c r="F4388" i="4" s="1"/>
  <c r="D4439" i="4"/>
  <c r="F4439" i="4" s="1"/>
  <c r="D4591" i="4"/>
  <c r="F4591" i="4" s="1"/>
  <c r="D4646" i="4"/>
  <c r="F4646" i="4" s="1"/>
  <c r="D4071" i="4"/>
  <c r="F4071" i="4" s="1"/>
  <c r="D4327" i="4"/>
  <c r="F4327" i="4" s="1"/>
  <c r="D4468" i="4"/>
  <c r="F4468" i="4" s="1"/>
  <c r="E627" i="4"/>
  <c r="E1254" i="4" l="1"/>
  <c r="F1254" i="4"/>
  <c r="E1364" i="4"/>
  <c r="F1364" i="4"/>
  <c r="E692" i="4"/>
  <c r="F692" i="4"/>
  <c r="E1342" i="4"/>
  <c r="F1342" i="4"/>
  <c r="E797" i="4"/>
  <c r="F797" i="4"/>
  <c r="E1026" i="4"/>
  <c r="F1026" i="4"/>
  <c r="E1507" i="4"/>
  <c r="F1507" i="4"/>
  <c r="E219" i="4"/>
  <c r="E958" i="4"/>
  <c r="E1528" i="4"/>
  <c r="E2506" i="4"/>
  <c r="E1973" i="4"/>
  <c r="E1382" i="4"/>
  <c r="E738" i="4"/>
  <c r="E1481" i="4"/>
  <c r="E101" i="4"/>
  <c r="E234" i="4"/>
  <c r="E776" i="4"/>
  <c r="E727" i="4"/>
  <c r="E916" i="4"/>
  <c r="E703" i="4"/>
  <c r="E1005" i="4"/>
  <c r="E2335" i="4"/>
  <c r="E1794" i="4"/>
  <c r="E1924" i="4"/>
  <c r="E1158" i="4"/>
  <c r="E1084" i="4"/>
  <c r="E702" i="4"/>
  <c r="E907" i="4"/>
  <c r="E1763" i="4"/>
  <c r="E1731" i="4"/>
  <c r="E1860" i="4"/>
  <c r="E1024" i="4"/>
  <c r="E964" i="4"/>
  <c r="E942" i="4"/>
  <c r="E670" i="4"/>
  <c r="E1628" i="4"/>
  <c r="E1101" i="4"/>
  <c r="E749" i="4"/>
  <c r="E624" i="4"/>
  <c r="E1621" i="4"/>
  <c r="E1093" i="4"/>
  <c r="E741" i="4"/>
  <c r="E2025" i="4"/>
  <c r="E498" i="4"/>
  <c r="E1580" i="4"/>
  <c r="E593" i="4"/>
  <c r="E1439" i="4"/>
  <c r="E1634" i="4"/>
  <c r="E149" i="4"/>
  <c r="E250" i="4"/>
  <c r="E2487" i="4"/>
  <c r="E2448" i="4"/>
  <c r="E781" i="4"/>
  <c r="E1558" i="4"/>
  <c r="E924" i="4"/>
  <c r="E1550" i="4"/>
  <c r="E681" i="4"/>
  <c r="E1613" i="4"/>
  <c r="E736" i="4"/>
  <c r="E2021" i="4"/>
  <c r="E841" i="4"/>
  <c r="E1789" i="4"/>
  <c r="E1204" i="4"/>
  <c r="E1230" i="4"/>
  <c r="E870" i="4"/>
  <c r="E559" i="4"/>
  <c r="E803" i="4"/>
  <c r="E2295" i="4"/>
  <c r="E1966" i="4"/>
  <c r="E1535" i="4"/>
  <c r="E1164" i="4"/>
  <c r="E1152" i="4"/>
  <c r="E830" i="4"/>
  <c r="E442" i="4"/>
  <c r="E2250" i="4"/>
  <c r="E682" i="4"/>
  <c r="E744" i="4"/>
  <c r="E649" i="4"/>
  <c r="E2242" i="4"/>
  <c r="E506" i="4"/>
  <c r="E1588" i="4"/>
  <c r="E641" i="4"/>
  <c r="E1578" i="4"/>
  <c r="E857" i="4"/>
  <c r="E1210" i="4"/>
  <c r="E301" i="4"/>
  <c r="E2083" i="4"/>
  <c r="E1642" i="4"/>
  <c r="E1756" i="4"/>
  <c r="E904" i="4"/>
  <c r="E759" i="4"/>
  <c r="E235" i="4"/>
  <c r="E1965" i="4"/>
  <c r="E1023" i="4"/>
  <c r="E1566" i="4"/>
  <c r="E784" i="4"/>
  <c r="E932" i="4"/>
  <c r="E743" i="4"/>
  <c r="E1705" i="4"/>
  <c r="E1088" i="4"/>
  <c r="E1327" i="4"/>
  <c r="E356" i="4"/>
  <c r="E1594" i="4"/>
  <c r="E992" i="4"/>
  <c r="E1240" i="4"/>
  <c r="E348" i="4"/>
  <c r="E1777" i="4"/>
  <c r="E173" i="4"/>
  <c r="E2128" i="4"/>
  <c r="E1166" i="4"/>
  <c r="E1050" i="4"/>
  <c r="E1233" i="4"/>
  <c r="E828" i="4"/>
  <c r="E663" i="4"/>
  <c r="E147" i="4"/>
  <c r="E605" i="4"/>
  <c r="E1868" i="4"/>
  <c r="E1150" i="4"/>
  <c r="E1755" i="4"/>
  <c r="E1132" i="4"/>
  <c r="E765" i="4"/>
  <c r="E632" i="4"/>
  <c r="E107" i="4"/>
  <c r="E2161" i="4"/>
  <c r="E1832" i="4"/>
  <c r="E1603" i="4"/>
  <c r="E221" i="4"/>
  <c r="E1616" i="4"/>
  <c r="E1824" i="4"/>
  <c r="E1595" i="4"/>
  <c r="E213" i="4"/>
  <c r="E2190" i="4"/>
  <c r="E1339" i="4"/>
  <c r="E1217" i="4"/>
  <c r="E1002" i="4"/>
  <c r="E1797" i="4"/>
  <c r="E2494" i="4"/>
  <c r="E1431" i="4"/>
  <c r="E879" i="4"/>
  <c r="E712" i="4"/>
  <c r="E395" i="4"/>
  <c r="E646" i="4"/>
  <c r="E400" i="4"/>
  <c r="E1591" i="4"/>
  <c r="E2477" i="4"/>
  <c r="E730" i="4"/>
  <c r="E839" i="4"/>
  <c r="E656" i="4"/>
  <c r="E371" i="4"/>
  <c r="E630" i="4"/>
  <c r="E2393" i="4"/>
  <c r="E1473" i="4"/>
  <c r="E93" i="4"/>
  <c r="E2385" i="4"/>
  <c r="E1347" i="4"/>
  <c r="E1225" i="4"/>
  <c r="E85" i="4"/>
  <c r="E1356" i="4"/>
  <c r="E539" i="4"/>
  <c r="E1277" i="4"/>
  <c r="E1819" i="4"/>
  <c r="E1954" i="4"/>
  <c r="E1739" i="4"/>
  <c r="E1454" i="4"/>
  <c r="E561" i="4"/>
  <c r="E276" i="4"/>
  <c r="E550" i="4"/>
  <c r="E305" i="4"/>
  <c r="E1748" i="4"/>
  <c r="E2226" i="4"/>
  <c r="E1120" i="4"/>
  <c r="E1335" i="4"/>
  <c r="E364" i="4"/>
  <c r="E260" i="4"/>
  <c r="E494" i="4"/>
  <c r="E1420" i="4"/>
  <c r="E961" i="4"/>
  <c r="E1349" i="4"/>
  <c r="E934" i="4"/>
  <c r="E954" i="4"/>
  <c r="E1341" i="4"/>
  <c r="E918" i="4"/>
  <c r="E1282" i="4"/>
  <c r="E1028" i="4"/>
  <c r="E1067" i="4"/>
  <c r="E1369" i="4"/>
  <c r="E2005" i="4"/>
  <c r="E2012" i="4"/>
  <c r="E1085" i="4"/>
  <c r="E277" i="4"/>
  <c r="E909" i="4"/>
  <c r="E361" i="4"/>
  <c r="E2184" i="4"/>
  <c r="E1958" i="4"/>
  <c r="E965" i="4"/>
  <c r="E229" i="4"/>
  <c r="E869" i="4"/>
  <c r="E338" i="4"/>
  <c r="E1527" i="4"/>
  <c r="E1079" i="4"/>
  <c r="E1144" i="4"/>
  <c r="E822" i="4"/>
  <c r="E1338" i="4"/>
  <c r="E1035" i="4"/>
  <c r="E1129" i="4"/>
  <c r="E814" i="4"/>
  <c r="E1424" i="4"/>
  <c r="E1360" i="4"/>
  <c r="E860" i="4"/>
  <c r="E2228" i="4"/>
  <c r="E2066" i="4"/>
  <c r="E1361" i="4"/>
  <c r="E793" i="4"/>
  <c r="E453" i="4"/>
  <c r="E959" i="4"/>
  <c r="E1461" i="4"/>
  <c r="E2476" i="4"/>
  <c r="E2322" i="4"/>
  <c r="E1494" i="4"/>
  <c r="E976" i="4"/>
  <c r="E898" i="4"/>
  <c r="E1070" i="4"/>
  <c r="E1571" i="4"/>
  <c r="E1018" i="4"/>
  <c r="E269" i="4"/>
  <c r="E544" i="4"/>
  <c r="E607" i="4"/>
  <c r="E471" i="4"/>
  <c r="E660" i="4"/>
  <c r="E524" i="4"/>
  <c r="E346" i="4"/>
  <c r="E2397" i="4"/>
  <c r="E1798" i="4"/>
  <c r="E1629" i="4"/>
  <c r="E1667" i="4"/>
  <c r="E1081" i="4"/>
  <c r="E1163" i="4"/>
  <c r="E997" i="4"/>
  <c r="E1098" i="4"/>
  <c r="E325" i="4"/>
  <c r="E1032" i="4"/>
  <c r="E1169" i="4"/>
  <c r="E1004" i="4"/>
  <c r="E1532" i="4"/>
  <c r="E1171" i="4"/>
  <c r="E983" i="4"/>
  <c r="E985" i="4"/>
  <c r="E1488" i="4"/>
  <c r="E1974" i="4"/>
  <c r="E1754" i="4"/>
  <c r="E1447" i="4"/>
  <c r="E1385" i="4"/>
  <c r="E1897" i="4"/>
  <c r="E1678" i="4"/>
  <c r="E1513" i="4"/>
  <c r="E2277" i="4"/>
  <c r="E2207" i="4"/>
  <c r="E1672" i="4"/>
  <c r="E1999" i="4"/>
  <c r="E2342" i="4"/>
  <c r="E230" i="4"/>
  <c r="E1429" i="4"/>
  <c r="E1287" i="4"/>
  <c r="E927" i="4"/>
  <c r="E729" i="4"/>
  <c r="E1249" i="4"/>
  <c r="E1244" i="4"/>
  <c r="E1730" i="4"/>
  <c r="E937" i="4"/>
  <c r="E594" i="4"/>
  <c r="E1708" i="4"/>
  <c r="E1645" i="4"/>
  <c r="E1425" i="4"/>
  <c r="E1252" i="4"/>
  <c r="E2018" i="4"/>
  <c r="E1814" i="4"/>
  <c r="E1767" i="4"/>
  <c r="E2302" i="4"/>
  <c r="E2111" i="4"/>
  <c r="E1891" i="4"/>
  <c r="E696" i="4"/>
  <c r="E1176" i="4"/>
  <c r="E1310" i="4"/>
  <c r="E1170" i="4"/>
  <c r="E807" i="4"/>
  <c r="E1320" i="4"/>
  <c r="E1133" i="4"/>
  <c r="E1127" i="4"/>
  <c r="E1207" i="4"/>
  <c r="E817" i="4"/>
  <c r="E1903" i="4"/>
  <c r="E1589" i="4"/>
  <c r="E1526" i="4"/>
  <c r="E1306" i="4"/>
  <c r="E1828" i="4"/>
  <c r="E1892" i="4"/>
  <c r="E2417" i="4"/>
  <c r="E1560" i="4"/>
  <c r="E2069" i="4"/>
  <c r="E1811" i="4"/>
  <c r="E2391" i="4"/>
  <c r="E1265" i="4"/>
  <c r="E1259" i="4"/>
  <c r="E1746" i="4"/>
  <c r="E953" i="4"/>
  <c r="E610" i="4"/>
  <c r="E1724" i="4"/>
  <c r="E1661" i="4"/>
  <c r="E1441" i="4"/>
  <c r="E1268" i="4"/>
  <c r="E2034" i="4"/>
  <c r="E1837" i="4"/>
  <c r="E1815" i="4"/>
  <c r="E2348" i="4"/>
  <c r="E2165" i="4"/>
  <c r="E1955" i="4"/>
  <c r="E1121" i="4"/>
  <c r="E1262" i="4"/>
  <c r="E1123" i="4"/>
  <c r="E752" i="4"/>
  <c r="E1272" i="4"/>
  <c r="E1087" i="4"/>
  <c r="E1073" i="4"/>
  <c r="E1159" i="4"/>
  <c r="E769" i="4"/>
  <c r="E1848" i="4"/>
  <c r="E1541" i="4"/>
  <c r="E1479" i="4"/>
  <c r="E1258" i="4"/>
  <c r="E1773" i="4"/>
  <c r="E1844" i="4"/>
  <c r="E2369" i="4"/>
  <c r="E2362" i="4"/>
  <c r="E1967" i="4"/>
  <c r="E2186" i="4"/>
  <c r="E2427" i="4"/>
  <c r="E2326" i="4"/>
  <c r="E1394" i="4"/>
  <c r="E1197" i="4"/>
  <c r="E1980" i="4"/>
  <c r="E1782" i="4"/>
  <c r="E1703" i="4"/>
  <c r="E2241" i="4"/>
  <c r="E2048" i="4"/>
  <c r="E2504" i="4"/>
  <c r="E1989" i="4"/>
  <c r="E1647" i="4"/>
  <c r="E1052" i="4"/>
  <c r="E2185" i="4"/>
  <c r="E1745" i="4"/>
  <c r="E1994" i="4"/>
  <c r="E2065" i="4"/>
  <c r="E2407" i="4"/>
  <c r="E2352" i="4"/>
  <c r="E1237" i="4"/>
  <c r="E2388" i="4"/>
  <c r="E2137" i="4"/>
  <c r="E1783" i="4"/>
  <c r="E1696" i="4"/>
  <c r="E2317" i="4"/>
  <c r="E2022" i="4"/>
  <c r="E2126" i="4"/>
  <c r="E2366" i="4"/>
  <c r="E2360" i="4"/>
  <c r="E2373" i="4"/>
  <c r="E2213" i="4"/>
  <c r="E2000" i="4"/>
  <c r="E2287" i="4"/>
  <c r="E2131" i="4"/>
  <c r="E1697" i="4"/>
  <c r="E1946" i="4"/>
  <c r="E2017" i="4"/>
  <c r="E2282" i="4"/>
  <c r="E2219" i="4"/>
  <c r="E2381" i="4"/>
  <c r="E2095" i="4"/>
  <c r="E2324" i="4"/>
  <c r="E1923" i="4"/>
  <c r="E70" i="4"/>
  <c r="E2371" i="4"/>
  <c r="E1830" i="4"/>
  <c r="E2354" i="4"/>
  <c r="E2169" i="4"/>
  <c r="E2013" i="4"/>
  <c r="E1586" i="4"/>
  <c r="E2234" i="4"/>
  <c r="E2343" i="4"/>
  <c r="E2355" i="4"/>
  <c r="E1931" i="4"/>
  <c r="E182" i="4"/>
  <c r="E2419" i="4"/>
  <c r="E1939" i="4"/>
  <c r="E198" i="4"/>
  <c r="E2457" i="4"/>
  <c r="E2331" i="4"/>
  <c r="E2177" i="4"/>
  <c r="E459" i="4"/>
  <c r="E1136" i="4"/>
  <c r="E534" i="4"/>
  <c r="E1648" i="4"/>
  <c r="E1662" i="4"/>
  <c r="E1097" i="4"/>
  <c r="E1095" i="4"/>
  <c r="E840" i="4"/>
  <c r="E1391" i="4"/>
  <c r="E1003" i="4"/>
  <c r="E680" i="4"/>
  <c r="E846" i="4"/>
  <c r="E885" i="4"/>
  <c r="E123" i="4"/>
  <c r="E899" i="4"/>
  <c r="E297" i="4"/>
  <c r="E1631" i="4"/>
  <c r="E1346" i="4"/>
  <c r="E562" i="4"/>
  <c r="E1355" i="4"/>
  <c r="E697" i="4"/>
  <c r="E1255" i="4"/>
  <c r="E1285" i="4"/>
  <c r="E601" i="4"/>
  <c r="E774" i="4"/>
  <c r="E813" i="4"/>
  <c r="E669" i="4"/>
  <c r="E827" i="4"/>
  <c r="E826" i="4"/>
  <c r="E568" i="4"/>
  <c r="E2117" i="4"/>
  <c r="E1569" i="4"/>
  <c r="E1747" i="4"/>
  <c r="E1950" i="4"/>
  <c r="E1156" i="4"/>
  <c r="E831" i="4"/>
  <c r="E1334" i="4"/>
  <c r="E2212" i="4"/>
  <c r="E2058" i="4"/>
  <c r="E1313" i="4"/>
  <c r="E785" i="4"/>
  <c r="E1281" i="4"/>
  <c r="E943" i="4"/>
  <c r="E1445" i="4"/>
  <c r="E908" i="4"/>
  <c r="E205" i="4"/>
  <c r="E379" i="4"/>
  <c r="E543" i="4"/>
  <c r="E345" i="4"/>
  <c r="E533" i="4"/>
  <c r="E399" i="4"/>
  <c r="E283" i="4"/>
  <c r="E2334" i="4"/>
  <c r="E2269" i="4"/>
  <c r="E1486" i="4"/>
  <c r="E921" i="4"/>
  <c r="E890" i="4"/>
  <c r="E1034" i="4"/>
  <c r="E1539" i="4"/>
  <c r="E1010" i="4"/>
  <c r="E261" i="4"/>
  <c r="E1091" i="4"/>
  <c r="E1231" i="4"/>
  <c r="E1092" i="4"/>
  <c r="E1596" i="4"/>
  <c r="E1241" i="4"/>
  <c r="E1043" i="4"/>
  <c r="E1045" i="4"/>
  <c r="E1103" i="4"/>
  <c r="E2036" i="4"/>
  <c r="E1817" i="4"/>
  <c r="E1509" i="4"/>
  <c r="E1448" i="4"/>
  <c r="E1961" i="4"/>
  <c r="E1742" i="4"/>
  <c r="E1577" i="4"/>
  <c r="E2337" i="4"/>
  <c r="E2301" i="4"/>
  <c r="E1800" i="4"/>
  <c r="E2124" i="4"/>
  <c r="E2501" i="4"/>
  <c r="E2436" i="4"/>
  <c r="E1491" i="4"/>
  <c r="E1351" i="4"/>
  <c r="E990" i="4"/>
  <c r="E800" i="4"/>
  <c r="E483" i="4"/>
  <c r="E1307" i="4"/>
  <c r="E1793" i="4"/>
  <c r="E1056" i="4"/>
  <c r="E698" i="4"/>
  <c r="E970" i="4"/>
  <c r="E1709" i="4"/>
  <c r="E1487" i="4"/>
  <c r="E1316" i="4"/>
  <c r="E2082" i="4"/>
  <c r="E1901" i="4"/>
  <c r="E1894" i="4"/>
  <c r="E1475" i="4"/>
  <c r="E2244" i="4"/>
  <c r="E2486" i="4"/>
  <c r="E709" i="4"/>
  <c r="E1238" i="4"/>
  <c r="E1374" i="4"/>
  <c r="E1232" i="4"/>
  <c r="E871" i="4"/>
  <c r="E673" i="4"/>
  <c r="E1196" i="4"/>
  <c r="E1190" i="4"/>
  <c r="E1674" i="4"/>
  <c r="E881" i="4"/>
  <c r="E530" i="4"/>
  <c r="E1652" i="4"/>
  <c r="E1590" i="4"/>
  <c r="E1370" i="4"/>
  <c r="E1173" i="4"/>
  <c r="E1956" i="4"/>
  <c r="E1750" i="4"/>
  <c r="E1671" i="4"/>
  <c r="E2209" i="4"/>
  <c r="E2016" i="4"/>
  <c r="E2416" i="4"/>
  <c r="E499" i="4"/>
  <c r="E1323" i="4"/>
  <c r="E1809" i="4"/>
  <c r="E1072" i="4"/>
  <c r="E714" i="4"/>
  <c r="E986" i="4"/>
  <c r="E1725" i="4"/>
  <c r="E1503" i="4"/>
  <c r="E1332" i="4"/>
  <c r="E2098" i="4"/>
  <c r="E1917" i="4"/>
  <c r="E2107" i="4"/>
  <c r="E1530" i="4"/>
  <c r="E2291" i="4"/>
  <c r="E2481" i="4"/>
  <c r="E1192" i="4"/>
  <c r="E1326" i="4"/>
  <c r="E1186" i="4"/>
  <c r="E823" i="4"/>
  <c r="E1336" i="4"/>
  <c r="E1148" i="4"/>
  <c r="E1142" i="4"/>
  <c r="E1223" i="4"/>
  <c r="E833" i="4"/>
  <c r="E482" i="4"/>
  <c r="E1605" i="4"/>
  <c r="E1542" i="4"/>
  <c r="E1322" i="4"/>
  <c r="E1851" i="4"/>
  <c r="E1908" i="4"/>
  <c r="E2433" i="4"/>
  <c r="E1592" i="4"/>
  <c r="E2093" i="4"/>
  <c r="E1914" i="4"/>
  <c r="E2461" i="4"/>
  <c r="E1677" i="4"/>
  <c r="E1457" i="4"/>
  <c r="E1284" i="4"/>
  <c r="E2050" i="4"/>
  <c r="E1853" i="4"/>
  <c r="E1831" i="4"/>
  <c r="E2364" i="4"/>
  <c r="E2180" i="4"/>
  <c r="E2195" i="4"/>
  <c r="E2067" i="4"/>
  <c r="E1711" i="4"/>
  <c r="E1624" i="4"/>
  <c r="E2249" i="4"/>
  <c r="E1952" i="4"/>
  <c r="E2056" i="4"/>
  <c r="E2281" i="4"/>
  <c r="E2485" i="4"/>
  <c r="E22" i="4"/>
  <c r="E1421" i="4"/>
  <c r="E2451" i="4"/>
  <c r="E2199" i="4"/>
  <c r="E1846" i="4"/>
  <c r="E1760" i="4"/>
  <c r="E2380" i="4"/>
  <c r="E2086" i="4"/>
  <c r="E2196" i="4"/>
  <c r="E2430" i="4"/>
  <c r="E2363" i="4"/>
  <c r="E2276" i="4"/>
  <c r="E2410" i="4"/>
  <c r="E2365" i="4"/>
  <c r="E1243" i="4"/>
  <c r="E2201" i="4"/>
  <c r="E1904" i="4"/>
  <c r="E2008" i="4"/>
  <c r="E2081" i="4"/>
  <c r="E2423" i="4"/>
  <c r="E2384" i="4"/>
  <c r="E1373" i="4"/>
  <c r="E2404" i="4"/>
  <c r="E1834" i="4"/>
  <c r="E1987" i="4"/>
  <c r="E2347" i="4"/>
  <c r="E2039" i="4"/>
  <c r="E1893" i="4"/>
  <c r="E1544" i="4"/>
  <c r="E2240" i="4"/>
  <c r="E2077" i="4"/>
  <c r="E1649" i="4"/>
  <c r="E1898" i="4"/>
  <c r="E1873" i="4"/>
  <c r="E2002" i="4"/>
  <c r="E1995" i="4"/>
  <c r="E2379" i="4"/>
  <c r="E2047" i="4"/>
  <c r="E2179" i="4"/>
  <c r="E2411" i="4"/>
  <c r="E2055" i="4"/>
  <c r="E2453" i="4"/>
  <c r="E2123" i="4"/>
  <c r="E1119" i="4"/>
  <c r="E340" i="4"/>
  <c r="E428" i="4"/>
  <c r="E1735" i="4"/>
  <c r="E1402" i="4"/>
  <c r="E570" i="4"/>
  <c r="E1403" i="4"/>
  <c r="E705" i="4"/>
  <c r="E1263" i="4"/>
  <c r="E1301" i="4"/>
  <c r="E609" i="4"/>
  <c r="E782" i="4"/>
  <c r="E821" i="4"/>
  <c r="E677" i="4"/>
  <c r="E835" i="4"/>
  <c r="E834" i="4"/>
  <c r="E1229" i="4"/>
  <c r="E2091" i="4"/>
  <c r="E1827" i="4"/>
  <c r="E1802" i="4"/>
  <c r="E1214" i="4"/>
  <c r="E1280" i="4"/>
  <c r="E1131" i="4"/>
  <c r="E1184" i="4"/>
  <c r="E521" i="4"/>
  <c r="E711" i="4"/>
  <c r="E750" i="4"/>
  <c r="E598" i="4"/>
  <c r="E764" i="4"/>
  <c r="E763" i="4"/>
  <c r="E508" i="4"/>
  <c r="E1452" i="4"/>
  <c r="E1300" i="4"/>
  <c r="E1565" i="4"/>
  <c r="E1769" i="4"/>
  <c r="E1022" i="4"/>
  <c r="E1572" i="4"/>
  <c r="E1209" i="4"/>
  <c r="E2102" i="4"/>
  <c r="E1561" i="4"/>
  <c r="E1740" i="4"/>
  <c r="E1902" i="4"/>
  <c r="E1140" i="4"/>
  <c r="E815" i="4"/>
  <c r="E1318" i="4"/>
  <c r="E812" i="4"/>
  <c r="E141" i="4"/>
  <c r="E308" i="4"/>
  <c r="E386" i="4"/>
  <c r="E282" i="4"/>
  <c r="E470" i="4"/>
  <c r="E48" i="4"/>
  <c r="E220" i="4"/>
  <c r="E2096" i="4"/>
  <c r="E1996" i="4"/>
  <c r="E1305" i="4"/>
  <c r="E777" i="4"/>
  <c r="E1234" i="4"/>
  <c r="E911" i="4"/>
  <c r="E1414" i="4"/>
  <c r="E892" i="4"/>
  <c r="E197" i="4"/>
  <c r="E1160" i="4"/>
  <c r="E1294" i="4"/>
  <c r="E1154" i="4"/>
  <c r="E791" i="4"/>
  <c r="E1304" i="4"/>
  <c r="E1118" i="4"/>
  <c r="E1104" i="4"/>
  <c r="E1191" i="4"/>
  <c r="E801" i="4"/>
  <c r="E1880" i="4"/>
  <c r="E1573" i="4"/>
  <c r="E1510" i="4"/>
  <c r="E1290" i="4"/>
  <c r="E1805" i="4"/>
  <c r="E1876" i="4"/>
  <c r="E2401" i="4"/>
  <c r="E1536" i="4"/>
  <c r="E2029" i="4"/>
  <c r="E1771" i="4"/>
  <c r="E2258" i="4"/>
  <c r="E1040" i="4"/>
  <c r="E1555" i="4"/>
  <c r="E1415" i="4"/>
  <c r="E1055" i="4"/>
  <c r="E864" i="4"/>
  <c r="E850" i="4"/>
  <c r="E1371" i="4"/>
  <c r="E1855" i="4"/>
  <c r="E1627" i="4"/>
  <c r="E762" i="4"/>
  <c r="E1074" i="4"/>
  <c r="E1772" i="4"/>
  <c r="E1551" i="4"/>
  <c r="E1380" i="4"/>
  <c r="E2152" i="4"/>
  <c r="E2019" i="4"/>
  <c r="E2200" i="4"/>
  <c r="E1610" i="4"/>
  <c r="E2367" i="4"/>
  <c r="E2510" i="4"/>
  <c r="E772" i="4"/>
  <c r="E1309" i="4"/>
  <c r="E1437" i="4"/>
  <c r="E1295" i="4"/>
  <c r="E935" i="4"/>
  <c r="E737" i="4"/>
  <c r="E1257" i="4"/>
  <c r="E1251" i="4"/>
  <c r="E1738" i="4"/>
  <c r="E945" i="4"/>
  <c r="E602" i="4"/>
  <c r="E1716" i="4"/>
  <c r="E1653" i="4"/>
  <c r="E1433" i="4"/>
  <c r="E1260" i="4"/>
  <c r="E2026" i="4"/>
  <c r="E1822" i="4"/>
  <c r="E1799" i="4"/>
  <c r="E2332" i="4"/>
  <c r="E2142" i="4"/>
  <c r="E1947" i="4"/>
  <c r="E866" i="4"/>
  <c r="E1387" i="4"/>
  <c r="E1871" i="4"/>
  <c r="E1643" i="4"/>
  <c r="E1017" i="4"/>
  <c r="E1090" i="4"/>
  <c r="E1788" i="4"/>
  <c r="E1567" i="4"/>
  <c r="E1396" i="4"/>
  <c r="E2167" i="4"/>
  <c r="E2043" i="4"/>
  <c r="E2248" i="4"/>
  <c r="E1657" i="4"/>
  <c r="E1881" i="4"/>
  <c r="E238" i="4"/>
  <c r="E1261" i="4"/>
  <c r="E1390" i="4"/>
  <c r="E1247" i="4"/>
  <c r="E887" i="4"/>
  <c r="E689" i="4"/>
  <c r="E1212" i="4"/>
  <c r="E1206" i="4"/>
  <c r="E1690" i="4"/>
  <c r="E897" i="4"/>
  <c r="E554" i="4"/>
  <c r="E1668" i="4"/>
  <c r="E1606" i="4"/>
  <c r="E1386" i="4"/>
  <c r="E1189" i="4"/>
  <c r="E1972" i="4"/>
  <c r="E1774" i="4"/>
  <c r="E1695" i="4"/>
  <c r="E2233" i="4"/>
  <c r="E2040" i="4"/>
  <c r="E2454" i="4"/>
  <c r="E1741" i="4"/>
  <c r="E1519" i="4"/>
  <c r="E1348" i="4"/>
  <c r="E2121" i="4"/>
  <c r="E1949" i="4"/>
  <c r="E2130" i="4"/>
  <c r="E1546" i="4"/>
  <c r="E2304" i="4"/>
  <c r="E2260" i="4"/>
  <c r="E2129" i="4"/>
  <c r="E1775" i="4"/>
  <c r="E1688" i="4"/>
  <c r="E2309" i="4"/>
  <c r="E2014" i="4"/>
  <c r="E2119" i="4"/>
  <c r="E2358" i="4"/>
  <c r="E2344" i="4"/>
  <c r="E2511" i="4"/>
  <c r="E2205" i="4"/>
  <c r="E2512" i="4"/>
  <c r="E2262" i="4"/>
  <c r="E2076" i="4"/>
  <c r="E1927" i="4"/>
  <c r="E1498" i="4"/>
  <c r="E2148" i="4"/>
  <c r="E2259" i="4"/>
  <c r="E2499" i="4"/>
  <c r="E2452" i="4"/>
  <c r="E2509" i="4"/>
  <c r="E46" i="4"/>
  <c r="E1727" i="4"/>
  <c r="E1640" i="4"/>
  <c r="E2264" i="4"/>
  <c r="E1968" i="4"/>
  <c r="E2072" i="4"/>
  <c r="E2311" i="4"/>
  <c r="E2500" i="4"/>
  <c r="E1134" i="4"/>
  <c r="E2133" i="4"/>
  <c r="E2466" i="4"/>
  <c r="E2290" i="4"/>
  <c r="E2235" i="4"/>
  <c r="E2405" i="4"/>
  <c r="E2103" i="4"/>
  <c r="E1957" i="4"/>
  <c r="E1608" i="4"/>
  <c r="E2308" i="4"/>
  <c r="E2147" i="4"/>
  <c r="E1713" i="4"/>
  <c r="E1962" i="4"/>
  <c r="E2033" i="4"/>
  <c r="E2375" i="4"/>
  <c r="E2243" i="4"/>
  <c r="E2437" i="4"/>
  <c r="E2127" i="4"/>
  <c r="E2251" i="4"/>
  <c r="E2467" i="4"/>
  <c r="E2135" i="4"/>
  <c r="E2297" i="4"/>
  <c r="E1623" i="4"/>
  <c r="E475" i="4"/>
  <c r="E654" i="4"/>
  <c r="E457" i="4"/>
  <c r="E2176" i="4"/>
  <c r="E1882" i="4"/>
  <c r="E1810" i="4"/>
  <c r="E1222" i="4"/>
  <c r="E1288" i="4"/>
  <c r="E1138" i="4"/>
  <c r="E1200" i="4"/>
  <c r="E529" i="4"/>
  <c r="E719" i="4"/>
  <c r="E758" i="4"/>
  <c r="E606" i="4"/>
  <c r="E771" i="4"/>
  <c r="E770" i="4"/>
  <c r="E2305" i="4"/>
  <c r="E2455" i="4"/>
  <c r="E1614" i="4"/>
  <c r="E1128" i="4"/>
  <c r="E1030" i="4"/>
  <c r="E1147" i="4"/>
  <c r="E981" i="4"/>
  <c r="E1075" i="4"/>
  <c r="E309" i="4"/>
  <c r="E648" i="4"/>
  <c r="E686" i="4"/>
  <c r="E510" i="4"/>
  <c r="E700" i="4"/>
  <c r="E699" i="4"/>
  <c r="E448" i="4"/>
  <c r="E1792" i="4"/>
  <c r="E1734" i="4"/>
  <c r="E1416" i="4"/>
  <c r="E1183" i="4"/>
  <c r="E896" i="4"/>
  <c r="E1446" i="4"/>
  <c r="E1076" i="4"/>
  <c r="E1436" i="4"/>
  <c r="E1292" i="4"/>
  <c r="E1557" i="4"/>
  <c r="E1761" i="4"/>
  <c r="E1006" i="4"/>
  <c r="E1556" i="4"/>
  <c r="E1193" i="4"/>
  <c r="E733" i="4"/>
  <c r="E926" i="4"/>
  <c r="E971" i="4"/>
  <c r="E203" i="4"/>
  <c r="E977" i="4"/>
  <c r="E376" i="4"/>
  <c r="E156" i="4"/>
  <c r="E1992" i="4"/>
  <c r="E1505" i="4"/>
  <c r="E1692" i="4"/>
  <c r="E1895" i="4"/>
  <c r="E1110" i="4"/>
  <c r="E783" i="4"/>
  <c r="E1286" i="4"/>
  <c r="E804" i="4"/>
  <c r="E133" i="4"/>
  <c r="E1224" i="4"/>
  <c r="E1358" i="4"/>
  <c r="E1218" i="4"/>
  <c r="E855" i="4"/>
  <c r="E1368" i="4"/>
  <c r="E1180" i="4"/>
  <c r="E1174" i="4"/>
  <c r="E1658" i="4"/>
  <c r="E865" i="4"/>
  <c r="E514" i="4"/>
  <c r="E1636" i="4"/>
  <c r="E1574" i="4"/>
  <c r="E1354" i="4"/>
  <c r="E1157" i="4"/>
  <c r="E1940" i="4"/>
  <c r="E2463" i="4"/>
  <c r="E1639" i="4"/>
  <c r="E2162" i="4"/>
  <c r="E1978" i="4"/>
  <c r="E2321" i="4"/>
  <c r="E1115" i="4"/>
  <c r="E1619" i="4"/>
  <c r="E1477" i="4"/>
  <c r="E1117" i="4"/>
  <c r="E928" i="4"/>
  <c r="E914" i="4"/>
  <c r="E1434" i="4"/>
  <c r="E1918" i="4"/>
  <c r="E1691" i="4"/>
  <c r="E1384" i="4"/>
  <c r="E1329" i="4"/>
  <c r="E1842" i="4"/>
  <c r="E1615" i="4"/>
  <c r="E1443" i="4"/>
  <c r="E2214" i="4"/>
  <c r="E2114" i="4"/>
  <c r="E1044" i="4"/>
  <c r="E1737" i="4"/>
  <c r="E2057" i="4"/>
  <c r="E1413" i="4"/>
  <c r="E836" i="4"/>
  <c r="E972" i="4"/>
  <c r="E1499" i="4"/>
  <c r="E1359" i="4"/>
  <c r="E998" i="4"/>
  <c r="E808" i="4"/>
  <c r="E491" i="4"/>
  <c r="E1315" i="4"/>
  <c r="E1801" i="4"/>
  <c r="E1064" i="4"/>
  <c r="E706" i="4"/>
  <c r="E978" i="4"/>
  <c r="E1717" i="4"/>
  <c r="E1495" i="4"/>
  <c r="E1324" i="4"/>
  <c r="E2090" i="4"/>
  <c r="E1909" i="4"/>
  <c r="E2092" i="4"/>
  <c r="E1514" i="4"/>
  <c r="E2275" i="4"/>
  <c r="E2442" i="4"/>
  <c r="E930" i="4"/>
  <c r="E1450" i="4"/>
  <c r="E1934" i="4"/>
  <c r="E1707" i="4"/>
  <c r="E1400" i="4"/>
  <c r="E1345" i="4"/>
  <c r="E1858" i="4"/>
  <c r="E1638" i="4"/>
  <c r="E1459" i="4"/>
  <c r="E2230" i="4"/>
  <c r="E2145" i="4"/>
  <c r="E1601" i="4"/>
  <c r="E1928" i="4"/>
  <c r="E2257" i="4"/>
  <c r="E2197" i="4"/>
  <c r="E1325" i="4"/>
  <c r="E1453" i="4"/>
  <c r="E1311" i="4"/>
  <c r="E951" i="4"/>
  <c r="E753" i="4"/>
  <c r="E1273" i="4"/>
  <c r="E1267" i="4"/>
  <c r="E1753" i="4"/>
  <c r="E968" i="4"/>
  <c r="E658" i="4"/>
  <c r="E1732" i="4"/>
  <c r="E1669" i="4"/>
  <c r="E1449" i="4"/>
  <c r="E1276" i="4"/>
  <c r="E2042" i="4"/>
  <c r="E1845" i="4"/>
  <c r="E1823" i="4"/>
  <c r="E2356" i="4"/>
  <c r="E2173" i="4"/>
  <c r="E2187" i="4"/>
  <c r="E1804" i="4"/>
  <c r="E1583" i="4"/>
  <c r="E1412" i="4"/>
  <c r="E2182" i="4"/>
  <c r="E2059" i="4"/>
  <c r="E2263" i="4"/>
  <c r="E1673" i="4"/>
  <c r="E1985" i="4"/>
  <c r="E2473" i="4"/>
  <c r="E2191" i="4"/>
  <c r="E1838" i="4"/>
  <c r="E1752" i="4"/>
  <c r="E2372" i="4"/>
  <c r="E2078" i="4"/>
  <c r="E2188" i="4"/>
  <c r="E2422" i="4"/>
  <c r="E2478" i="4"/>
  <c r="E2268" i="4"/>
  <c r="E2402" i="4"/>
  <c r="E2341" i="4"/>
  <c r="E2323" i="4"/>
  <c r="E2146" i="4"/>
  <c r="E1991" i="4"/>
  <c r="E1562" i="4"/>
  <c r="E2210" i="4"/>
  <c r="E2320" i="4"/>
  <c r="E1046" i="4"/>
  <c r="E1907" i="4"/>
  <c r="E38" i="4"/>
  <c r="E2110" i="4"/>
  <c r="E1791" i="4"/>
  <c r="E1704" i="4"/>
  <c r="E2325" i="4"/>
  <c r="E2030" i="4"/>
  <c r="E2134" i="4"/>
  <c r="E2374" i="4"/>
  <c r="E2376" i="4"/>
  <c r="E2413" i="4"/>
  <c r="E2221" i="4"/>
  <c r="E2112" i="4"/>
  <c r="E2431" i="4"/>
  <c r="E2400" i="4"/>
  <c r="E1381" i="4"/>
  <c r="E2412" i="4"/>
  <c r="E2035" i="4"/>
  <c r="E1679" i="4"/>
  <c r="E1593" i="4"/>
  <c r="E2217" i="4"/>
  <c r="E1920" i="4"/>
  <c r="E2024" i="4"/>
  <c r="E2097" i="4"/>
  <c r="E2446" i="4"/>
  <c r="E2424" i="4"/>
  <c r="E1389" i="4"/>
  <c r="E2420" i="4"/>
  <c r="E2447" i="4"/>
  <c r="E1397" i="4"/>
  <c r="E2428" i="4"/>
  <c r="E2515" i="4"/>
  <c r="E2003" i="4"/>
  <c r="E1049" i="4"/>
  <c r="E449" i="4"/>
  <c r="E2357" i="4"/>
  <c r="E1790" i="4"/>
  <c r="E1622" i="4"/>
  <c r="E1659" i="4"/>
  <c r="E1037" i="4"/>
  <c r="E1155" i="4"/>
  <c r="E989" i="4"/>
  <c r="E1083" i="4"/>
  <c r="E317" i="4"/>
  <c r="E655" i="4"/>
  <c r="E694" i="4"/>
  <c r="E518" i="4"/>
  <c r="E708" i="4"/>
  <c r="E707" i="4"/>
  <c r="E2041" i="4"/>
  <c r="E2198" i="4"/>
  <c r="E1432" i="4"/>
  <c r="E905" i="4"/>
  <c r="E547" i="4"/>
  <c r="E1021" i="4"/>
  <c r="E1523" i="4"/>
  <c r="E956" i="4"/>
  <c r="E245" i="4"/>
  <c r="E419" i="4"/>
  <c r="E583" i="4"/>
  <c r="E441" i="4"/>
  <c r="E637" i="4"/>
  <c r="E636" i="4"/>
  <c r="E385" i="4"/>
  <c r="E1878" i="4"/>
  <c r="E1472" i="4"/>
  <c r="E674" i="4"/>
  <c r="E1466" i="4"/>
  <c r="E761" i="4"/>
  <c r="E1319" i="4"/>
  <c r="E1776" i="4"/>
  <c r="E1726" i="4"/>
  <c r="E1113" i="4"/>
  <c r="E1175" i="4"/>
  <c r="E880" i="4"/>
  <c r="E1430" i="4"/>
  <c r="E1060" i="4"/>
  <c r="E704" i="4"/>
  <c r="E862" i="4"/>
  <c r="E901" i="4"/>
  <c r="E139" i="4"/>
  <c r="E915" i="4"/>
  <c r="E313" i="4"/>
  <c r="E592" i="4"/>
  <c r="E92" i="4"/>
  <c r="E2288" i="4"/>
  <c r="E1213" i="4"/>
  <c r="E1549" i="4"/>
  <c r="E1714" i="4"/>
  <c r="E975" i="4"/>
  <c r="E1524" i="4"/>
  <c r="E1161" i="4"/>
  <c r="E725" i="4"/>
  <c r="E757" i="4"/>
  <c r="E1293" i="4"/>
  <c r="E1422" i="4"/>
  <c r="E1279" i="4"/>
  <c r="E919" i="4"/>
  <c r="E721" i="4"/>
  <c r="E1242" i="4"/>
  <c r="E1236" i="4"/>
  <c r="E1722" i="4"/>
  <c r="E929" i="4"/>
  <c r="E586" i="4"/>
  <c r="E1700" i="4"/>
  <c r="E1637" i="4"/>
  <c r="E1418" i="4"/>
  <c r="E1221" i="4"/>
  <c r="E2010" i="4"/>
  <c r="E1806" i="4"/>
  <c r="E1759" i="4"/>
  <c r="E2296" i="4"/>
  <c r="E2104" i="4"/>
  <c r="E1883" i="4"/>
  <c r="E1177" i="4"/>
  <c r="E1012" i="4"/>
  <c r="E1540" i="4"/>
  <c r="E1179" i="4"/>
  <c r="E991" i="4"/>
  <c r="E993" i="4"/>
  <c r="E1496" i="4"/>
  <c r="E1982" i="4"/>
  <c r="E1762" i="4"/>
  <c r="E1455" i="4"/>
  <c r="E1393" i="4"/>
  <c r="E1905" i="4"/>
  <c r="E1686" i="4"/>
  <c r="E1521" i="4"/>
  <c r="E2285" i="4"/>
  <c r="E2215" i="4"/>
  <c r="E1680" i="4"/>
  <c r="E2006" i="4"/>
  <c r="E2350" i="4"/>
  <c r="E438" i="4"/>
  <c r="E900" i="4"/>
  <c r="E1054" i="4"/>
  <c r="E1563" i="4"/>
  <c r="E1423" i="4"/>
  <c r="E1062" i="4"/>
  <c r="E872" i="4"/>
  <c r="E858" i="4"/>
  <c r="E1379" i="4"/>
  <c r="E1863" i="4"/>
  <c r="E1635" i="4"/>
  <c r="E1009" i="4"/>
  <c r="E1082" i="4"/>
  <c r="E1780" i="4"/>
  <c r="E1559" i="4"/>
  <c r="E1388" i="4"/>
  <c r="E2159" i="4"/>
  <c r="E2027" i="4"/>
  <c r="E2232" i="4"/>
  <c r="E1641" i="4"/>
  <c r="E1865" i="4"/>
  <c r="E214" i="4"/>
  <c r="E1008" i="4"/>
  <c r="E1007" i="4"/>
  <c r="E1997" i="4"/>
  <c r="E1778" i="4"/>
  <c r="E1470" i="4"/>
  <c r="E1409" i="4"/>
  <c r="E1921" i="4"/>
  <c r="E1702" i="4"/>
  <c r="E1537" i="4"/>
  <c r="E2300" i="4"/>
  <c r="E2239" i="4"/>
  <c r="E1728" i="4"/>
  <c r="E2054" i="4"/>
  <c r="E2406" i="4"/>
  <c r="E2007" i="4"/>
  <c r="E988" i="4"/>
  <c r="E1515" i="4"/>
  <c r="E1375" i="4"/>
  <c r="E1013" i="4"/>
  <c r="E824" i="4"/>
  <c r="E507" i="4"/>
  <c r="E1331" i="4"/>
  <c r="E1816" i="4"/>
  <c r="E1080" i="4"/>
  <c r="E722" i="4"/>
  <c r="E994" i="4"/>
  <c r="E1733" i="4"/>
  <c r="E1511" i="4"/>
  <c r="E1340" i="4"/>
  <c r="E2113" i="4"/>
  <c r="E1941" i="4"/>
  <c r="E2115" i="4"/>
  <c r="E1538" i="4"/>
  <c r="E2298" i="4"/>
  <c r="E2172" i="4"/>
  <c r="E1874" i="4"/>
  <c r="E1654" i="4"/>
  <c r="E1489" i="4"/>
  <c r="E2246" i="4"/>
  <c r="E2168" i="4"/>
  <c r="E1617" i="4"/>
  <c r="E1944" i="4"/>
  <c r="E2273" i="4"/>
  <c r="E2394" i="4"/>
  <c r="E2254" i="4"/>
  <c r="E2068" i="4"/>
  <c r="E1919" i="4"/>
  <c r="E1490" i="4"/>
  <c r="E2140" i="4"/>
  <c r="E2252" i="4"/>
  <c r="E2492" i="4"/>
  <c r="E2429" i="4"/>
  <c r="E2502" i="4"/>
  <c r="E2503" i="4"/>
  <c r="E1869" i="4"/>
  <c r="E1520" i="4"/>
  <c r="E2216" i="4"/>
  <c r="E2053" i="4"/>
  <c r="E1625" i="4"/>
  <c r="E1795" i="4"/>
  <c r="E1849" i="4"/>
  <c r="E1818" i="4"/>
  <c r="E1971" i="4"/>
  <c r="E1126" i="4"/>
  <c r="E2023" i="4"/>
  <c r="E1854" i="4"/>
  <c r="E1768" i="4"/>
  <c r="E1428" i="4"/>
  <c r="E2094" i="4"/>
  <c r="E2204" i="4"/>
  <c r="E2438" i="4"/>
  <c r="E2403" i="4"/>
  <c r="E2284" i="4"/>
  <c r="E2418" i="4"/>
  <c r="E2389" i="4"/>
  <c r="E2508" i="4"/>
  <c r="E2166" i="4"/>
  <c r="E2141" i="4"/>
  <c r="E2474" i="4"/>
  <c r="E2099" i="4"/>
  <c r="E1743" i="4"/>
  <c r="E1656" i="4"/>
  <c r="E2280" i="4"/>
  <c r="E1984" i="4"/>
  <c r="E2088" i="4"/>
  <c r="E2327" i="4"/>
  <c r="E2227" i="4"/>
  <c r="E2339" i="4"/>
  <c r="E2149" i="4"/>
  <c r="E2482" i="4"/>
  <c r="E2395" i="4"/>
  <c r="E2181" i="4"/>
  <c r="E2490" i="4"/>
  <c r="E2303" i="4"/>
  <c r="E2253" i="4"/>
  <c r="E768" i="4"/>
  <c r="G22" i="6"/>
  <c r="G33" i="6" s="1"/>
  <c r="L17" i="6" s="1"/>
  <c r="G29" i="6"/>
  <c r="L13" i="6" s="1"/>
  <c r="J9" i="4" s="1"/>
  <c r="G27" i="6"/>
  <c r="L11" i="6" s="1"/>
  <c r="G32" i="6"/>
  <c r="L16" i="6" s="1"/>
  <c r="G37" i="6"/>
  <c r="G39" i="6" s="1"/>
  <c r="G40" i="6" s="1"/>
  <c r="L21" i="6" s="1"/>
  <c r="L8" i="4" s="1"/>
  <c r="G28" i="6"/>
  <c r="L12" i="6" s="1"/>
  <c r="G31" i="6"/>
  <c r="L15" i="6" s="1"/>
  <c r="E2319" i="4"/>
  <c r="E2261" i="4"/>
  <c r="E1440" i="4"/>
  <c r="E913" i="4"/>
  <c r="E882" i="4"/>
  <c r="E1027" i="4"/>
  <c r="E1531" i="4"/>
  <c r="E987" i="4"/>
  <c r="E253" i="4"/>
  <c r="E427" i="4"/>
  <c r="E591" i="4"/>
  <c r="E456" i="4"/>
  <c r="E645" i="4"/>
  <c r="E644" i="4"/>
  <c r="E1970" i="4"/>
  <c r="E1932" i="4"/>
  <c r="E1058" i="4"/>
  <c r="E2020" i="4"/>
  <c r="E1220" i="4"/>
  <c r="E895" i="4"/>
  <c r="E1398" i="4"/>
  <c r="E868" i="4"/>
  <c r="E181" i="4"/>
  <c r="E355" i="4"/>
  <c r="E426" i="4"/>
  <c r="E322" i="4"/>
  <c r="E509" i="4"/>
  <c r="E439" i="4"/>
  <c r="E323" i="4"/>
  <c r="E2151" i="4"/>
  <c r="E2294" i="4"/>
  <c r="E1953" i="4"/>
  <c r="E1872" i="4"/>
  <c r="E1283" i="4"/>
  <c r="E1344" i="4"/>
  <c r="E1194" i="4"/>
  <c r="E1862" i="4"/>
  <c r="E1465" i="4"/>
  <c r="E666" i="4"/>
  <c r="E1419" i="4"/>
  <c r="E745" i="4"/>
  <c r="E1303" i="4"/>
  <c r="E1333" i="4"/>
  <c r="E625" i="4"/>
  <c r="E798" i="4"/>
  <c r="E837" i="4"/>
  <c r="E693" i="4"/>
  <c r="E851" i="4"/>
  <c r="E786" i="4"/>
  <c r="E531" i="4"/>
  <c r="E31" i="4"/>
  <c r="E1664" i="4"/>
  <c r="E1670" i="4"/>
  <c r="E1105" i="4"/>
  <c r="E1167" i="4"/>
  <c r="E848" i="4"/>
  <c r="E1399" i="4"/>
  <c r="E1011" i="4"/>
  <c r="E688" i="4"/>
  <c r="E820" i="4"/>
  <c r="E1357" i="4"/>
  <c r="E1483" i="4"/>
  <c r="E1343" i="4"/>
  <c r="E982" i="4"/>
  <c r="E792" i="4"/>
  <c r="E468" i="4"/>
  <c r="E1299" i="4"/>
  <c r="E1785" i="4"/>
  <c r="E1000" i="4"/>
  <c r="E690" i="4"/>
  <c r="E467" i="4"/>
  <c r="E1701" i="4"/>
  <c r="E1480" i="4"/>
  <c r="E1308" i="4"/>
  <c r="E2074" i="4"/>
  <c r="E1885" i="4"/>
  <c r="E1886" i="4"/>
  <c r="E1460" i="4"/>
  <c r="E2236" i="4"/>
  <c r="E2462" i="4"/>
  <c r="E1239" i="4"/>
  <c r="E1100" i="4"/>
  <c r="E1604" i="4"/>
  <c r="E1248" i="4"/>
  <c r="E1063" i="4"/>
  <c r="E1051" i="4"/>
  <c r="E1111" i="4"/>
  <c r="E2044" i="4"/>
  <c r="E1825" i="4"/>
  <c r="E1517" i="4"/>
  <c r="E1456" i="4"/>
  <c r="E1969" i="4"/>
  <c r="E1749" i="4"/>
  <c r="E1813" i="4"/>
  <c r="E2345" i="4"/>
  <c r="E2307" i="4"/>
  <c r="E1808" i="4"/>
  <c r="E2132" i="4"/>
  <c r="E222" i="4"/>
  <c r="E2443" i="4"/>
  <c r="E963" i="4"/>
  <c r="E1122" i="4"/>
  <c r="E1626" i="4"/>
  <c r="E1484" i="4"/>
  <c r="E1124" i="4"/>
  <c r="E936" i="4"/>
  <c r="E922" i="4"/>
  <c r="E1442" i="4"/>
  <c r="E1926" i="4"/>
  <c r="E1699" i="4"/>
  <c r="E1392" i="4"/>
  <c r="E1337" i="4"/>
  <c r="E1850" i="4"/>
  <c r="E1630" i="4"/>
  <c r="E1451" i="4"/>
  <c r="E2222" i="4"/>
  <c r="E2122" i="4"/>
  <c r="E1585" i="4"/>
  <c r="E1912" i="4"/>
  <c r="E2089" i="4"/>
  <c r="E2189" i="4"/>
  <c r="E1065" i="4"/>
  <c r="E1151" i="4"/>
  <c r="E2060" i="4"/>
  <c r="E1840" i="4"/>
  <c r="E1533" i="4"/>
  <c r="E1471" i="4"/>
  <c r="E1250" i="4"/>
  <c r="E1765" i="4"/>
  <c r="E1829" i="4"/>
  <c r="E2361" i="4"/>
  <c r="E2346" i="4"/>
  <c r="E1959" i="4"/>
  <c r="E2178" i="4"/>
  <c r="E2387" i="4"/>
  <c r="E2505" i="4"/>
  <c r="E1068" i="4"/>
  <c r="E1579" i="4"/>
  <c r="E1438" i="4"/>
  <c r="E1078" i="4"/>
  <c r="E888" i="4"/>
  <c r="E874" i="4"/>
  <c r="E1395" i="4"/>
  <c r="E1879" i="4"/>
  <c r="E1651" i="4"/>
  <c r="E1025" i="4"/>
  <c r="E1289" i="4"/>
  <c r="E1796" i="4"/>
  <c r="E1575" i="4"/>
  <c r="E1404" i="4"/>
  <c r="E2175" i="4"/>
  <c r="E2051" i="4"/>
  <c r="E2255" i="4"/>
  <c r="E1665" i="4"/>
  <c r="E1889" i="4"/>
  <c r="E2450" i="4"/>
  <c r="E1937" i="4"/>
  <c r="E1718" i="4"/>
  <c r="E1553" i="4"/>
  <c r="E2314" i="4"/>
  <c r="E2270" i="4"/>
  <c r="E1744" i="4"/>
  <c r="E2070" i="4"/>
  <c r="E2468" i="4"/>
  <c r="E2071" i="4"/>
  <c r="E2315" i="4"/>
  <c r="E2138" i="4"/>
  <c r="E1983" i="4"/>
  <c r="E1554" i="4"/>
  <c r="E2202" i="4"/>
  <c r="E2312" i="4"/>
  <c r="E446" i="4"/>
  <c r="E1899" i="4"/>
  <c r="E30" i="4"/>
  <c r="E1038" i="4"/>
  <c r="E1933" i="4"/>
  <c r="E1584" i="4"/>
  <c r="E2279" i="4"/>
  <c r="E2116" i="4"/>
  <c r="E1689" i="4"/>
  <c r="E1938" i="4"/>
  <c r="E2009" i="4"/>
  <c r="E2274" i="4"/>
  <c r="E2211" i="4"/>
  <c r="E2349" i="4"/>
  <c r="E2087" i="4"/>
  <c r="E2084" i="4"/>
  <c r="E1935" i="4"/>
  <c r="E1506" i="4"/>
  <c r="E2156" i="4"/>
  <c r="E2267" i="4"/>
  <c r="E2507" i="4"/>
  <c r="E2483" i="4"/>
  <c r="E2441" i="4"/>
  <c r="E62" i="4"/>
  <c r="E2382" i="4"/>
  <c r="E2392" i="4"/>
  <c r="E2444" i="4"/>
  <c r="E2229" i="4"/>
  <c r="E2120" i="4"/>
  <c r="E2160" i="4"/>
  <c r="E1807" i="4"/>
  <c r="E1720" i="4"/>
  <c r="E2340" i="4"/>
  <c r="E2046" i="4"/>
  <c r="E2150" i="4"/>
  <c r="E2390" i="4"/>
  <c r="E2408" i="4"/>
  <c r="E2491" i="4"/>
  <c r="E2237" i="4"/>
  <c r="E2310" i="4"/>
  <c r="E2164" i="4"/>
  <c r="E2245" i="4"/>
  <c r="E2318" i="4"/>
  <c r="E2157" i="4"/>
  <c r="E2105" i="4"/>
  <c r="E1048" i="4"/>
  <c r="E615" i="4"/>
  <c r="E2080" i="4"/>
  <c r="E1988" i="4"/>
  <c r="E1297" i="4"/>
  <c r="E2028" i="4"/>
  <c r="E1227" i="4"/>
  <c r="E903" i="4"/>
  <c r="E1406" i="4"/>
  <c r="E876" i="4"/>
  <c r="E189" i="4"/>
  <c r="E363" i="4"/>
  <c r="E434" i="4"/>
  <c r="E330" i="4"/>
  <c r="E517" i="4"/>
  <c r="E447" i="4"/>
  <c r="E1721" i="4"/>
  <c r="E1427" i="4"/>
  <c r="E1676" i="4"/>
  <c r="E1839" i="4"/>
  <c r="E1094" i="4"/>
  <c r="E760" i="4"/>
  <c r="E1270" i="4"/>
  <c r="E788" i="4"/>
  <c r="E117" i="4"/>
  <c r="E284" i="4"/>
  <c r="E243" i="4"/>
  <c r="E258" i="4"/>
  <c r="E416" i="4"/>
  <c r="E375" i="4"/>
  <c r="E259" i="4"/>
  <c r="E2329" i="4"/>
  <c r="E1877" i="4"/>
  <c r="E1693" i="4"/>
  <c r="E1723" i="4"/>
  <c r="E1096" i="4"/>
  <c r="E1211" i="4"/>
  <c r="E1069" i="4"/>
  <c r="E2143" i="4"/>
  <c r="E2278" i="4"/>
  <c r="E1945" i="4"/>
  <c r="E1864" i="4"/>
  <c r="E1275" i="4"/>
  <c r="E1328" i="4"/>
  <c r="E1178" i="4"/>
  <c r="E1216" i="4"/>
  <c r="E553" i="4"/>
  <c r="E735" i="4"/>
  <c r="E773" i="4"/>
  <c r="E622" i="4"/>
  <c r="E787" i="4"/>
  <c r="E723" i="4"/>
  <c r="E469" i="4"/>
  <c r="E1751" i="4"/>
  <c r="E1410" i="4"/>
  <c r="E578" i="4"/>
  <c r="E1411" i="4"/>
  <c r="E713" i="4"/>
  <c r="E1271" i="4"/>
  <c r="E1317" i="4"/>
  <c r="E617" i="4"/>
  <c r="E884" i="4"/>
  <c r="E1019" i="4"/>
  <c r="E1547" i="4"/>
  <c r="E1407" i="4"/>
  <c r="E1042" i="4"/>
  <c r="E856" i="4"/>
  <c r="E651" i="4"/>
  <c r="E1363" i="4"/>
  <c r="E1847" i="4"/>
  <c r="E1620" i="4"/>
  <c r="E754" i="4"/>
  <c r="E1066" i="4"/>
  <c r="E1764" i="4"/>
  <c r="E1543" i="4"/>
  <c r="E1372" i="4"/>
  <c r="E2144" i="4"/>
  <c r="E1981" i="4"/>
  <c r="E2192" i="4"/>
  <c r="E1602" i="4"/>
  <c r="E2359" i="4"/>
  <c r="E2495" i="4"/>
  <c r="E1302" i="4"/>
  <c r="E1162" i="4"/>
  <c r="E799" i="4"/>
  <c r="E1312" i="4"/>
  <c r="E1125" i="4"/>
  <c r="E1112" i="4"/>
  <c r="E1199" i="4"/>
  <c r="E809" i="4"/>
  <c r="E1888" i="4"/>
  <c r="E1581" i="4"/>
  <c r="E1518" i="4"/>
  <c r="E1298" i="4"/>
  <c r="E1820" i="4"/>
  <c r="E1884" i="4"/>
  <c r="E2409" i="4"/>
  <c r="E1552" i="4"/>
  <c r="E2037" i="4"/>
  <c r="E1779" i="4"/>
  <c r="E2383" i="4"/>
  <c r="E569" i="4"/>
  <c r="E1047" i="4"/>
  <c r="E1185" i="4"/>
  <c r="E1020" i="4"/>
  <c r="E1548" i="4"/>
  <c r="E1187" i="4"/>
  <c r="E999" i="4"/>
  <c r="E1001" i="4"/>
  <c r="E1504" i="4"/>
  <c r="E1990" i="4"/>
  <c r="E1770" i="4"/>
  <c r="E1463" i="4"/>
  <c r="E1401" i="4"/>
  <c r="E1913" i="4"/>
  <c r="E1694" i="4"/>
  <c r="E1529" i="4"/>
  <c r="E2293" i="4"/>
  <c r="E2231" i="4"/>
  <c r="E1712" i="4"/>
  <c r="E2038" i="4"/>
  <c r="E2398" i="4"/>
  <c r="E2489" i="4"/>
  <c r="E1135" i="4"/>
  <c r="E1215" i="4"/>
  <c r="E825" i="4"/>
  <c r="E1911" i="4"/>
  <c r="E1597" i="4"/>
  <c r="E1534" i="4"/>
  <c r="E1314" i="4"/>
  <c r="E1843" i="4"/>
  <c r="E1900" i="4"/>
  <c r="E2425" i="4"/>
  <c r="E1568" i="4"/>
  <c r="E2085" i="4"/>
  <c r="E1906" i="4"/>
  <c r="E2399" i="4"/>
  <c r="E995" i="4"/>
  <c r="E1137" i="4"/>
  <c r="E973" i="4"/>
  <c r="E1500" i="4"/>
  <c r="E1139" i="4"/>
  <c r="E952" i="4"/>
  <c r="E938" i="4"/>
  <c r="E1458" i="4"/>
  <c r="E1942" i="4"/>
  <c r="E1715" i="4"/>
  <c r="E1408" i="4"/>
  <c r="E1353" i="4"/>
  <c r="E1866" i="4"/>
  <c r="E1646" i="4"/>
  <c r="E1474" i="4"/>
  <c r="E2238" i="4"/>
  <c r="E2153" i="4"/>
  <c r="E1609" i="4"/>
  <c r="E1936" i="4"/>
  <c r="E2265" i="4"/>
  <c r="E2386" i="4"/>
  <c r="E1266" i="4"/>
  <c r="E1781" i="4"/>
  <c r="E1852" i="4"/>
  <c r="E2377" i="4"/>
  <c r="E2370" i="4"/>
  <c r="E1975" i="4"/>
  <c r="E2194" i="4"/>
  <c r="E2475" i="4"/>
  <c r="E2333" i="4"/>
  <c r="E1512" i="4"/>
  <c r="E2208" i="4"/>
  <c r="E2045" i="4"/>
  <c r="E1618" i="4"/>
  <c r="E1787" i="4"/>
  <c r="E1841" i="4"/>
  <c r="E2513" i="4"/>
  <c r="E1963" i="4"/>
  <c r="E430" i="4"/>
  <c r="E2015" i="4"/>
  <c r="E2011" i="4"/>
  <c r="E1655" i="4"/>
  <c r="E1235" i="4"/>
  <c r="E2193" i="4"/>
  <c r="E1896" i="4"/>
  <c r="E2001" i="4"/>
  <c r="E2073" i="4"/>
  <c r="E2415" i="4"/>
  <c r="E2368" i="4"/>
  <c r="E1365" i="4"/>
  <c r="E2396" i="4"/>
  <c r="E2154" i="4"/>
  <c r="E1998" i="4"/>
  <c r="E1570" i="4"/>
  <c r="E2218" i="4"/>
  <c r="E2328" i="4"/>
  <c r="E2118" i="4"/>
  <c r="E1915" i="4"/>
  <c r="E54" i="4"/>
  <c r="E2174" i="4"/>
  <c r="E2445" i="4"/>
  <c r="E2435" i="4"/>
  <c r="E2292" i="4"/>
  <c r="E2426" i="4"/>
  <c r="E2421" i="4"/>
  <c r="E2223" i="4"/>
  <c r="E1870" i="4"/>
  <c r="E1784" i="4"/>
  <c r="E1444" i="4"/>
  <c r="E2109" i="4"/>
  <c r="E2220" i="4"/>
  <c r="E2460" i="4"/>
  <c r="E2465" i="4"/>
  <c r="E2299" i="4"/>
  <c r="E2434" i="4"/>
  <c r="E2459" i="4"/>
  <c r="E2479" i="4"/>
  <c r="E2449" i="4"/>
  <c r="E2498" i="4"/>
  <c r="E1482" i="4"/>
  <c r="E1836" i="4"/>
  <c r="E1033" i="4"/>
  <c r="E548" i="4"/>
  <c r="E1976" i="4"/>
  <c r="E1497" i="4"/>
  <c r="E1684" i="4"/>
  <c r="E1887" i="4"/>
  <c r="E1102" i="4"/>
  <c r="E775" i="4"/>
  <c r="E1278" i="4"/>
  <c r="E796" i="4"/>
  <c r="E125" i="4"/>
  <c r="E292" i="4"/>
  <c r="E251" i="4"/>
  <c r="E266" i="4"/>
  <c r="E424" i="4"/>
  <c r="E2155" i="4"/>
  <c r="E1149" i="4"/>
  <c r="E1493" i="4"/>
  <c r="E1698" i="4"/>
  <c r="E960" i="4"/>
  <c r="E1508" i="4"/>
  <c r="E1145" i="4"/>
  <c r="E87" i="4"/>
  <c r="E902" i="4"/>
  <c r="E941" i="4"/>
  <c r="E179" i="4"/>
  <c r="E955" i="4"/>
  <c r="E352" i="4"/>
  <c r="E24" i="4"/>
  <c r="E196" i="4"/>
  <c r="E2484" i="4"/>
  <c r="E2330" i="4"/>
  <c r="E1502" i="4"/>
  <c r="E984" i="4"/>
  <c r="E946" i="4"/>
  <c r="E1086" i="4"/>
  <c r="E1587" i="4"/>
  <c r="E2313" i="4"/>
  <c r="E1861" i="4"/>
  <c r="E1685" i="4"/>
  <c r="E1675" i="4"/>
  <c r="E1089" i="4"/>
  <c r="E1195" i="4"/>
  <c r="E1041" i="4"/>
  <c r="E1114" i="4"/>
  <c r="E333" i="4"/>
  <c r="E671" i="4"/>
  <c r="E710" i="4"/>
  <c r="E558" i="4"/>
  <c r="E724" i="4"/>
  <c r="E659" i="4"/>
  <c r="E409" i="4"/>
  <c r="E2488" i="4"/>
  <c r="E2183" i="4"/>
  <c r="E1890" i="4"/>
  <c r="E1856" i="4"/>
  <c r="E1228" i="4"/>
  <c r="E1296" i="4"/>
  <c r="E1146" i="4"/>
  <c r="E1208" i="4"/>
  <c r="E537" i="4"/>
  <c r="E948" i="4"/>
  <c r="E1107" i="4"/>
  <c r="E1611" i="4"/>
  <c r="E1469" i="4"/>
  <c r="E1109" i="4"/>
  <c r="E920" i="4"/>
  <c r="E906" i="4"/>
  <c r="E1426" i="4"/>
  <c r="E1910" i="4"/>
  <c r="E1683" i="4"/>
  <c r="E1376" i="4"/>
  <c r="E1321" i="4"/>
  <c r="E1835" i="4"/>
  <c r="E1607" i="4"/>
  <c r="E1435" i="4"/>
  <c r="E2206" i="4"/>
  <c r="E2106" i="4"/>
  <c r="E1036" i="4"/>
  <c r="E1729" i="4"/>
  <c r="E2049" i="4"/>
  <c r="E1405" i="4"/>
  <c r="E1366" i="4"/>
  <c r="E1226" i="4"/>
  <c r="E863" i="4"/>
  <c r="E665" i="4"/>
  <c r="E1188" i="4"/>
  <c r="E1182" i="4"/>
  <c r="E1666" i="4"/>
  <c r="E873" i="4"/>
  <c r="E522" i="4"/>
  <c r="E1644" i="4"/>
  <c r="E1582" i="4"/>
  <c r="E1362" i="4"/>
  <c r="E1165" i="4"/>
  <c r="E1948" i="4"/>
  <c r="E2471" i="4"/>
  <c r="E1663" i="4"/>
  <c r="E2170" i="4"/>
  <c r="E1986" i="4"/>
  <c r="E2336" i="4"/>
  <c r="E633" i="4"/>
  <c r="E1106" i="4"/>
  <c r="E1246" i="4"/>
  <c r="E1108" i="4"/>
  <c r="E1612" i="4"/>
  <c r="E1256" i="4"/>
  <c r="E1071" i="4"/>
  <c r="E1057" i="4"/>
  <c r="E1143" i="4"/>
  <c r="E2052" i="4"/>
  <c r="E1833" i="4"/>
  <c r="E1525" i="4"/>
  <c r="E1464" i="4"/>
  <c r="E1977" i="4"/>
  <c r="E1757" i="4"/>
  <c r="E1821" i="4"/>
  <c r="E2353" i="4"/>
  <c r="E2338" i="4"/>
  <c r="E1943" i="4"/>
  <c r="E2163" i="4"/>
  <c r="E246" i="4"/>
  <c r="E2497" i="4"/>
  <c r="E1198" i="4"/>
  <c r="E1682" i="4"/>
  <c r="E889" i="4"/>
  <c r="E546" i="4"/>
  <c r="E1660" i="4"/>
  <c r="E1598" i="4"/>
  <c r="E1378" i="4"/>
  <c r="E1181" i="4"/>
  <c r="E1964" i="4"/>
  <c r="E1758" i="4"/>
  <c r="E1687" i="4"/>
  <c r="E2225" i="4"/>
  <c r="E2032" i="4"/>
  <c r="E2432" i="4"/>
  <c r="E1059" i="4"/>
  <c r="E1201" i="4"/>
  <c r="E1061" i="4"/>
  <c r="E1564" i="4"/>
  <c r="E1203" i="4"/>
  <c r="E1014" i="4"/>
  <c r="E1016" i="4"/>
  <c r="E1015" i="4"/>
  <c r="E2004" i="4"/>
  <c r="E1786" i="4"/>
  <c r="E1478" i="4"/>
  <c r="E1417" i="4"/>
  <c r="E1929" i="4"/>
  <c r="E1710" i="4"/>
  <c r="E1545" i="4"/>
  <c r="E2306" i="4"/>
  <c r="E2247" i="4"/>
  <c r="E1736" i="4"/>
  <c r="E2062" i="4"/>
  <c r="E2414" i="4"/>
  <c r="E2063" i="4"/>
  <c r="E1330" i="4"/>
  <c r="E1029" i="4"/>
  <c r="E1916" i="4"/>
  <c r="E2440" i="4"/>
  <c r="E1600" i="4"/>
  <c r="E2101" i="4"/>
  <c r="E1922" i="4"/>
  <c r="E2469" i="4"/>
  <c r="E1925" i="4"/>
  <c r="E1576" i="4"/>
  <c r="E2271" i="4"/>
  <c r="E2108" i="4"/>
  <c r="E1681" i="4"/>
  <c r="E1930" i="4"/>
  <c r="E1993" i="4"/>
  <c r="E2266" i="4"/>
  <c r="E2203" i="4"/>
  <c r="E2496" i="4"/>
  <c r="E2079" i="4"/>
  <c r="E2075" i="4"/>
  <c r="E1719" i="4"/>
  <c r="E1632" i="4"/>
  <c r="E2256" i="4"/>
  <c r="E1960" i="4"/>
  <c r="E2064" i="4"/>
  <c r="E2289" i="4"/>
  <c r="E2493" i="4"/>
  <c r="E254" i="4"/>
  <c r="E2125" i="4"/>
  <c r="E2458" i="4"/>
  <c r="E2224" i="4"/>
  <c r="E2061" i="4"/>
  <c r="E1633" i="4"/>
  <c r="E1803" i="4"/>
  <c r="E1857" i="4"/>
  <c r="E1826" i="4"/>
  <c r="E1979" i="4"/>
  <c r="E2158" i="4"/>
  <c r="E2031" i="4"/>
  <c r="E2514" i="4"/>
  <c r="E1859" i="4"/>
  <c r="E2456" i="4"/>
  <c r="E78" i="4"/>
  <c r="E1766" i="4"/>
  <c r="E2286" i="4"/>
  <c r="E2100" i="4"/>
  <c r="E1951" i="4"/>
  <c r="E1522" i="4"/>
  <c r="E2171" i="4"/>
  <c r="E2283" i="4"/>
  <c r="E2470" i="4"/>
  <c r="E1867" i="4"/>
  <c r="E2472" i="4"/>
  <c r="E190" i="4"/>
  <c r="E1875" i="4"/>
  <c r="E2480" i="4"/>
  <c r="E206" i="4"/>
  <c r="E2439" i="4"/>
  <c r="E1467" i="4"/>
  <c r="E1812" i="4"/>
  <c r="E1245" i="4"/>
  <c r="E541" i="4"/>
  <c r="E2272" i="4"/>
  <c r="E1205" i="4"/>
  <c r="E1501" i="4"/>
  <c r="E1706" i="4"/>
  <c r="E967" i="4"/>
  <c r="E1516" i="4"/>
  <c r="E1153" i="4"/>
  <c r="E717" i="4"/>
  <c r="E910" i="4"/>
  <c r="E949" i="4"/>
  <c r="E187" i="4"/>
  <c r="E962" i="4"/>
  <c r="E360" i="4"/>
  <c r="L10" i="4"/>
  <c r="E2316" i="4"/>
  <c r="E1599" i="4"/>
  <c r="E746" i="4"/>
  <c r="E1031" i="4"/>
  <c r="E832" i="4"/>
  <c r="E1383" i="4"/>
  <c r="E996" i="4"/>
  <c r="E672" i="4"/>
  <c r="E838" i="4"/>
  <c r="E877" i="4"/>
  <c r="E115" i="4"/>
  <c r="E891" i="4"/>
  <c r="E289" i="4"/>
  <c r="E639" i="4"/>
  <c r="E132" i="4"/>
  <c r="AK5" i="5"/>
  <c r="AS5" i="5" s="1"/>
  <c r="AD5" i="5"/>
  <c r="AL5" i="5" s="1"/>
  <c r="AH5" i="5"/>
  <c r="AP5" i="5" s="1"/>
  <c r="E4452" i="4"/>
  <c r="E3997" i="4"/>
  <c r="E4563" i="4"/>
  <c r="E4438" i="4"/>
  <c r="E3967" i="4"/>
  <c r="E5008" i="4"/>
  <c r="E4647" i="4"/>
  <c r="E3778" i="4"/>
  <c r="E4235" i="4"/>
  <c r="E4297" i="4"/>
  <c r="E4257" i="4"/>
  <c r="E4435" i="4"/>
  <c r="E4845" i="4"/>
  <c r="E4709" i="4"/>
  <c r="E4459" i="4"/>
  <c r="E4397" i="4"/>
  <c r="E4736" i="4"/>
  <c r="E4941" i="4"/>
  <c r="E4465" i="4"/>
  <c r="E3906" i="4"/>
  <c r="E3774" i="4"/>
  <c r="E3875" i="4"/>
  <c r="E3841" i="4"/>
  <c r="E4326" i="4"/>
  <c r="E4214" i="4"/>
  <c r="E4118" i="4"/>
  <c r="E4022" i="4"/>
  <c r="E2683" i="4"/>
  <c r="E3398" i="4"/>
  <c r="E3677" i="4"/>
  <c r="E3064" i="4"/>
  <c r="E3596" i="4"/>
  <c r="E2915" i="4"/>
  <c r="E3553" i="4"/>
  <c r="E2927" i="4"/>
  <c r="E3433" i="4"/>
  <c r="E3747" i="4"/>
  <c r="E3083" i="4"/>
  <c r="E2779" i="4"/>
  <c r="E4598" i="4"/>
  <c r="E5010" i="4"/>
  <c r="E4203" i="4"/>
  <c r="E4376" i="4"/>
  <c r="E2952" i="4"/>
  <c r="E4850" i="4"/>
  <c r="E4479" i="4"/>
  <c r="E3325" i="4"/>
  <c r="E4700" i="4"/>
  <c r="E4402" i="4"/>
  <c r="E4641" i="4"/>
  <c r="E5011" i="4"/>
  <c r="E4811" i="4"/>
  <c r="E4693" i="4"/>
  <c r="E4395" i="4"/>
  <c r="E2736" i="4"/>
  <c r="E4652" i="4"/>
  <c r="E4911" i="4"/>
  <c r="E4520" i="4"/>
  <c r="E4061" i="4"/>
  <c r="E3640" i="4"/>
  <c r="E3602" i="4"/>
  <c r="E3908" i="4"/>
  <c r="E2661" i="4"/>
  <c r="E4246" i="4"/>
  <c r="E4134" i="4"/>
  <c r="E4038" i="4"/>
  <c r="E3529" i="4"/>
  <c r="E3738" i="4"/>
  <c r="E3869" i="4"/>
  <c r="E3431" i="4"/>
  <c r="E2589" i="4"/>
  <c r="E3404" i="4"/>
  <c r="E3745" i="4"/>
  <c r="E3425" i="4"/>
  <c r="E3654" i="4"/>
  <c r="E3318" i="4"/>
  <c r="E3811" i="4"/>
  <c r="E3555" i="4"/>
  <c r="E2949" i="4"/>
  <c r="E3299" i="4"/>
  <c r="E2963" i="4"/>
  <c r="E3448" i="4"/>
  <c r="E3128" i="4"/>
  <c r="E2649" i="4"/>
  <c r="E2941" i="4"/>
  <c r="E3354" i="4"/>
  <c r="E3035" i="4"/>
  <c r="E2517" i="4"/>
  <c r="E3044" i="4"/>
  <c r="E2724" i="4"/>
  <c r="E2567" i="4"/>
  <c r="E4388" i="4"/>
  <c r="E4543" i="4"/>
  <c r="E3904" i="4"/>
  <c r="E4686" i="4"/>
  <c r="E4581" i="4"/>
  <c r="E4340" i="4"/>
  <c r="E2854" i="4"/>
  <c r="E4918" i="4"/>
  <c r="E4638" i="4"/>
  <c r="E3988" i="4"/>
  <c r="E4938" i="4"/>
  <c r="E4608" i="4"/>
  <c r="E4389" i="4"/>
  <c r="E3775" i="4"/>
  <c r="E4940" i="4"/>
  <c r="E4315" i="4"/>
  <c r="E4909" i="4"/>
  <c r="E4771" i="4"/>
  <c r="E4707" i="4"/>
  <c r="E4619" i="4"/>
  <c r="E4083" i="4"/>
  <c r="E4381" i="4"/>
  <c r="E4724" i="4"/>
  <c r="E5001" i="4"/>
  <c r="E4817" i="4"/>
  <c r="E4462" i="4"/>
  <c r="E4045" i="4"/>
  <c r="E2534" i="4"/>
  <c r="E3626" i="4"/>
  <c r="E3939" i="4"/>
  <c r="E3414" i="4"/>
  <c r="E3838" i="4"/>
  <c r="E3013" i="4"/>
  <c r="E4292" i="4"/>
  <c r="E4228" i="4"/>
  <c r="E4164" i="4"/>
  <c r="E4100" i="4"/>
  <c r="E4052" i="4"/>
  <c r="E3874" i="4"/>
  <c r="E3388" i="4"/>
  <c r="E3892" i="4"/>
  <c r="E3043" i="4"/>
  <c r="E3673" i="4"/>
  <c r="E3301" i="4"/>
  <c r="E3646" i="4"/>
  <c r="E3183" i="4"/>
  <c r="E3675" i="4"/>
  <c r="E2943" i="4"/>
  <c r="E3227" i="4"/>
  <c r="E2856" i="4"/>
  <c r="E2617" i="4"/>
  <c r="E3248" i="4"/>
  <c r="E2981" i="4"/>
  <c r="E2626" i="4"/>
  <c r="E3213" i="4"/>
  <c r="E2938" i="4"/>
  <c r="E3410" i="4"/>
  <c r="E3099" i="4"/>
  <c r="E2785" i="4"/>
  <c r="E2639" i="4"/>
  <c r="E2693" i="4"/>
  <c r="E2972" i="4"/>
  <c r="E2716" i="4"/>
  <c r="E2726" i="4"/>
  <c r="E2650" i="4"/>
  <c r="E2627" i="4"/>
  <c r="E4263" i="4"/>
  <c r="E4480" i="4"/>
  <c r="E4524" i="4"/>
  <c r="E4197" i="4"/>
  <c r="E3647" i="4"/>
  <c r="E3839" i="4"/>
  <c r="E4684" i="4"/>
  <c r="E4399" i="4"/>
  <c r="E3973" i="4"/>
  <c r="E4928" i="4"/>
  <c r="E4601" i="4"/>
  <c r="E4386" i="4"/>
  <c r="E3762" i="4"/>
  <c r="E4846" i="4"/>
  <c r="E4969" i="4"/>
  <c r="E4835" i="4"/>
  <c r="E4737" i="4"/>
  <c r="E4673" i="4"/>
  <c r="E4443" i="4"/>
  <c r="E3907" i="4"/>
  <c r="E3855" i="4"/>
  <c r="E4716" i="4"/>
  <c r="E4997" i="4"/>
  <c r="E4873" i="4"/>
  <c r="E4548" i="4"/>
  <c r="E4385" i="4"/>
  <c r="E4157" i="4"/>
  <c r="E4010" i="4"/>
  <c r="E3591" i="4"/>
  <c r="E3977" i="4"/>
  <c r="E3719" i="4"/>
  <c r="E2688" i="4"/>
  <c r="E3835" i="4"/>
  <c r="E2995" i="4"/>
  <c r="E4274" i="4"/>
  <c r="E4210" i="4"/>
  <c r="E4146" i="4"/>
  <c r="E4098" i="4"/>
  <c r="E4050" i="4"/>
  <c r="E3871" i="4"/>
  <c r="E2928" i="4"/>
  <c r="E3822" i="4"/>
  <c r="E3543" i="4"/>
  <c r="E2633" i="4"/>
  <c r="E3789" i="4"/>
  <c r="E3597" i="4"/>
  <c r="E3303" i="4"/>
  <c r="E2815" i="4"/>
  <c r="E3708" i="4"/>
  <c r="E3366" i="4"/>
  <c r="E2902" i="4"/>
  <c r="E3601" i="4"/>
  <c r="E3537" i="4"/>
  <c r="E3006" i="4"/>
  <c r="E3501" i="4"/>
  <c r="E2998" i="4"/>
  <c r="E3795" i="4"/>
  <c r="E3415" i="4"/>
  <c r="E3071" i="4"/>
  <c r="E2628" i="4"/>
  <c r="E3347" i="4"/>
  <c r="E3219" i="4"/>
  <c r="E3091" i="4"/>
  <c r="E2849" i="4"/>
  <c r="E2673" i="4"/>
  <c r="E3496" i="4"/>
  <c r="E3368" i="4"/>
  <c r="E3240" i="4"/>
  <c r="E3112" i="4"/>
  <c r="E2911" i="4"/>
  <c r="E2758" i="4"/>
  <c r="E2549" i="4"/>
  <c r="E3002" i="4"/>
  <c r="E2831" i="4"/>
  <c r="E3466" i="4"/>
  <c r="E3338" i="4"/>
  <c r="E3210" i="4"/>
  <c r="E3029" i="4"/>
  <c r="E2855" i="4"/>
  <c r="E2705" i="4"/>
  <c r="E2878" i="4"/>
  <c r="E2674" i="4"/>
  <c r="E3092" i="4"/>
  <c r="E2964" i="4"/>
  <c r="E2772" i="4"/>
  <c r="E2660" i="4"/>
  <c r="E2718" i="4"/>
  <c r="E2619" i="4"/>
  <c r="E4468" i="4"/>
  <c r="E4311" i="4"/>
  <c r="E3824" i="4"/>
  <c r="E4630" i="4"/>
  <c r="E4161" i="4"/>
  <c r="E4984" i="4"/>
  <c r="E4742" i="4"/>
  <c r="E4464" i="4"/>
  <c r="E4629" i="4"/>
  <c r="E4521" i="4"/>
  <c r="E4364" i="4"/>
  <c r="E4181" i="4"/>
  <c r="E3610" i="4"/>
  <c r="E4193" i="4"/>
  <c r="E4978" i="4"/>
  <c r="E4750" i="4"/>
  <c r="E3903" i="4"/>
  <c r="E4558" i="4"/>
  <c r="E4396" i="4"/>
  <c r="E4239" i="4"/>
  <c r="E4111" i="4"/>
  <c r="E3958" i="4"/>
  <c r="E3568" i="4"/>
  <c r="E2985" i="4"/>
  <c r="E4545" i="4"/>
  <c r="E4996" i="4"/>
  <c r="E4916" i="4"/>
  <c r="E4838" i="4"/>
  <c r="E4754" i="4"/>
  <c r="E4672" i="4"/>
  <c r="E3810" i="4"/>
  <c r="E4592" i="4"/>
  <c r="E4534" i="4"/>
  <c r="E4501" i="4"/>
  <c r="E4437" i="4"/>
  <c r="E4379" i="4"/>
  <c r="E4347" i="4"/>
  <c r="E4249" i="4"/>
  <c r="E4121" i="4"/>
  <c r="E3980" i="4"/>
  <c r="E3704" i="4"/>
  <c r="E3113" i="4"/>
  <c r="E4493" i="4"/>
  <c r="E5002" i="4"/>
  <c r="E4920" i="4"/>
  <c r="E4836" i="4"/>
  <c r="E4756" i="4"/>
  <c r="E4678" i="4"/>
  <c r="E4219" i="4"/>
  <c r="E4999" i="4"/>
  <c r="E4965" i="4"/>
  <c r="E4935" i="4"/>
  <c r="E4901" i="4"/>
  <c r="E4865" i="4"/>
  <c r="E4831" i="4"/>
  <c r="E4801" i="4"/>
  <c r="E4783" i="4"/>
  <c r="E4767" i="4"/>
  <c r="E4751" i="4"/>
  <c r="E4735" i="4"/>
  <c r="E4719" i="4"/>
  <c r="E4703" i="4"/>
  <c r="E4687" i="4"/>
  <c r="E4671" i="4"/>
  <c r="E4655" i="4"/>
  <c r="E4603" i="4"/>
  <c r="E4504" i="4"/>
  <c r="E4440" i="4"/>
  <c r="E4307" i="4"/>
  <c r="E4179" i="4"/>
  <c r="E4051" i="4"/>
  <c r="E3891" i="4"/>
  <c r="E3583" i="4"/>
  <c r="E3143" i="4"/>
  <c r="E4535" i="4"/>
  <c r="E4341" i="4"/>
  <c r="E3698" i="4"/>
  <c r="E4952" i="4"/>
  <c r="E4872" i="4"/>
  <c r="E4792" i="4"/>
  <c r="E4706" i="4"/>
  <c r="E4570" i="4"/>
  <c r="E4299" i="4"/>
  <c r="E3535" i="4"/>
  <c r="E4995" i="4"/>
  <c r="E4963" i="4"/>
  <c r="E4931" i="4"/>
  <c r="E4899" i="4"/>
  <c r="E4871" i="4"/>
  <c r="E4841" i="4"/>
  <c r="E4809" i="4"/>
  <c r="E4605" i="4"/>
  <c r="E4541" i="4"/>
  <c r="E4509" i="4"/>
  <c r="E4446" i="4"/>
  <c r="E4382" i="4"/>
  <c r="E4350" i="4"/>
  <c r="E4269" i="4"/>
  <c r="E4141" i="4"/>
  <c r="E4013" i="4"/>
  <c r="E3833" i="4"/>
  <c r="E3465" i="4"/>
  <c r="E4002" i="4"/>
  <c r="E3937" i="4"/>
  <c r="E3870" i="4"/>
  <c r="E3726" i="4"/>
  <c r="E3576" i="4"/>
  <c r="E3350" i="4"/>
  <c r="E2922" i="4"/>
  <c r="E2624" i="4"/>
  <c r="E3969" i="4"/>
  <c r="E3890" i="4"/>
  <c r="E3823" i="4"/>
  <c r="E3703" i="4"/>
  <c r="E3538" i="4"/>
  <c r="E3334" i="4"/>
  <c r="E3080" i="4"/>
  <c r="E2615" i="4"/>
  <c r="E3966" i="4"/>
  <c r="E3899" i="4"/>
  <c r="E3832" i="4"/>
  <c r="E3702" i="4"/>
  <c r="E3544" i="4"/>
  <c r="E3389" i="4"/>
  <c r="E2979" i="4"/>
  <c r="E4336" i="4"/>
  <c r="E4320" i="4"/>
  <c r="E4304" i="4"/>
  <c r="E4288" i="4"/>
  <c r="E4272" i="4"/>
  <c r="E4256" i="4"/>
  <c r="E4240" i="4"/>
  <c r="E4224" i="4"/>
  <c r="E4208" i="4"/>
  <c r="E4192" i="4"/>
  <c r="E4176" i="4"/>
  <c r="E4160" i="4"/>
  <c r="E4144" i="4"/>
  <c r="E4128" i="4"/>
  <c r="E4112" i="4"/>
  <c r="E4096" i="4"/>
  <c r="E4080" i="4"/>
  <c r="E4064" i="4"/>
  <c r="E4048" i="4"/>
  <c r="E4032" i="4"/>
  <c r="E4016" i="4"/>
  <c r="E3935" i="4"/>
  <c r="E3868" i="4"/>
  <c r="E3760" i="4"/>
  <c r="E3615" i="4"/>
  <c r="E3308" i="4"/>
  <c r="E2912" i="4"/>
  <c r="E4000" i="4"/>
  <c r="E3953" i="4"/>
  <c r="E3886" i="4"/>
  <c r="E3818" i="4"/>
  <c r="E3690" i="4"/>
  <c r="E3527" i="4"/>
  <c r="E3319" i="4"/>
  <c r="E3074" i="4"/>
  <c r="E2606" i="4"/>
  <c r="E3909" i="4"/>
  <c r="E3845" i="4"/>
  <c r="E3781" i="4"/>
  <c r="E3717" i="4"/>
  <c r="E3653" i="4"/>
  <c r="E3589" i="4"/>
  <c r="E3495" i="4"/>
  <c r="E3393" i="4"/>
  <c r="E3278" i="4"/>
  <c r="E3166" i="4"/>
  <c r="E3003" i="4"/>
  <c r="E2794" i="4"/>
  <c r="E2723" i="4"/>
  <c r="E2520" i="4"/>
  <c r="E3764" i="4"/>
  <c r="E3700" i="4"/>
  <c r="E3636" i="4"/>
  <c r="E3572" i="4"/>
  <c r="E3468" i="4"/>
  <c r="E3357" i="4"/>
  <c r="E3263" i="4"/>
  <c r="E3137" i="4"/>
  <c r="E3031" i="4"/>
  <c r="E2791" i="4"/>
  <c r="E2623" i="4"/>
  <c r="E3785" i="4"/>
  <c r="E3721" i="4"/>
  <c r="E3657" i="4"/>
  <c r="E3593" i="4"/>
  <c r="E3525" i="4"/>
  <c r="E3489" i="4"/>
  <c r="E3374" i="4"/>
  <c r="E3284" i="4"/>
  <c r="E3158" i="4"/>
  <c r="E3000" i="4"/>
  <c r="E2874" i="4"/>
  <c r="E2687" i="4"/>
  <c r="E3630" i="4"/>
  <c r="E3566" i="4"/>
  <c r="E3497" i="4"/>
  <c r="E3382" i="4"/>
  <c r="E3292" i="4"/>
  <c r="E3151" i="4"/>
  <c r="E2992" i="4"/>
  <c r="E2851" i="4"/>
  <c r="E2610" i="4"/>
  <c r="E3787" i="4"/>
  <c r="E3723" i="4"/>
  <c r="E3659" i="4"/>
  <c r="E3595" i="4"/>
  <c r="E3505" i="4"/>
  <c r="E3390" i="4"/>
  <c r="E3300" i="4"/>
  <c r="E3172" i="4"/>
  <c r="E3022" i="4"/>
  <c r="E2781" i="4"/>
  <c r="E2600" i="4"/>
  <c r="E3467" i="4"/>
  <c r="E3403" i="4"/>
  <c r="E3339" i="4"/>
  <c r="E3275" i="4"/>
  <c r="E3211" i="4"/>
  <c r="E3147" i="4"/>
  <c r="E3088" i="4"/>
  <c r="E3021" i="4"/>
  <c r="E2954" i="4"/>
  <c r="E2839" i="4"/>
  <c r="E2762" i="4"/>
  <c r="E2668" i="4"/>
  <c r="E2566" i="4"/>
  <c r="E3488" i="4"/>
  <c r="E3424" i="4"/>
  <c r="E3360" i="4"/>
  <c r="E3296" i="4"/>
  <c r="E3232" i="4"/>
  <c r="E3168" i="4"/>
  <c r="E3109" i="4"/>
  <c r="E3042" i="4"/>
  <c r="E2975" i="4"/>
  <c r="E2901" i="4"/>
  <c r="E2821" i="4"/>
  <c r="E2737" i="4"/>
  <c r="E2616" i="4"/>
  <c r="E2532" i="4"/>
  <c r="E3197" i="4"/>
  <c r="E3133" i="4"/>
  <c r="E3066" i="4"/>
  <c r="E2999" i="4"/>
  <c r="E2904" i="4"/>
  <c r="E2824" i="4"/>
  <c r="E2730" i="4"/>
  <c r="E2554" i="4"/>
  <c r="E3458" i="4"/>
  <c r="E3394" i="4"/>
  <c r="E3330" i="4"/>
  <c r="E3266" i="4"/>
  <c r="E3202" i="4"/>
  <c r="E3138" i="4"/>
  <c r="E3093" i="4"/>
  <c r="E3026" i="4"/>
  <c r="E2959" i="4"/>
  <c r="E2848" i="4"/>
  <c r="E2771" i="4"/>
  <c r="E2701" i="4"/>
  <c r="E2629" i="4"/>
  <c r="E2875" i="4"/>
  <c r="E2808" i="4"/>
  <c r="E2741" i="4"/>
  <c r="E2662" i="4"/>
  <c r="E2573" i="4"/>
  <c r="E3084" i="4"/>
  <c r="E3020" i="4"/>
  <c r="E2956" i="4"/>
  <c r="E2892" i="4"/>
  <c r="E2828" i="4"/>
  <c r="E2764" i="4"/>
  <c r="E2700" i="4"/>
  <c r="E2657" i="4"/>
  <c r="E2578" i="4"/>
  <c r="E2710" i="4"/>
  <c r="E2644" i="4"/>
  <c r="E2538" i="4"/>
  <c r="E2543" i="4"/>
  <c r="E2675" i="4"/>
  <c r="E2611" i="4"/>
  <c r="E2547" i="4"/>
  <c r="E3784" i="4"/>
  <c r="E3560" i="4"/>
  <c r="E4934" i="4"/>
  <c r="E3919" i="4"/>
  <c r="E4502" i="4"/>
  <c r="E4101" i="4"/>
  <c r="E4506" i="4"/>
  <c r="E4780" i="4"/>
  <c r="E4583" i="4"/>
  <c r="E4031" i="4"/>
  <c r="E4337" i="4"/>
  <c r="E4617" i="4"/>
  <c r="E4359" i="4"/>
  <c r="E3827" i="4"/>
  <c r="E4950" i="4"/>
  <c r="E4977" i="4"/>
  <c r="E4791" i="4"/>
  <c r="E4725" i="4"/>
  <c r="E4562" i="4"/>
  <c r="E4227" i="4"/>
  <c r="E3409" i="4"/>
  <c r="E4822" i="4"/>
  <c r="E5005" i="4"/>
  <c r="E4881" i="4"/>
  <c r="E4564" i="4"/>
  <c r="E4189" i="4"/>
  <c r="E3879" i="4"/>
  <c r="E3132" i="4"/>
  <c r="E3942" i="4"/>
  <c r="E2826" i="4"/>
  <c r="E3423" i="4"/>
  <c r="E4310" i="4"/>
  <c r="E4230" i="4"/>
  <c r="E4150" i="4"/>
  <c r="E4070" i="4"/>
  <c r="E3979" i="4"/>
  <c r="E3107" i="4"/>
  <c r="E3592" i="4"/>
  <c r="E3805" i="4"/>
  <c r="E3613" i="4"/>
  <c r="E2930" i="4"/>
  <c r="E3724" i="4"/>
  <c r="E3185" i="4"/>
  <c r="E2742" i="4"/>
  <c r="E3617" i="4"/>
  <c r="E3061" i="4"/>
  <c r="E3531" i="4"/>
  <c r="E3199" i="4"/>
  <c r="E2809" i="4"/>
  <c r="E3619" i="4"/>
  <c r="E3220" i="4"/>
  <c r="E3491" i="4"/>
  <c r="E3171" i="4"/>
  <c r="E2870" i="4"/>
  <c r="E3512" i="4"/>
  <c r="E3384" i="4"/>
  <c r="E3192" i="4"/>
  <c r="E2917" i="4"/>
  <c r="E3157" i="4"/>
  <c r="E2845" i="4"/>
  <c r="E3482" i="4"/>
  <c r="E3162" i="4"/>
  <c r="E2886" i="4"/>
  <c r="E2648" i="4"/>
  <c r="E2707" i="4"/>
  <c r="E2916" i="4"/>
  <c r="E2599" i="4"/>
  <c r="E2571" i="4"/>
  <c r="E3518" i="4"/>
  <c r="E4484" i="4"/>
  <c r="E5000" i="4"/>
  <c r="E4496" i="4"/>
  <c r="E4645" i="4"/>
  <c r="E4372" i="4"/>
  <c r="E4085" i="4"/>
  <c r="E4305" i="4"/>
  <c r="E4770" i="4"/>
  <c r="E4574" i="4"/>
  <c r="E4143" i="4"/>
  <c r="E4577" i="4"/>
  <c r="E4776" i="4"/>
  <c r="E4510" i="4"/>
  <c r="E4281" i="4"/>
  <c r="E3228" i="4"/>
  <c r="E4774" i="4"/>
  <c r="E4973" i="4"/>
  <c r="E4875" i="4"/>
  <c r="E4789" i="4"/>
  <c r="E4723" i="4"/>
  <c r="E4659" i="4"/>
  <c r="E4211" i="4"/>
  <c r="E3746" i="4"/>
  <c r="E4974" i="4"/>
  <c r="E4634" i="4"/>
  <c r="E4937" i="4"/>
  <c r="E4877" i="4"/>
  <c r="E4517" i="4"/>
  <c r="E4301" i="4"/>
  <c r="E3618" i="4"/>
  <c r="E3758" i="4"/>
  <c r="E3985" i="4"/>
  <c r="E3735" i="4"/>
  <c r="E3111" i="4"/>
  <c r="E3905" i="4"/>
  <c r="E3413" i="4"/>
  <c r="E4308" i="4"/>
  <c r="E4244" i="4"/>
  <c r="E4180" i="4"/>
  <c r="E4116" i="4"/>
  <c r="E4084" i="4"/>
  <c r="E4020" i="4"/>
  <c r="E3792" i="4"/>
  <c r="E2946" i="4"/>
  <c r="E3959" i="4"/>
  <c r="E3722" i="4"/>
  <c r="E3375" i="4"/>
  <c r="E2704" i="4"/>
  <c r="E3861" i="4"/>
  <c r="E3733" i="4"/>
  <c r="E3541" i="4"/>
  <c r="E3198" i="4"/>
  <c r="E2745" i="4"/>
  <c r="E3716" i="4"/>
  <c r="E3588" i="4"/>
  <c r="E3289" i="4"/>
  <c r="E2679" i="4"/>
  <c r="E3609" i="4"/>
  <c r="E3412" i="4"/>
  <c r="E3055" i="4"/>
  <c r="E3582" i="4"/>
  <c r="E3309" i="4"/>
  <c r="E2879" i="4"/>
  <c r="E3739" i="4"/>
  <c r="E3317" i="4"/>
  <c r="E2637" i="4"/>
  <c r="E3291" i="4"/>
  <c r="E3094" i="4"/>
  <c r="E2677" i="4"/>
  <c r="E3312" i="4"/>
  <c r="E2914" i="4"/>
  <c r="E3474" i="4"/>
  <c r="E3218" i="4"/>
  <c r="E2865" i="4"/>
  <c r="E2552" i="4"/>
  <c r="E4087" i="4"/>
  <c r="E3840" i="4"/>
  <c r="E4992" i="4"/>
  <c r="E4676" i="4"/>
  <c r="E4636" i="4"/>
  <c r="E4422" i="4"/>
  <c r="E4069" i="4"/>
  <c r="E4273" i="4"/>
  <c r="E4760" i="4"/>
  <c r="E4631" i="4"/>
  <c r="E4255" i="4"/>
  <c r="E4561" i="4"/>
  <c r="E4680" i="4"/>
  <c r="E4450" i="4"/>
  <c r="E4265" i="4"/>
  <c r="E4527" i="4"/>
  <c r="E4688" i="4"/>
  <c r="E4939" i="4"/>
  <c r="E4785" i="4"/>
  <c r="E4721" i="4"/>
  <c r="E4657" i="4"/>
  <c r="E4323" i="4"/>
  <c r="E3688" i="4"/>
  <c r="E4361" i="4"/>
  <c r="E4802" i="4"/>
  <c r="E3682" i="4"/>
  <c r="E4903" i="4"/>
  <c r="E4813" i="4"/>
  <c r="E4512" i="4"/>
  <c r="E4285" i="4"/>
  <c r="E3599" i="4"/>
  <c r="E3873" i="4"/>
  <c r="E3086" i="4"/>
  <c r="E3936" i="4"/>
  <c r="E3358" i="4"/>
  <c r="E3974" i="4"/>
  <c r="E3718" i="4"/>
  <c r="E2528" i="4"/>
  <c r="E4290" i="4"/>
  <c r="E4226" i="4"/>
  <c r="E4178" i="4"/>
  <c r="E4130" i="4"/>
  <c r="E4066" i="4"/>
  <c r="E3938" i="4"/>
  <c r="E3332" i="4"/>
  <c r="E4008" i="4"/>
  <c r="E3706" i="4"/>
  <c r="E3164" i="4"/>
  <c r="E3853" i="4"/>
  <c r="E3725" i="4"/>
  <c r="E3508" i="4"/>
  <c r="E3009" i="4"/>
  <c r="E2533" i="4"/>
  <c r="E3644" i="4"/>
  <c r="E3276" i="4"/>
  <c r="E2632" i="4"/>
  <c r="E3665" i="4"/>
  <c r="E3493" i="4"/>
  <c r="E3174" i="4"/>
  <c r="E3638" i="4"/>
  <c r="E3305" i="4"/>
  <c r="E2858" i="4"/>
  <c r="E3731" i="4"/>
  <c r="E3539" i="4"/>
  <c r="E3188" i="4"/>
  <c r="E2899" i="4"/>
  <c r="E3411" i="4"/>
  <c r="E3283" i="4"/>
  <c r="E3155" i="4"/>
  <c r="E3024" i="4"/>
  <c r="E2957" i="4"/>
  <c r="E2769" i="4"/>
  <c r="E2588" i="4"/>
  <c r="E3432" i="4"/>
  <c r="E3304" i="4"/>
  <c r="E3176" i="4"/>
  <c r="E3045" i="4"/>
  <c r="E2978" i="4"/>
  <c r="E2838" i="4"/>
  <c r="E2621" i="4"/>
  <c r="E3141" i="4"/>
  <c r="E2935" i="4"/>
  <c r="E2751" i="4"/>
  <c r="E2565" i="4"/>
  <c r="E3402" i="4"/>
  <c r="E3274" i="4"/>
  <c r="E3146" i="4"/>
  <c r="E3096" i="4"/>
  <c r="E2962" i="4"/>
  <c r="E2775" i="4"/>
  <c r="E2634" i="4"/>
  <c r="E2811" i="4"/>
  <c r="E2744" i="4"/>
  <c r="E2597" i="4"/>
  <c r="E3028" i="4"/>
  <c r="E2900" i="4"/>
  <c r="E2836" i="4"/>
  <c r="E2708" i="4"/>
  <c r="E2585" i="4"/>
  <c r="E2647" i="4"/>
  <c r="E2545" i="4"/>
  <c r="E2551" i="4"/>
  <c r="D2516" i="4"/>
  <c r="F2516" i="4" s="1"/>
  <c r="C15" i="4"/>
  <c r="E2555" i="4"/>
  <c r="E4151" i="4"/>
  <c r="E4135" i="4"/>
  <c r="E3913" i="4"/>
  <c r="E4423" i="4"/>
  <c r="E4614" i="4"/>
  <c r="E4600" i="4"/>
  <c r="E3632" i="4"/>
  <c r="E4902" i="4"/>
  <c r="E4820" i="4"/>
  <c r="E4666" i="4"/>
  <c r="E4091" i="4"/>
  <c r="E3695" i="4"/>
  <c r="E4565" i="4"/>
  <c r="E4473" i="4"/>
  <c r="E4409" i="4"/>
  <c r="E4309" i="4"/>
  <c r="E4053" i="4"/>
  <c r="E3894" i="4"/>
  <c r="E4609" i="4"/>
  <c r="E4458" i="4"/>
  <c r="E3768" i="4"/>
  <c r="E4900" i="4"/>
  <c r="E4826" i="4"/>
  <c r="E4674" i="4"/>
  <c r="E4622" i="4"/>
  <c r="E4460" i="4"/>
  <c r="E4327" i="4"/>
  <c r="E4023" i="4"/>
  <c r="E4183" i="4"/>
  <c r="E3897" i="4"/>
  <c r="E3634" i="4"/>
  <c r="E3714" i="4"/>
  <c r="E4295" i="4"/>
  <c r="E4391" i="4"/>
  <c r="E4559" i="4"/>
  <c r="E4552" i="4"/>
  <c r="E4129" i="4"/>
  <c r="E3337" i="4"/>
  <c r="E4972" i="4"/>
  <c r="E4894" i="4"/>
  <c r="E4810" i="4"/>
  <c r="E4734" i="4"/>
  <c r="E4656" i="4"/>
  <c r="E4448" i="4"/>
  <c r="E4043" i="4"/>
  <c r="E3648" i="4"/>
  <c r="E4620" i="4"/>
  <c r="E4556" i="4"/>
  <c r="E4516" i="4"/>
  <c r="E4470" i="4"/>
  <c r="E4406" i="4"/>
  <c r="E4360" i="4"/>
  <c r="E4293" i="4"/>
  <c r="E4165" i="4"/>
  <c r="E4037" i="4"/>
  <c r="E3854" i="4"/>
  <c r="E3570" i="4"/>
  <c r="E4593" i="4"/>
  <c r="E4442" i="4"/>
  <c r="E4145" i="4"/>
  <c r="E3711" i="4"/>
  <c r="E4968" i="4"/>
  <c r="E4890" i="4"/>
  <c r="E4816" i="4"/>
  <c r="E4740" i="4"/>
  <c r="E4664" i="4"/>
  <c r="E3863" i="4"/>
  <c r="E4615" i="4"/>
  <c r="E4551" i="4"/>
  <c r="E4447" i="4"/>
  <c r="E4383" i="4"/>
  <c r="E4223" i="4"/>
  <c r="E4095" i="4"/>
  <c r="E3918" i="4"/>
  <c r="E3532" i="4"/>
  <c r="E2903" i="4"/>
  <c r="E4530" i="4"/>
  <c r="E4986" i="4"/>
  <c r="E4906" i="4"/>
  <c r="E4828" i="4"/>
  <c r="E4744" i="4"/>
  <c r="E4662" i="4"/>
  <c r="E4649" i="4"/>
  <c r="E4585" i="4"/>
  <c r="E4531" i="4"/>
  <c r="E4498" i="4"/>
  <c r="E4434" i="4"/>
  <c r="E4375" i="4"/>
  <c r="E4343" i="4"/>
  <c r="E4233" i="4"/>
  <c r="E4105" i="4"/>
  <c r="E3916" i="4"/>
  <c r="E3624" i="4"/>
  <c r="E2983" i="4"/>
  <c r="E4477" i="4"/>
  <c r="E4990" i="4"/>
  <c r="E4910" i="4"/>
  <c r="E4824" i="4"/>
  <c r="E4748" i="4"/>
  <c r="E4668" i="4"/>
  <c r="E4059" i="4"/>
  <c r="E4993" i="4"/>
  <c r="E4961" i="4"/>
  <c r="E4929" i="4"/>
  <c r="E4897" i="4"/>
  <c r="E4861" i="4"/>
  <c r="E4827" i="4"/>
  <c r="E4799" i="4"/>
  <c r="E4781" i="4"/>
  <c r="E4765" i="4"/>
  <c r="E4749" i="4"/>
  <c r="E4733" i="4"/>
  <c r="E4717" i="4"/>
  <c r="E4701" i="4"/>
  <c r="E4685" i="4"/>
  <c r="E4669" i="4"/>
  <c r="E4653" i="4"/>
  <c r="E4594" i="4"/>
  <c r="E4491" i="4"/>
  <c r="E4427" i="4"/>
  <c r="E4291" i="4"/>
  <c r="E4163" i="4"/>
  <c r="E4035" i="4"/>
  <c r="E3858" i="4"/>
  <c r="E3546" i="4"/>
  <c r="E3019" i="4"/>
  <c r="E4511" i="4"/>
  <c r="E4289" i="4"/>
  <c r="E2918" i="4"/>
  <c r="E4942" i="4"/>
  <c r="E4864" i="4"/>
  <c r="E4778" i="4"/>
  <c r="E4692" i="4"/>
  <c r="E4554" i="4"/>
  <c r="E4267" i="4"/>
  <c r="E3453" i="4"/>
  <c r="E4991" i="4"/>
  <c r="E4959" i="4"/>
  <c r="E4927" i="4"/>
  <c r="E4895" i="4"/>
  <c r="E4867" i="4"/>
  <c r="E4837" i="4"/>
  <c r="E4805" i="4"/>
  <c r="E4596" i="4"/>
  <c r="E4536" i="4"/>
  <c r="E4497" i="4"/>
  <c r="E4433" i="4"/>
  <c r="E4378" i="4"/>
  <c r="E4346" i="4"/>
  <c r="E4253" i="4"/>
  <c r="E4125" i="4"/>
  <c r="E3999" i="4"/>
  <c r="E3800" i="4"/>
  <c r="E3405" i="4"/>
  <c r="E3994" i="4"/>
  <c r="E3934" i="4"/>
  <c r="E3867" i="4"/>
  <c r="E3710" i="4"/>
  <c r="E3562" i="4"/>
  <c r="E3294" i="4"/>
  <c r="E2906" i="4"/>
  <c r="E2574" i="4"/>
  <c r="E3954" i="4"/>
  <c r="E3887" i="4"/>
  <c r="E3815" i="4"/>
  <c r="E3687" i="4"/>
  <c r="E3530" i="4"/>
  <c r="E3311" i="4"/>
  <c r="E3062" i="4"/>
  <c r="E2530" i="4"/>
  <c r="E3963" i="4"/>
  <c r="E3896" i="4"/>
  <c r="E3814" i="4"/>
  <c r="E3686" i="4"/>
  <c r="E3521" i="4"/>
  <c r="E3345" i="4"/>
  <c r="E2896" i="4"/>
  <c r="E4334" i="4"/>
  <c r="E4318" i="4"/>
  <c r="E4302" i="4"/>
  <c r="E4286" i="4"/>
  <c r="E4270" i="4"/>
  <c r="E4254" i="4"/>
  <c r="E4238" i="4"/>
  <c r="E4222" i="4"/>
  <c r="E4206" i="4"/>
  <c r="E4190" i="4"/>
  <c r="E4174" i="4"/>
  <c r="E4158" i="4"/>
  <c r="E4142" i="4"/>
  <c r="E4126" i="4"/>
  <c r="E4110" i="4"/>
  <c r="E4094" i="4"/>
  <c r="E4078" i="4"/>
  <c r="E4062" i="4"/>
  <c r="E4046" i="4"/>
  <c r="E4030" i="4"/>
  <c r="E4011" i="4"/>
  <c r="E3932" i="4"/>
  <c r="E3865" i="4"/>
  <c r="E3744" i="4"/>
  <c r="E3600" i="4"/>
  <c r="E3286" i="4"/>
  <c r="E2857" i="4"/>
  <c r="E3992" i="4"/>
  <c r="E3950" i="4"/>
  <c r="E3883" i="4"/>
  <c r="E3802" i="4"/>
  <c r="E3674" i="4"/>
  <c r="E3511" i="4"/>
  <c r="E3295" i="4"/>
  <c r="E3056" i="4"/>
  <c r="E3965" i="4"/>
  <c r="E3901" i="4"/>
  <c r="E3837" i="4"/>
  <c r="E3773" i="4"/>
  <c r="E3709" i="4"/>
  <c r="E3645" i="4"/>
  <c r="E3581" i="4"/>
  <c r="E3470" i="4"/>
  <c r="E3380" i="4"/>
  <c r="E3269" i="4"/>
  <c r="E3150" i="4"/>
  <c r="E2997" i="4"/>
  <c r="E2787" i="4"/>
  <c r="E2715" i="4"/>
  <c r="E3820" i="4"/>
  <c r="E3756" i="4"/>
  <c r="E3692" i="4"/>
  <c r="E3628" i="4"/>
  <c r="E3564" i="4"/>
  <c r="E3455" i="4"/>
  <c r="E3353" i="4"/>
  <c r="E3249" i="4"/>
  <c r="E3121" i="4"/>
  <c r="E2982" i="4"/>
  <c r="E2784" i="4"/>
  <c r="E2614" i="4"/>
  <c r="E3777" i="4"/>
  <c r="E3713" i="4"/>
  <c r="E3649" i="4"/>
  <c r="E3585" i="4"/>
  <c r="E3522" i="4"/>
  <c r="E3476" i="4"/>
  <c r="E3365" i="4"/>
  <c r="E3271" i="4"/>
  <c r="E3142" i="4"/>
  <c r="E2994" i="4"/>
  <c r="E2867" i="4"/>
  <c r="E2678" i="4"/>
  <c r="E3622" i="4"/>
  <c r="E3558" i="4"/>
  <c r="E3484" i="4"/>
  <c r="E3373" i="4"/>
  <c r="E3279" i="4"/>
  <c r="E3135" i="4"/>
  <c r="E2986" i="4"/>
  <c r="E2837" i="4"/>
  <c r="E2569" i="4"/>
  <c r="E3779" i="4"/>
  <c r="E3715" i="4"/>
  <c r="E3651" i="4"/>
  <c r="E3587" i="4"/>
  <c r="E3492" i="4"/>
  <c r="E3381" i="4"/>
  <c r="E3287" i="4"/>
  <c r="E3156" i="4"/>
  <c r="E3016" i="4"/>
  <c r="E2767" i="4"/>
  <c r="E2590" i="4"/>
  <c r="E3459" i="4"/>
  <c r="E3395" i="4"/>
  <c r="E3331" i="4"/>
  <c r="E3267" i="4"/>
  <c r="E3203" i="4"/>
  <c r="E3139" i="4"/>
  <c r="E3085" i="4"/>
  <c r="E3018" i="4"/>
  <c r="E2951" i="4"/>
  <c r="E2835" i="4"/>
  <c r="E2755" i="4"/>
  <c r="E2645" i="4"/>
  <c r="E2561" i="4"/>
  <c r="E3480" i="4"/>
  <c r="E3416" i="4"/>
  <c r="E3352" i="4"/>
  <c r="E3288" i="4"/>
  <c r="E3224" i="4"/>
  <c r="E3160" i="4"/>
  <c r="E3106" i="4"/>
  <c r="E3039" i="4"/>
  <c r="E2929" i="4"/>
  <c r="E2894" i="4"/>
  <c r="E2807" i="4"/>
  <c r="E2714" i="4"/>
  <c r="E2612" i="4"/>
  <c r="E3253" i="4"/>
  <c r="E3189" i="4"/>
  <c r="E3125" i="4"/>
  <c r="E3063" i="4"/>
  <c r="E2953" i="4"/>
  <c r="E2897" i="4"/>
  <c r="E2810" i="4"/>
  <c r="E2722" i="4"/>
  <c r="E2548" i="4"/>
  <c r="E3450" i="4"/>
  <c r="E3386" i="4"/>
  <c r="E3322" i="4"/>
  <c r="E3258" i="4"/>
  <c r="E3194" i="4"/>
  <c r="E3130" i="4"/>
  <c r="E3090" i="4"/>
  <c r="E3023" i="4"/>
  <c r="E2913" i="4"/>
  <c r="E2834" i="4"/>
  <c r="E2754" i="4"/>
  <c r="E2697" i="4"/>
  <c r="E2620" i="4"/>
  <c r="E2872" i="4"/>
  <c r="E2805" i="4"/>
  <c r="E2738" i="4"/>
  <c r="E2658" i="4"/>
  <c r="E2564" i="4"/>
  <c r="E3076" i="4"/>
  <c r="E3012" i="4"/>
  <c r="E2948" i="4"/>
  <c r="E2884" i="4"/>
  <c r="E2820" i="4"/>
  <c r="E2756" i="4"/>
  <c r="E2692" i="4"/>
  <c r="E2654" i="4"/>
  <c r="E2560" i="4"/>
  <c r="E2702" i="4"/>
  <c r="E2641" i="4"/>
  <c r="E2525" i="4"/>
  <c r="E2535" i="4"/>
  <c r="E2667" i="4"/>
  <c r="E2603" i="4"/>
  <c r="E2539" i="4"/>
  <c r="E4455" i="4"/>
  <c r="E4119" i="4"/>
  <c r="E4854" i="4"/>
  <c r="E3127" i="4"/>
  <c r="E4229" i="4"/>
  <c r="E4349" i="4"/>
  <c r="E4702" i="4"/>
  <c r="E4287" i="4"/>
  <c r="E4946" i="4"/>
  <c r="E4515" i="4"/>
  <c r="E4041" i="4"/>
  <c r="E4784" i="4"/>
  <c r="E4913" i="4"/>
  <c r="E4773" i="4"/>
  <c r="E4661" i="4"/>
  <c r="E3759" i="4"/>
  <c r="E4904" i="4"/>
  <c r="E4975" i="4"/>
  <c r="E4628" i="4"/>
  <c r="E4317" i="4"/>
  <c r="E2778" i="4"/>
  <c r="E2757" i="4"/>
  <c r="E3436" i="4"/>
  <c r="E3608" i="4"/>
  <c r="E4278" i="4"/>
  <c r="E4182" i="4"/>
  <c r="E4086" i="4"/>
  <c r="E3680" i="4"/>
  <c r="E3828" i="4"/>
  <c r="E3933" i="4"/>
  <c r="E3329" i="4"/>
  <c r="E3788" i="4"/>
  <c r="E3293" i="4"/>
  <c r="E3681" i="4"/>
  <c r="E3206" i="4"/>
  <c r="E3590" i="4"/>
  <c r="E3053" i="4"/>
  <c r="E3683" i="4"/>
  <c r="E3441" i="4"/>
  <c r="E2665" i="4"/>
  <c r="E3235" i="4"/>
  <c r="E2783" i="4"/>
  <c r="E3221" i="4"/>
  <c r="E2768" i="4"/>
  <c r="E3290" i="4"/>
  <c r="E2968" i="4"/>
  <c r="E2817" i="4"/>
  <c r="E2980" i="4"/>
  <c r="E2666" i="4"/>
  <c r="E2653" i="4"/>
  <c r="E2570" i="4"/>
  <c r="E4215" i="4"/>
  <c r="E4321" i="4"/>
  <c r="E4762" i="4"/>
  <c r="E4529" i="4"/>
  <c r="E4213" i="4"/>
  <c r="E4490" i="4"/>
  <c r="E4842" i="4"/>
  <c r="E4476" i="4"/>
  <c r="E3720" i="4"/>
  <c r="E4858" i="4"/>
  <c r="E4544" i="4"/>
  <c r="E4153" i="4"/>
  <c r="E3983" i="4"/>
  <c r="E4698" i="4"/>
  <c r="E4839" i="4"/>
  <c r="E4755" i="4"/>
  <c r="E4691" i="4"/>
  <c r="E4456" i="4"/>
  <c r="E3349" i="4"/>
  <c r="E4812" i="4"/>
  <c r="E4971" i="4"/>
  <c r="E4621" i="4"/>
  <c r="E4358" i="4"/>
  <c r="E3396" i="4"/>
  <c r="E3605" i="4"/>
  <c r="E3316" i="4"/>
  <c r="E2905" i="4"/>
  <c r="E2556" i="4"/>
  <c r="E3652" i="4"/>
  <c r="E3391" i="4"/>
  <c r="E2909" i="4"/>
  <c r="E3737" i="4"/>
  <c r="E3545" i="4"/>
  <c r="E3190" i="4"/>
  <c r="E2703" i="4"/>
  <c r="E3420" i="4"/>
  <c r="E2795" i="4"/>
  <c r="E3611" i="4"/>
  <c r="E3204" i="4"/>
  <c r="E3419" i="4"/>
  <c r="E2960" i="4"/>
  <c r="E3504" i="4"/>
  <c r="E3184" i="4"/>
  <c r="E2842" i="4"/>
  <c r="E3149" i="4"/>
  <c r="E2841" i="4"/>
  <c r="E3346" i="4"/>
  <c r="E2965" i="4"/>
  <c r="E2814" i="4"/>
  <c r="E2601" i="4"/>
  <c r="E2908" i="4"/>
  <c r="E2663" i="4"/>
  <c r="E2521" i="4"/>
  <c r="E4407" i="4"/>
  <c r="E2670" i="4"/>
  <c r="E3848" i="4"/>
  <c r="E4752" i="4"/>
  <c r="E4572" i="4"/>
  <c r="E4325" i="4"/>
  <c r="E2699" i="4"/>
  <c r="E4834" i="4"/>
  <c r="E4463" i="4"/>
  <c r="E3116" i="4"/>
  <c r="E4766" i="4"/>
  <c r="E4539" i="4"/>
  <c r="E4137" i="4"/>
  <c r="E5012" i="4"/>
  <c r="E4283" i="4"/>
  <c r="E4869" i="4"/>
  <c r="E4753" i="4"/>
  <c r="E4610" i="4"/>
  <c r="E4067" i="4"/>
  <c r="E4584" i="4"/>
  <c r="E4586" i="4"/>
  <c r="E4967" i="4"/>
  <c r="E4843" i="4"/>
  <c r="E4449" i="4"/>
  <c r="E4029" i="4"/>
  <c r="E3940" i="4"/>
  <c r="E3372" i="4"/>
  <c r="E3826" i="4"/>
  <c r="E3095" i="4"/>
  <c r="E3559" i="4"/>
  <c r="E4306" i="4"/>
  <c r="E4242" i="4"/>
  <c r="E4162" i="4"/>
  <c r="E4082" i="4"/>
  <c r="E4018" i="4"/>
  <c r="E3650" i="4"/>
  <c r="E3956" i="4"/>
  <c r="E3341" i="4"/>
  <c r="E3917" i="4"/>
  <c r="E3661" i="4"/>
  <c r="E3397" i="4"/>
  <c r="E2731" i="4"/>
  <c r="E3580" i="4"/>
  <c r="E3153" i="4"/>
  <c r="E3793" i="4"/>
  <c r="E3297" i="4"/>
  <c r="E2695" i="4"/>
  <c r="E3407" i="4"/>
  <c r="E2774" i="4"/>
  <c r="E3667" i="4"/>
  <c r="E3313" i="4"/>
  <c r="E3475" i="4"/>
  <c r="E3205" i="4"/>
  <c r="E4071" i="4"/>
  <c r="E4055" i="4"/>
  <c r="E2871" i="4"/>
  <c r="E4167" i="4"/>
  <c r="E3281" i="4"/>
  <c r="E4471" i="4"/>
  <c r="E4519" i="4"/>
  <c r="E4097" i="4"/>
  <c r="E3244" i="4"/>
  <c r="E4964" i="4"/>
  <c r="E4884" i="4"/>
  <c r="E4800" i="4"/>
  <c r="E4726" i="4"/>
  <c r="E4611" i="4"/>
  <c r="E4416" i="4"/>
  <c r="E4027" i="4"/>
  <c r="E3575" i="4"/>
  <c r="E4613" i="4"/>
  <c r="E4549" i="4"/>
  <c r="E4513" i="4"/>
  <c r="E4457" i="4"/>
  <c r="E4393" i="4"/>
  <c r="E4356" i="4"/>
  <c r="E4277" i="4"/>
  <c r="E4149" i="4"/>
  <c r="E4021" i="4"/>
  <c r="E3807" i="4"/>
  <c r="E3359" i="4"/>
  <c r="E4568" i="4"/>
  <c r="E4426" i="4"/>
  <c r="E4113" i="4"/>
  <c r="E3487" i="4"/>
  <c r="E4958" i="4"/>
  <c r="E4880" i="4"/>
  <c r="E4806" i="4"/>
  <c r="E4732" i="4"/>
  <c r="E4654" i="4"/>
  <c r="E3830" i="4"/>
  <c r="E4606" i="4"/>
  <c r="E4542" i="4"/>
  <c r="E4444" i="4"/>
  <c r="E4335" i="4"/>
  <c r="E4207" i="4"/>
  <c r="E4079" i="4"/>
  <c r="E3852" i="4"/>
  <c r="E3477" i="4"/>
  <c r="E2798" i="4"/>
  <c r="E4514" i="4"/>
  <c r="E4976" i="4"/>
  <c r="E4896" i="4"/>
  <c r="E4818" i="4"/>
  <c r="E4730" i="4"/>
  <c r="E4650" i="4"/>
  <c r="E4640" i="4"/>
  <c r="E4576" i="4"/>
  <c r="E4526" i="4"/>
  <c r="E4485" i="4"/>
  <c r="E4421" i="4"/>
  <c r="E4371" i="4"/>
  <c r="E4339" i="4"/>
  <c r="E4217" i="4"/>
  <c r="E4089" i="4"/>
  <c r="E3900" i="4"/>
  <c r="E3584" i="4"/>
  <c r="E2889" i="4"/>
  <c r="E4429" i="4"/>
  <c r="E4980" i="4"/>
  <c r="E4898" i="4"/>
  <c r="E4814" i="4"/>
  <c r="E4738" i="4"/>
  <c r="E4658" i="4"/>
  <c r="E3975" i="4"/>
  <c r="E4989" i="4"/>
  <c r="E4957" i="4"/>
  <c r="E4925" i="4"/>
  <c r="E4893" i="4"/>
  <c r="E4857" i="4"/>
  <c r="E4823" i="4"/>
  <c r="E4797" i="4"/>
  <c r="E4779" i="4"/>
  <c r="E4763" i="4"/>
  <c r="E4747" i="4"/>
  <c r="E4731" i="4"/>
  <c r="E4715" i="4"/>
  <c r="E4699" i="4"/>
  <c r="E4683" i="4"/>
  <c r="E4667" i="4"/>
  <c r="E4651" i="4"/>
  <c r="E4587" i="4"/>
  <c r="E4488" i="4"/>
  <c r="E4424" i="4"/>
  <c r="E4275" i="4"/>
  <c r="E4147" i="4"/>
  <c r="E4019" i="4"/>
  <c r="E3851" i="4"/>
  <c r="E3524" i="4"/>
  <c r="E2973" i="4"/>
  <c r="E4461" i="4"/>
  <c r="E4209" i="4"/>
  <c r="E5014" i="4"/>
  <c r="E4932" i="4"/>
  <c r="E4852" i="4"/>
  <c r="E4768" i="4"/>
  <c r="E4682" i="4"/>
  <c r="E4499" i="4"/>
  <c r="E4187" i="4"/>
  <c r="E3161" i="4"/>
  <c r="E4987" i="4"/>
  <c r="E4953" i="4"/>
  <c r="E4923" i="4"/>
  <c r="E4891" i="4"/>
  <c r="E4863" i="4"/>
  <c r="E4833" i="4"/>
  <c r="E4787" i="4"/>
  <c r="E4589" i="4"/>
  <c r="E4533" i="4"/>
  <c r="E4494" i="4"/>
  <c r="E4430" i="4"/>
  <c r="E4374" i="4"/>
  <c r="E4342" i="4"/>
  <c r="E4237" i="4"/>
  <c r="E4109" i="4"/>
  <c r="E3955" i="4"/>
  <c r="E3743" i="4"/>
  <c r="E3255" i="4"/>
  <c r="E3986" i="4"/>
  <c r="E3931" i="4"/>
  <c r="E3864" i="4"/>
  <c r="E3694" i="4"/>
  <c r="E3533" i="4"/>
  <c r="E3270" i="4"/>
  <c r="E2850" i="4"/>
  <c r="E2542" i="4"/>
  <c r="E3951" i="4"/>
  <c r="E3884" i="4"/>
  <c r="E3799" i="4"/>
  <c r="E3671" i="4"/>
  <c r="E3523" i="4"/>
  <c r="E3277" i="4"/>
  <c r="E3046" i="4"/>
  <c r="E4014" i="4"/>
  <c r="E3960" i="4"/>
  <c r="E3850" i="4"/>
  <c r="E3798" i="4"/>
  <c r="E3670" i="4"/>
  <c r="E3503" i="4"/>
  <c r="E3321" i="4"/>
  <c r="E2861" i="4"/>
  <c r="E4332" i="4"/>
  <c r="E4316" i="4"/>
  <c r="E4300" i="4"/>
  <c r="E4284" i="4"/>
  <c r="E4268" i="4"/>
  <c r="E4252" i="4"/>
  <c r="E4236" i="4"/>
  <c r="E4220" i="4"/>
  <c r="E4204" i="4"/>
  <c r="E4188" i="4"/>
  <c r="E4172" i="4"/>
  <c r="E4156" i="4"/>
  <c r="E4140" i="4"/>
  <c r="E4124" i="4"/>
  <c r="E4108" i="4"/>
  <c r="E4092" i="4"/>
  <c r="E4076" i="4"/>
  <c r="E4060" i="4"/>
  <c r="E4044" i="4"/>
  <c r="E4028" i="4"/>
  <c r="E4003" i="4"/>
  <c r="E3929" i="4"/>
  <c r="E3862" i="4"/>
  <c r="E3728" i="4"/>
  <c r="E3586" i="4"/>
  <c r="E3207" i="4"/>
  <c r="E2840" i="4"/>
  <c r="E3984" i="4"/>
  <c r="E3947" i="4"/>
  <c r="E3880" i="4"/>
  <c r="E3786" i="4"/>
  <c r="E3656" i="4"/>
  <c r="E3500" i="4"/>
  <c r="E3285" i="4"/>
  <c r="E3040" i="4"/>
  <c r="E3957" i="4"/>
  <c r="E3893" i="4"/>
  <c r="E3829" i="4"/>
  <c r="E3765" i="4"/>
  <c r="E3701" i="4"/>
  <c r="E3637" i="4"/>
  <c r="E3573" i="4"/>
  <c r="E3461" i="4"/>
  <c r="E3367" i="4"/>
  <c r="E3265" i="4"/>
  <c r="E3134" i="4"/>
  <c r="E2991" i="4"/>
  <c r="E2773" i="4"/>
  <c r="E2664" i="4"/>
  <c r="E3812" i="4"/>
  <c r="E3748" i="4"/>
  <c r="E3684" i="4"/>
  <c r="E3620" i="4"/>
  <c r="E3556" i="4"/>
  <c r="E3430" i="4"/>
  <c r="E3340" i="4"/>
  <c r="E3233" i="4"/>
  <c r="E3110" i="4"/>
  <c r="E2976" i="4"/>
  <c r="E2770" i="4"/>
  <c r="E2604" i="4"/>
  <c r="E3769" i="4"/>
  <c r="E3705" i="4"/>
  <c r="E3641" i="4"/>
  <c r="E3577" i="4"/>
  <c r="E3519" i="4"/>
  <c r="E3463" i="4"/>
  <c r="E3361" i="4"/>
  <c r="E3254" i="4"/>
  <c r="E3126" i="4"/>
  <c r="E2945" i="4"/>
  <c r="E2853" i="4"/>
  <c r="E2594" i="4"/>
  <c r="E3614" i="4"/>
  <c r="E3550" i="4"/>
  <c r="E3471" i="4"/>
  <c r="E3369" i="4"/>
  <c r="E3247" i="4"/>
  <c r="E3119" i="4"/>
  <c r="E2937" i="4"/>
  <c r="E2830" i="4"/>
  <c r="E2558" i="4"/>
  <c r="E3771" i="4"/>
  <c r="E3707" i="4"/>
  <c r="E3643" i="4"/>
  <c r="E3579" i="4"/>
  <c r="E3479" i="4"/>
  <c r="E3377" i="4"/>
  <c r="E3262" i="4"/>
  <c r="E3140" i="4"/>
  <c r="E3010" i="4"/>
  <c r="E2760" i="4"/>
  <c r="E2568" i="4"/>
  <c r="E3451" i="4"/>
  <c r="E3387" i="4"/>
  <c r="E3323" i="4"/>
  <c r="E3259" i="4"/>
  <c r="E3195" i="4"/>
  <c r="E3131" i="4"/>
  <c r="E3082" i="4"/>
  <c r="E3015" i="4"/>
  <c r="E2898" i="4"/>
  <c r="E2818" i="4"/>
  <c r="E2734" i="4"/>
  <c r="E2640" i="4"/>
  <c r="E2544" i="4"/>
  <c r="E3472" i="4"/>
  <c r="E3408" i="4"/>
  <c r="E3344" i="4"/>
  <c r="E3280" i="4"/>
  <c r="E3216" i="4"/>
  <c r="E3152" i="4"/>
  <c r="E3103" i="4"/>
  <c r="E2993" i="4"/>
  <c r="E2926" i="4"/>
  <c r="E2887" i="4"/>
  <c r="E2800" i="4"/>
  <c r="E2706" i="4"/>
  <c r="E2607" i="4"/>
  <c r="E3245" i="4"/>
  <c r="E3181" i="4"/>
  <c r="E3117" i="4"/>
  <c r="E3017" i="4"/>
  <c r="E2950" i="4"/>
  <c r="E2890" i="4"/>
  <c r="E2803" i="4"/>
  <c r="E2689" i="4"/>
  <c r="E3506" i="4"/>
  <c r="E3442" i="4"/>
  <c r="E3378" i="4"/>
  <c r="E3314" i="4"/>
  <c r="E3250" i="4"/>
  <c r="E3186" i="4"/>
  <c r="E3122" i="4"/>
  <c r="E3087" i="4"/>
  <c r="E2977" i="4"/>
  <c r="E2910" i="4"/>
  <c r="E2827" i="4"/>
  <c r="E2733" i="4"/>
  <c r="E2680" i="4"/>
  <c r="E2586" i="4"/>
  <c r="E2869" i="4"/>
  <c r="E2802" i="4"/>
  <c r="E2735" i="4"/>
  <c r="E2646" i="4"/>
  <c r="E2550" i="4"/>
  <c r="E3068" i="4"/>
  <c r="E3004" i="4"/>
  <c r="E2940" i="4"/>
  <c r="E2876" i="4"/>
  <c r="E2812" i="4"/>
  <c r="E2748" i="4"/>
  <c r="E2684" i="4"/>
  <c r="E2608" i="4"/>
  <c r="E2553" i="4"/>
  <c r="E2694" i="4"/>
  <c r="E2638" i="4"/>
  <c r="E2591" i="4"/>
  <c r="E2527" i="4"/>
  <c r="E2659" i="4"/>
  <c r="E2595" i="4"/>
  <c r="E2531" i="4"/>
  <c r="E3462" i="4"/>
  <c r="E4345" i="4"/>
  <c r="E4696" i="4"/>
  <c r="E4532" i="4"/>
  <c r="E3679" i="4"/>
  <c r="E4926" i="4"/>
  <c r="E4415" i="4"/>
  <c r="E4616" i="4"/>
  <c r="E4786" i="4"/>
  <c r="E4466" i="4"/>
  <c r="E3260" i="4"/>
  <c r="E4708" i="4"/>
  <c r="E4879" i="4"/>
  <c r="E4757" i="4"/>
  <c r="E4677" i="4"/>
  <c r="E4099" i="4"/>
  <c r="E4012" i="4"/>
  <c r="E4419" i="4"/>
  <c r="E4851" i="4"/>
  <c r="E4401" i="4"/>
  <c r="E3639" i="4"/>
  <c r="E3452" i="4"/>
  <c r="E3751" i="4"/>
  <c r="E3990" i="4"/>
  <c r="E3196" i="4"/>
  <c r="E4262" i="4"/>
  <c r="E4166" i="4"/>
  <c r="E4054" i="4"/>
  <c r="E3920" i="4"/>
  <c r="E3962" i="4"/>
  <c r="E3191" i="4"/>
  <c r="E3741" i="4"/>
  <c r="E3214" i="4"/>
  <c r="E3660" i="4"/>
  <c r="E3049" i="4"/>
  <c r="E3310" i="4"/>
  <c r="E3326" i="4"/>
  <c r="E3427" i="4"/>
  <c r="E3097" i="4"/>
  <c r="E2682" i="4"/>
  <c r="E3256" i="4"/>
  <c r="E3051" i="4"/>
  <c r="E2859" i="4"/>
  <c r="E3075" i="4"/>
  <c r="E2625" i="4"/>
  <c r="E3226" i="4"/>
  <c r="E2792" i="4"/>
  <c r="E2750" i="4"/>
  <c r="E3108" i="4"/>
  <c r="E2788" i="4"/>
  <c r="E2529" i="4"/>
  <c r="E4404" i="4"/>
  <c r="E3007" i="4"/>
  <c r="E4844" i="4"/>
  <c r="E3846" i="4"/>
  <c r="E4425" i="4"/>
  <c r="E3927" i="4"/>
  <c r="E3888" i="4"/>
  <c r="E4694" i="4"/>
  <c r="E4412" i="4"/>
  <c r="E3268" i="4"/>
  <c r="E4690" i="4"/>
  <c r="E4453" i="4"/>
  <c r="E4025" i="4"/>
  <c r="E4856" i="4"/>
  <c r="E4943" i="4"/>
  <c r="E4807" i="4"/>
  <c r="E4739" i="4"/>
  <c r="E4675" i="4"/>
  <c r="E4392" i="4"/>
  <c r="E2541" i="4"/>
  <c r="E4892" i="4"/>
  <c r="E3912" i="4"/>
  <c r="E4847" i="4"/>
  <c r="E4398" i="4"/>
  <c r="E3866" i="4"/>
  <c r="E3943" i="4"/>
  <c r="E3101" i="4"/>
  <c r="E3872" i="4"/>
  <c r="E2712" i="4"/>
  <c r="E3734" i="4"/>
  <c r="E4324" i="4"/>
  <c r="E4260" i="4"/>
  <c r="E4196" i="4"/>
  <c r="E4132" i="4"/>
  <c r="E4068" i="4"/>
  <c r="E3971" i="4"/>
  <c r="E3664" i="4"/>
  <c r="E2609" i="4"/>
  <c r="E3825" i="4"/>
  <c r="E3578" i="4"/>
  <c r="E3177" i="4"/>
  <c r="E3797" i="4"/>
  <c r="E3669" i="4"/>
  <c r="E3406" i="4"/>
  <c r="E3058" i="4"/>
  <c r="E3780" i="4"/>
  <c r="E3485" i="4"/>
  <c r="E3169" i="4"/>
  <c r="E3801" i="4"/>
  <c r="E3502" i="4"/>
  <c r="E2895" i="4"/>
  <c r="E3509" i="4"/>
  <c r="E3047" i="4"/>
  <c r="E3803" i="4"/>
  <c r="E3428" i="4"/>
  <c r="E3483" i="4"/>
  <c r="E3163" i="4"/>
  <c r="E2776" i="4"/>
  <c r="E3376" i="4"/>
  <c r="E3048" i="4"/>
  <c r="E2576" i="4"/>
  <c r="E3005" i="4"/>
  <c r="E2581" i="4"/>
  <c r="E3154" i="4"/>
  <c r="E2709" i="4"/>
  <c r="E2747" i="4"/>
  <c r="E3036" i="4"/>
  <c r="E2780" i="4"/>
  <c r="E2563" i="4"/>
  <c r="E4607" i="4"/>
  <c r="E2596" i="4"/>
  <c r="E4912" i="4"/>
  <c r="E4139" i="4"/>
  <c r="E4486" i="4"/>
  <c r="E3910" i="4"/>
  <c r="E4988" i="4"/>
  <c r="E4251" i="4"/>
  <c r="E4127" i="4"/>
  <c r="E5006" i="4"/>
  <c r="E4075" i="4"/>
  <c r="E4351" i="4"/>
  <c r="E3148" i="4"/>
  <c r="E4764" i="4"/>
  <c r="E4905" i="4"/>
  <c r="E4769" i="4"/>
  <c r="E4689" i="4"/>
  <c r="E4195" i="4"/>
  <c r="E3257" i="4"/>
  <c r="E4962" i="4"/>
  <c r="E4387" i="4"/>
  <c r="E4933" i="4"/>
  <c r="E4612" i="4"/>
  <c r="E4354" i="4"/>
  <c r="E3849" i="4"/>
  <c r="E3742" i="4"/>
  <c r="E2696" i="4"/>
  <c r="E3552" i="4"/>
  <c r="E3902" i="4"/>
  <c r="E3401" i="4"/>
  <c r="E4322" i="4"/>
  <c r="E4258" i="4"/>
  <c r="E4194" i="4"/>
  <c r="E4114" i="4"/>
  <c r="E4034" i="4"/>
  <c r="E3776" i="4"/>
  <c r="E3889" i="4"/>
  <c r="E3182" i="4"/>
  <c r="E3772" i="4"/>
  <c r="E3481" i="4"/>
  <c r="E3037" i="4"/>
  <c r="E3729" i="4"/>
  <c r="E3399" i="4"/>
  <c r="E2888" i="4"/>
  <c r="E3574" i="4"/>
  <c r="E3167" i="4"/>
  <c r="E3603" i="4"/>
  <c r="E3069" i="4"/>
  <c r="E3857" i="4"/>
  <c r="E3727" i="4"/>
  <c r="E4199" i="4"/>
  <c r="E4646" i="4"/>
  <c r="E4436" i="4"/>
  <c r="E4639" i="4"/>
  <c r="E4575" i="4"/>
  <c r="E4582" i="4"/>
  <c r="E3930" i="4"/>
  <c r="E4039" i="4"/>
  <c r="E4487" i="4"/>
  <c r="E4420" i="4"/>
  <c r="E4377" i="4"/>
  <c r="E4065" i="4"/>
  <c r="E3001" i="4"/>
  <c r="E4954" i="4"/>
  <c r="E4874" i="4"/>
  <c r="E4790" i="4"/>
  <c r="E4714" i="4"/>
  <c r="E4595" i="4"/>
  <c r="E4384" i="4"/>
  <c r="E3989" i="4"/>
  <c r="E3486" i="4"/>
  <c r="E4604" i="4"/>
  <c r="E4540" i="4"/>
  <c r="E4508" i="4"/>
  <c r="E4454" i="4"/>
  <c r="E4390" i="4"/>
  <c r="E4352" i="4"/>
  <c r="E4261" i="4"/>
  <c r="E4133" i="4"/>
  <c r="E3996" i="4"/>
  <c r="E3794" i="4"/>
  <c r="E3034" i="4"/>
  <c r="E4538" i="4"/>
  <c r="E4410" i="4"/>
  <c r="E4081" i="4"/>
  <c r="E3129" i="4"/>
  <c r="E4948" i="4"/>
  <c r="E4870" i="4"/>
  <c r="E4796" i="4"/>
  <c r="E4722" i="4"/>
  <c r="E4643" i="4"/>
  <c r="E3515" i="4"/>
  <c r="E4599" i="4"/>
  <c r="E4495" i="4"/>
  <c r="E4431" i="4"/>
  <c r="E4319" i="4"/>
  <c r="E4191" i="4"/>
  <c r="E4063" i="4"/>
  <c r="E3836" i="4"/>
  <c r="E3449" i="4"/>
  <c r="E4648" i="4"/>
  <c r="E4394" i="4"/>
  <c r="E4966" i="4"/>
  <c r="E4886" i="4"/>
  <c r="E4808" i="4"/>
  <c r="E4720" i="4"/>
  <c r="E4483" i="4"/>
  <c r="E4633" i="4"/>
  <c r="E4569" i="4"/>
  <c r="E4523" i="4"/>
  <c r="E4482" i="4"/>
  <c r="E4418" i="4"/>
  <c r="E4367" i="4"/>
  <c r="E4329" i="4"/>
  <c r="E4201" i="4"/>
  <c r="E4073" i="4"/>
  <c r="E3860" i="4"/>
  <c r="E3383" i="4"/>
  <c r="E2847" i="4"/>
  <c r="E4373" i="4"/>
  <c r="E4970" i="4"/>
  <c r="E4888" i="4"/>
  <c r="E4804" i="4"/>
  <c r="E4728" i="4"/>
  <c r="E4618" i="4"/>
  <c r="E3554" i="4"/>
  <c r="E4985" i="4"/>
  <c r="E4955" i="4"/>
  <c r="E4921" i="4"/>
  <c r="E4887" i="4"/>
  <c r="E4853" i="4"/>
  <c r="E4819" i="4"/>
  <c r="E4795" i="4"/>
  <c r="E4777" i="4"/>
  <c r="E4761" i="4"/>
  <c r="E4745" i="4"/>
  <c r="E4729" i="4"/>
  <c r="E4713" i="4"/>
  <c r="E4697" i="4"/>
  <c r="E4681" i="4"/>
  <c r="E4665" i="4"/>
  <c r="E4642" i="4"/>
  <c r="E4578" i="4"/>
  <c r="E4475" i="4"/>
  <c r="E4411" i="4"/>
  <c r="E4259" i="4"/>
  <c r="E4131" i="4"/>
  <c r="E4007" i="4"/>
  <c r="E3842" i="4"/>
  <c r="E3473" i="4"/>
  <c r="E2934" i="4"/>
  <c r="E4445" i="4"/>
  <c r="E4177" i="4"/>
  <c r="E5004" i="4"/>
  <c r="E4922" i="4"/>
  <c r="E4840" i="4"/>
  <c r="E4758" i="4"/>
  <c r="E4670" i="4"/>
  <c r="E4467" i="4"/>
  <c r="E4171" i="4"/>
  <c r="E5013" i="4"/>
  <c r="E4983" i="4"/>
  <c r="E4949" i="4"/>
  <c r="E4919" i="4"/>
  <c r="E4889" i="4"/>
  <c r="E4859" i="4"/>
  <c r="E4829" i="4"/>
  <c r="E4644" i="4"/>
  <c r="E4580" i="4"/>
  <c r="E4528" i="4"/>
  <c r="E4481" i="4"/>
  <c r="E4417" i="4"/>
  <c r="E4370" i="4"/>
  <c r="E4338" i="4"/>
  <c r="E4221" i="4"/>
  <c r="E4093" i="4"/>
  <c r="E3922" i="4"/>
  <c r="E3730" i="4"/>
  <c r="E3175" i="4"/>
  <c r="E3978" i="4"/>
  <c r="E3928" i="4"/>
  <c r="E3806" i="4"/>
  <c r="E3678" i="4"/>
  <c r="E3526" i="4"/>
  <c r="E3159" i="4"/>
  <c r="E2833" i="4"/>
  <c r="E4009" i="4"/>
  <c r="E3948" i="4"/>
  <c r="E3881" i="4"/>
  <c r="E3783" i="4"/>
  <c r="E3631" i="4"/>
  <c r="E3514" i="4"/>
  <c r="E3239" i="4"/>
  <c r="E2882" i="4"/>
  <c r="E4006" i="4"/>
  <c r="E3914" i="4"/>
  <c r="E3847" i="4"/>
  <c r="E3782" i="4"/>
  <c r="E3658" i="4"/>
  <c r="E3469" i="4"/>
  <c r="E3223" i="4"/>
  <c r="E2822" i="4"/>
  <c r="E4330" i="4"/>
  <c r="E4314" i="4"/>
  <c r="E4298" i="4"/>
  <c r="E4282" i="4"/>
  <c r="E4266" i="4"/>
  <c r="E4250" i="4"/>
  <c r="E4234" i="4"/>
  <c r="E4218" i="4"/>
  <c r="E4202" i="4"/>
  <c r="E4186" i="4"/>
  <c r="E4170" i="4"/>
  <c r="E4154" i="4"/>
  <c r="E4138" i="4"/>
  <c r="E4122" i="4"/>
  <c r="E4106" i="4"/>
  <c r="E4090" i="4"/>
  <c r="E4074" i="4"/>
  <c r="E4058" i="4"/>
  <c r="E4042" i="4"/>
  <c r="E4026" i="4"/>
  <c r="E3995" i="4"/>
  <c r="E3926" i="4"/>
  <c r="E3859" i="4"/>
  <c r="E3712" i="4"/>
  <c r="E3551" i="4"/>
  <c r="E3193" i="4"/>
  <c r="E2801" i="4"/>
  <c r="E3976" i="4"/>
  <c r="E3944" i="4"/>
  <c r="E3834" i="4"/>
  <c r="E3770" i="4"/>
  <c r="E3642" i="4"/>
  <c r="E3478" i="4"/>
  <c r="E3273" i="4"/>
  <c r="E3025" i="4"/>
  <c r="E3949" i="4"/>
  <c r="E3885" i="4"/>
  <c r="E3821" i="4"/>
  <c r="E3757" i="4"/>
  <c r="E3693" i="4"/>
  <c r="E3629" i="4"/>
  <c r="E3565" i="4"/>
  <c r="E3457" i="4"/>
  <c r="E3342" i="4"/>
  <c r="E3246" i="4"/>
  <c r="E3118" i="4"/>
  <c r="E2942" i="4"/>
  <c r="E2766" i="4"/>
  <c r="E2655" i="4"/>
  <c r="E3804" i="4"/>
  <c r="E3740" i="4"/>
  <c r="E3676" i="4"/>
  <c r="E3612" i="4"/>
  <c r="E3548" i="4"/>
  <c r="E3421" i="4"/>
  <c r="E3327" i="4"/>
  <c r="E3217" i="4"/>
  <c r="E3104" i="4"/>
  <c r="E2970" i="4"/>
  <c r="E2763" i="4"/>
  <c r="E2562" i="4"/>
  <c r="E3761" i="4"/>
  <c r="E3697" i="4"/>
  <c r="E3633" i="4"/>
  <c r="E3569" i="4"/>
  <c r="E3516" i="4"/>
  <c r="E3438" i="4"/>
  <c r="E3348" i="4"/>
  <c r="E3238" i="4"/>
  <c r="E3073" i="4"/>
  <c r="E2939" i="4"/>
  <c r="E2846" i="4"/>
  <c r="E2572" i="4"/>
  <c r="E3606" i="4"/>
  <c r="E3542" i="4"/>
  <c r="E3446" i="4"/>
  <c r="E3356" i="4"/>
  <c r="E3231" i="4"/>
  <c r="E3065" i="4"/>
  <c r="E2931" i="4"/>
  <c r="E2823" i="4"/>
  <c r="E2536" i="4"/>
  <c r="E3763" i="4"/>
  <c r="E3699" i="4"/>
  <c r="E3635" i="4"/>
  <c r="E3571" i="4"/>
  <c r="E3454" i="4"/>
  <c r="E3364" i="4"/>
  <c r="E3252" i="4"/>
  <c r="E3124" i="4"/>
  <c r="E2961" i="4"/>
  <c r="E2746" i="4"/>
  <c r="E3507" i="4"/>
  <c r="E3443" i="4"/>
  <c r="E3379" i="4"/>
  <c r="E3315" i="4"/>
  <c r="E3251" i="4"/>
  <c r="E3187" i="4"/>
  <c r="E3123" i="4"/>
  <c r="E3079" i="4"/>
  <c r="E2969" i="4"/>
  <c r="E2891" i="4"/>
  <c r="E2797" i="4"/>
  <c r="E2727" i="4"/>
  <c r="E2636" i="4"/>
  <c r="E3528" i="4"/>
  <c r="E3464" i="4"/>
  <c r="E3400" i="4"/>
  <c r="E3336" i="4"/>
  <c r="E3272" i="4"/>
  <c r="E3208" i="4"/>
  <c r="E3144" i="4"/>
  <c r="E3057" i="4"/>
  <c r="E2990" i="4"/>
  <c r="E2923" i="4"/>
  <c r="E2880" i="4"/>
  <c r="E2793" i="4"/>
  <c r="E2698" i="4"/>
  <c r="E2598" i="4"/>
  <c r="E3237" i="4"/>
  <c r="E3173" i="4"/>
  <c r="E3081" i="4"/>
  <c r="E3014" i="4"/>
  <c r="E2947" i="4"/>
  <c r="E2883" i="4"/>
  <c r="E2789" i="4"/>
  <c r="E2685" i="4"/>
  <c r="E3498" i="4"/>
  <c r="E3434" i="4"/>
  <c r="E3370" i="4"/>
  <c r="E3306" i="4"/>
  <c r="E3242" i="4"/>
  <c r="E3178" i="4"/>
  <c r="E3114" i="4"/>
  <c r="E3041" i="4"/>
  <c r="E2974" i="4"/>
  <c r="E2907" i="4"/>
  <c r="E2813" i="4"/>
  <c r="E2721" i="4"/>
  <c r="E2676" i="4"/>
  <c r="E2580" i="4"/>
  <c r="E2866" i="4"/>
  <c r="E2799" i="4"/>
  <c r="E2725" i="4"/>
  <c r="E2642" i="4"/>
  <c r="E2540" i="4"/>
  <c r="E3060" i="4"/>
  <c r="E2996" i="4"/>
  <c r="E2932" i="4"/>
  <c r="E2868" i="4"/>
  <c r="E2804" i="4"/>
  <c r="E2740" i="4"/>
  <c r="E2672" i="4"/>
  <c r="E2605" i="4"/>
  <c r="E2546" i="4"/>
  <c r="E2686" i="4"/>
  <c r="E2584" i="4"/>
  <c r="E2583" i="4"/>
  <c r="E2519" i="4"/>
  <c r="E2651" i="4"/>
  <c r="E2587" i="4"/>
  <c r="E2523" i="4"/>
  <c r="E4439" i="4"/>
  <c r="E4550" i="4"/>
  <c r="E4772" i="4"/>
  <c r="E4588" i="4"/>
  <c r="E4344" i="4"/>
  <c r="E3961" i="4"/>
  <c r="E4547" i="4"/>
  <c r="E4159" i="4"/>
  <c r="E4866" i="4"/>
  <c r="E4553" i="4"/>
  <c r="E4169" i="4"/>
  <c r="E4868" i="4"/>
  <c r="E4947" i="4"/>
  <c r="E4741" i="4"/>
  <c r="E4626" i="4"/>
  <c r="E3964" i="4"/>
  <c r="E4982" i="4"/>
  <c r="E4004" i="4"/>
  <c r="E4821" i="4"/>
  <c r="E4362" i="4"/>
  <c r="E3946" i="4"/>
  <c r="E3993" i="4"/>
  <c r="E3212" i="4"/>
  <c r="E3750" i="4"/>
  <c r="E4294" i="4"/>
  <c r="E4198" i="4"/>
  <c r="E4102" i="4"/>
  <c r="E3808" i="4"/>
  <c r="E3895" i="4"/>
  <c r="E2743" i="4"/>
  <c r="E3549" i="4"/>
  <c r="E2752" i="4"/>
  <c r="E3494" i="4"/>
  <c r="E3809" i="4"/>
  <c r="E3510" i="4"/>
  <c r="E2825" i="4"/>
  <c r="E2919" i="4"/>
  <c r="E3363" i="4"/>
  <c r="E3030" i="4"/>
  <c r="E2622" i="4"/>
  <c r="E3320" i="4"/>
  <c r="E2984" i="4"/>
  <c r="E2582" i="4"/>
  <c r="E3008" i="4"/>
  <c r="E3418" i="4"/>
  <c r="E3102" i="4"/>
  <c r="E2713" i="4"/>
  <c r="E2613" i="4"/>
  <c r="E2852" i="4"/>
  <c r="E2522" i="4"/>
  <c r="E2635" i="4"/>
  <c r="E4623" i="4"/>
  <c r="E3050" i="4"/>
  <c r="E4924" i="4"/>
  <c r="E4155" i="4"/>
  <c r="E4489" i="4"/>
  <c r="E3666" i="4"/>
  <c r="E4998" i="4"/>
  <c r="E4403" i="4"/>
  <c r="E4271" i="4"/>
  <c r="E4241" i="4"/>
  <c r="E4123" i="4"/>
  <c r="E4355" i="4"/>
  <c r="E4625" i="4"/>
  <c r="E5007" i="4"/>
  <c r="E4555" i="4"/>
  <c r="E3924" i="4"/>
  <c r="E3921" i="4"/>
  <c r="E4400" i="4"/>
  <c r="E4907" i="4"/>
  <c r="E4557" i="4"/>
  <c r="E4173" i="4"/>
  <c r="E3876" i="4"/>
  <c r="E2720" i="4"/>
  <c r="E3567" i="4"/>
  <c r="E3982" i="4"/>
  <c r="E3594" i="4"/>
  <c r="E2557" i="4"/>
  <c r="E4276" i="4"/>
  <c r="E4212" i="4"/>
  <c r="E4148" i="4"/>
  <c r="E4036" i="4"/>
  <c r="E3925" i="4"/>
  <c r="E3547" i="4"/>
  <c r="E3077" i="4"/>
  <c r="E3355" i="4"/>
  <c r="E3027" i="4"/>
  <c r="E3440" i="4"/>
  <c r="E3120" i="4"/>
  <c r="E2765" i="4"/>
  <c r="E3072" i="4"/>
  <c r="E2761" i="4"/>
  <c r="E3282" i="4"/>
  <c r="E3032" i="4"/>
  <c r="E2881" i="4"/>
  <c r="E3100" i="4"/>
  <c r="E2844" i="4"/>
  <c r="E2592" i="4"/>
  <c r="E2559" i="4"/>
  <c r="E4279" i="4"/>
  <c r="E4500" i="4"/>
  <c r="E4225" i="4"/>
  <c r="E4832" i="4"/>
  <c r="E3752" i="4"/>
  <c r="E4368" i="4"/>
  <c r="E4474" i="4"/>
  <c r="E4908" i="4"/>
  <c r="E4567" i="4"/>
  <c r="E3663" i="4"/>
  <c r="E4848" i="4"/>
  <c r="E4507" i="4"/>
  <c r="E4015" i="4"/>
  <c r="E4930" i="4"/>
  <c r="E5003" i="4"/>
  <c r="E4803" i="4"/>
  <c r="E4705" i="4"/>
  <c r="E4546" i="4"/>
  <c r="E4882" i="4"/>
  <c r="E4591" i="4"/>
  <c r="E4231" i="4"/>
  <c r="E4566" i="4"/>
  <c r="E3991" i="4"/>
  <c r="E4503" i="4"/>
  <c r="E2967" i="4"/>
  <c r="E4005" i="4"/>
  <c r="E4103" i="4"/>
  <c r="E4247" i="4"/>
  <c r="E4357" i="4"/>
  <c r="E4017" i="4"/>
  <c r="E2652" i="4"/>
  <c r="E4944" i="4"/>
  <c r="E4862" i="4"/>
  <c r="E4782" i="4"/>
  <c r="E4704" i="4"/>
  <c r="E4579" i="4"/>
  <c r="E4331" i="4"/>
  <c r="E3952" i="4"/>
  <c r="E3241" i="4"/>
  <c r="E4597" i="4"/>
  <c r="E4537" i="4"/>
  <c r="E4505" i="4"/>
  <c r="E4441" i="4"/>
  <c r="E4380" i="4"/>
  <c r="E4348" i="4"/>
  <c r="E4245" i="4"/>
  <c r="E4117" i="4"/>
  <c r="E3981" i="4"/>
  <c r="E3736" i="4"/>
  <c r="E2989" i="4"/>
  <c r="E4522" i="4"/>
  <c r="E4365" i="4"/>
  <c r="E4049" i="4"/>
  <c r="E2958" i="4"/>
  <c r="E4936" i="4"/>
  <c r="E4860" i="4"/>
  <c r="E4788" i="4"/>
  <c r="E4712" i="4"/>
  <c r="E4627" i="4"/>
  <c r="E2864" i="4"/>
  <c r="E4590" i="4"/>
  <c r="E4492" i="4"/>
  <c r="E4428" i="4"/>
  <c r="E4303" i="4"/>
  <c r="E4175" i="4"/>
  <c r="E4047" i="4"/>
  <c r="E3791" i="4"/>
  <c r="E3385" i="4"/>
  <c r="E4632" i="4"/>
  <c r="E4369" i="4"/>
  <c r="E4956" i="4"/>
  <c r="E4876" i="4"/>
  <c r="E4798" i="4"/>
  <c r="E4710" i="4"/>
  <c r="E4432" i="4"/>
  <c r="E4624" i="4"/>
  <c r="E4560" i="4"/>
  <c r="E4518" i="4"/>
  <c r="E4469" i="4"/>
  <c r="E4405" i="4"/>
  <c r="E4363" i="4"/>
  <c r="E4313" i="4"/>
  <c r="E4185" i="4"/>
  <c r="E4057" i="4"/>
  <c r="E3843" i="4"/>
  <c r="E3324" i="4"/>
  <c r="E2691" i="4"/>
  <c r="E4353" i="4"/>
  <c r="E4960" i="4"/>
  <c r="E4878" i="4"/>
  <c r="E4794" i="4"/>
  <c r="E4718" i="4"/>
  <c r="E4602" i="4"/>
  <c r="E5015" i="4"/>
  <c r="E4981" i="4"/>
  <c r="E4951" i="4"/>
  <c r="E4917" i="4"/>
  <c r="E4883" i="4"/>
  <c r="E4849" i="4"/>
  <c r="E4815" i="4"/>
  <c r="E4793" i="4"/>
  <c r="E4775" i="4"/>
  <c r="E4759" i="4"/>
  <c r="E4743" i="4"/>
  <c r="E4727" i="4"/>
  <c r="E4711" i="4"/>
  <c r="E4695" i="4"/>
  <c r="E4679" i="4"/>
  <c r="E4663" i="4"/>
  <c r="E4635" i="4"/>
  <c r="E4571" i="4"/>
  <c r="E4472" i="4"/>
  <c r="E4408" i="4"/>
  <c r="E4243" i="4"/>
  <c r="E4115" i="4"/>
  <c r="E3972" i="4"/>
  <c r="E3816" i="4"/>
  <c r="E3439" i="4"/>
  <c r="E2885" i="4"/>
  <c r="E4413" i="4"/>
  <c r="E4033" i="4"/>
  <c r="E4994" i="4"/>
  <c r="E4914" i="4"/>
  <c r="E4830" i="4"/>
  <c r="E4746" i="4"/>
  <c r="E4660" i="4"/>
  <c r="E4451" i="4"/>
  <c r="E4107" i="4"/>
  <c r="E5009" i="4"/>
  <c r="E4979" i="4"/>
  <c r="E4945" i="4"/>
  <c r="E4915" i="4"/>
  <c r="E4885" i="4"/>
  <c r="E4855" i="4"/>
  <c r="E4825" i="4"/>
  <c r="E4637" i="4"/>
  <c r="E4573" i="4"/>
  <c r="E4525" i="4"/>
  <c r="E4478" i="4"/>
  <c r="E4414" i="4"/>
  <c r="E4366" i="4"/>
  <c r="E4333" i="4"/>
  <c r="E4205" i="4"/>
  <c r="E4077" i="4"/>
  <c r="E3915" i="4"/>
  <c r="E3672" i="4"/>
  <c r="E2829" i="4"/>
  <c r="E3970" i="4"/>
  <c r="E3882" i="4"/>
  <c r="E3790" i="4"/>
  <c r="E3655" i="4"/>
  <c r="E3517" i="4"/>
  <c r="E3145" i="4"/>
  <c r="E2777" i="4"/>
  <c r="E4001" i="4"/>
  <c r="E3945" i="4"/>
  <c r="E3878" i="4"/>
  <c r="E3767" i="4"/>
  <c r="E3616" i="4"/>
  <c r="E3460" i="4"/>
  <c r="E3225" i="4"/>
  <c r="E2843" i="4"/>
  <c r="E3998" i="4"/>
  <c r="E3911" i="4"/>
  <c r="E3844" i="4"/>
  <c r="E3766" i="4"/>
  <c r="E3623" i="4"/>
  <c r="E3447" i="4"/>
  <c r="E3209" i="4"/>
  <c r="E2729" i="4"/>
  <c r="E4328" i="4"/>
  <c r="E4312" i="4"/>
  <c r="E4296" i="4"/>
  <c r="E4280" i="4"/>
  <c r="E4264" i="4"/>
  <c r="E4248" i="4"/>
  <c r="E4232" i="4"/>
  <c r="E4216" i="4"/>
  <c r="E4200" i="4"/>
  <c r="E4184" i="4"/>
  <c r="E4168" i="4"/>
  <c r="E4152" i="4"/>
  <c r="E4136" i="4"/>
  <c r="E4120" i="4"/>
  <c r="E4104" i="4"/>
  <c r="E4088" i="4"/>
  <c r="E4072" i="4"/>
  <c r="E4056" i="4"/>
  <c r="E4040" i="4"/>
  <c r="E4024" i="4"/>
  <c r="E3987" i="4"/>
  <c r="E3923" i="4"/>
  <c r="E3856" i="4"/>
  <c r="E3696" i="4"/>
  <c r="E3536" i="4"/>
  <c r="E3180" i="4"/>
  <c r="E2728" i="4"/>
  <c r="E3968" i="4"/>
  <c r="E3898" i="4"/>
  <c r="E3831" i="4"/>
  <c r="E3754" i="4"/>
  <c r="E3607" i="4"/>
  <c r="E3422" i="4"/>
  <c r="E3261" i="4"/>
  <c r="E2819" i="4"/>
  <c r="E3941" i="4"/>
  <c r="E3877" i="4"/>
  <c r="E3813" i="4"/>
  <c r="E3749" i="4"/>
  <c r="E3685" i="4"/>
  <c r="E3621" i="4"/>
  <c r="E3557" i="4"/>
  <c r="E3444" i="4"/>
  <c r="E3333" i="4"/>
  <c r="E3230" i="4"/>
  <c r="E3070" i="4"/>
  <c r="E2936" i="4"/>
  <c r="E2759" i="4"/>
  <c r="E2618" i="4"/>
  <c r="E3796" i="4"/>
  <c r="E3732" i="4"/>
  <c r="E3668" i="4"/>
  <c r="E3604" i="4"/>
  <c r="E3540" i="4"/>
  <c r="E3417" i="4"/>
  <c r="E3302" i="4"/>
  <c r="E3201" i="4"/>
  <c r="E3098" i="4"/>
  <c r="E2921" i="4"/>
  <c r="E2749" i="4"/>
  <c r="E3817" i="4"/>
  <c r="E3753" i="4"/>
  <c r="E3689" i="4"/>
  <c r="E3625" i="4"/>
  <c r="E3561" i="4"/>
  <c r="E3513" i="4"/>
  <c r="E3429" i="4"/>
  <c r="E3335" i="4"/>
  <c r="E3222" i="4"/>
  <c r="E3067" i="4"/>
  <c r="E2933" i="4"/>
  <c r="E2832" i="4"/>
  <c r="E3662" i="4"/>
  <c r="E3598" i="4"/>
  <c r="E3534" i="4"/>
  <c r="E3437" i="4"/>
  <c r="E3343" i="4"/>
  <c r="E3215" i="4"/>
  <c r="E3059" i="4"/>
  <c r="E2925" i="4"/>
  <c r="E2816" i="4"/>
  <c r="E3819" i="4"/>
  <c r="E3755" i="4"/>
  <c r="E3691" i="4"/>
  <c r="E3627" i="4"/>
  <c r="E3563" i="4"/>
  <c r="E3445" i="4"/>
  <c r="E3351" i="4"/>
  <c r="E3236" i="4"/>
  <c r="E3089" i="4"/>
  <c r="E2955" i="4"/>
  <c r="E2739" i="4"/>
  <c r="E3499" i="4"/>
  <c r="E3435" i="4"/>
  <c r="E3371" i="4"/>
  <c r="E3307" i="4"/>
  <c r="E3243" i="4"/>
  <c r="E3179" i="4"/>
  <c r="E3115" i="4"/>
  <c r="E3033" i="4"/>
  <c r="E2966" i="4"/>
  <c r="E2877" i="4"/>
  <c r="E2790" i="4"/>
  <c r="E2719" i="4"/>
  <c r="E2631" i="4"/>
  <c r="E3520" i="4"/>
  <c r="E3456" i="4"/>
  <c r="E3392" i="4"/>
  <c r="E3328" i="4"/>
  <c r="E3264" i="4"/>
  <c r="E3200" i="4"/>
  <c r="E3136" i="4"/>
  <c r="E3054" i="4"/>
  <c r="E2987" i="4"/>
  <c r="E2920" i="4"/>
  <c r="E2873" i="4"/>
  <c r="E2786" i="4"/>
  <c r="E2690" i="4"/>
  <c r="E2593" i="4"/>
  <c r="E3229" i="4"/>
  <c r="E3165" i="4"/>
  <c r="E3078" i="4"/>
  <c r="E3011" i="4"/>
  <c r="E2944" i="4"/>
  <c r="E2862" i="4"/>
  <c r="E2782" i="4"/>
  <c r="E2681" i="4"/>
  <c r="E3490" i="4"/>
  <c r="E3426" i="4"/>
  <c r="E3362" i="4"/>
  <c r="E3298" i="4"/>
  <c r="E3234" i="4"/>
  <c r="E3170" i="4"/>
  <c r="E3105" i="4"/>
  <c r="E3038" i="4"/>
  <c r="E2971" i="4"/>
  <c r="E2893" i="4"/>
  <c r="E2806" i="4"/>
  <c r="E2717" i="4"/>
  <c r="E2671" i="4"/>
  <c r="E2524" i="4"/>
  <c r="E2863" i="4"/>
  <c r="E2753" i="4"/>
  <c r="E2711" i="4"/>
  <c r="E2630" i="4"/>
  <c r="E2518" i="4"/>
  <c r="E3052" i="4"/>
  <c r="E2988" i="4"/>
  <c r="E2924" i="4"/>
  <c r="E2860" i="4"/>
  <c r="E2796" i="4"/>
  <c r="E2732" i="4"/>
  <c r="E2669" i="4"/>
  <c r="E2602" i="4"/>
  <c r="E2526" i="4"/>
  <c r="E2656" i="4"/>
  <c r="E2577" i="4"/>
  <c r="E2575" i="4"/>
  <c r="E2537" i="4"/>
  <c r="E2643" i="4"/>
  <c r="E2579" i="4"/>
  <c r="G30" i="6" l="1"/>
  <c r="L14" i="6" s="1"/>
  <c r="G26" i="6" a="1"/>
  <c r="G26" i="6" s="1"/>
  <c r="L9" i="6" s="1"/>
  <c r="J8" i="4" s="1"/>
  <c r="J10" i="4" s="1"/>
  <c r="J11" i="4" s="1"/>
  <c r="E2516" i="4"/>
  <c r="E15" i="4" s="1"/>
  <c r="F15" i="4"/>
  <c r="D1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<sst xmlns="http://schemas.openxmlformats.org/spreadsheetml/2006/main" count="274" uniqueCount="155">
  <si>
    <t>Buy</t>
  </si>
  <si>
    <t>FOR</t>
  </si>
  <si>
    <t>Call FOR, Put DOM</t>
  </si>
  <si>
    <t>FOR/DOM</t>
  </si>
  <si>
    <t>Call</t>
  </si>
  <si>
    <t>By Interest Rate Parity</t>
  </si>
  <si>
    <t>Sell</t>
  </si>
  <si>
    <t>DOM</t>
  </si>
  <si>
    <t>Put FOR, Call DOM</t>
  </si>
  <si>
    <t>DOM/FOR</t>
  </si>
  <si>
    <t>Put</t>
  </si>
  <si>
    <t>With Currency Basis</t>
  </si>
  <si>
    <t>antithetic variates →</t>
  </si>
  <si>
    <t>Averages →</t>
  </si>
  <si>
    <t xml:space="preserve">Averages → </t>
  </si>
  <si>
    <t>Digital EU Payoff</t>
  </si>
  <si>
    <t>Vanilla EU Payoff</t>
  </si>
  <si>
    <t>S(T)</t>
  </si>
  <si>
    <t>Rand ~N(0,1)</t>
  </si>
  <si>
    <t># of Vega</t>
  </si>
  <si>
    <t>Variance b/t methods</t>
  </si>
  <si>
    <t>Vega</t>
  </si>
  <si>
    <t>Option Discounted Value</t>
  </si>
  <si>
    <t>Analytical Formulae</t>
  </si>
  <si>
    <t xml:space="preserve">Run time (minutes): </t>
  </si>
  <si>
    <t xml:space="preserve">Run time (seconds): </t>
  </si>
  <si>
    <t>Total simulations</t>
  </si>
  <si>
    <t>Discount Factor</t>
  </si>
  <si>
    <t># of refreshes</t>
  </si>
  <si>
    <t>Option Forward Value</t>
  </si>
  <si>
    <t>Sims per 1 refresh</t>
  </si>
  <si>
    <t>Units</t>
  </si>
  <si>
    <t xml:space="preserve">Digital Option </t>
  </si>
  <si>
    <t xml:space="preserve">Vanilla Option </t>
  </si>
  <si>
    <t>Monte Carlo</t>
  </si>
  <si>
    <r>
      <t>Rho</t>
    </r>
    <r>
      <rPr>
        <vertAlign val="subscript"/>
        <sz val="10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</si>
  <si>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</si>
  <si>
    <t>Gamma</t>
  </si>
  <si>
    <t>Theta</t>
  </si>
  <si>
    <r>
      <t>Δ</t>
    </r>
    <r>
      <rPr>
        <vertAlign val="subscript"/>
        <sz val="10"/>
        <color theme="0"/>
        <rFont val="Arial"/>
        <family val="2"/>
      </rPr>
      <t>forward</t>
    </r>
  </si>
  <si>
    <r>
      <t>Δ</t>
    </r>
    <r>
      <rPr>
        <vertAlign val="subscript"/>
        <sz val="10"/>
        <color theme="1"/>
        <rFont val="Arial"/>
        <family val="2"/>
      </rPr>
      <t>spot</t>
    </r>
  </si>
  <si>
    <t>Option Value</t>
  </si>
  <si>
    <r>
      <t>Unit Rho</t>
    </r>
    <r>
      <rPr>
        <b/>
        <vertAlign val="subscript"/>
        <sz val="10"/>
        <color theme="0"/>
        <rFont val="Arial"/>
        <family val="2"/>
      </rPr>
      <t>domestic currency</t>
    </r>
  </si>
  <si>
    <r>
      <t>Unit Rho</t>
    </r>
    <r>
      <rPr>
        <b/>
        <vertAlign val="subscript"/>
        <sz val="10"/>
        <color theme="0"/>
        <rFont val="Arial"/>
        <family val="2"/>
      </rPr>
      <t>foreign currency</t>
    </r>
  </si>
  <si>
    <t>Unit Gamma</t>
  </si>
  <si>
    <t>Unit Theta</t>
  </si>
  <si>
    <t>Unit Vega</t>
  </si>
  <si>
    <r>
      <t>Unit Δ</t>
    </r>
    <r>
      <rPr>
        <b/>
        <vertAlign val="subscript"/>
        <sz val="10"/>
        <color theme="0"/>
        <rFont val="Arial"/>
        <family val="2"/>
      </rPr>
      <t>forward</t>
    </r>
  </si>
  <si>
    <r>
      <t>Unit Δ</t>
    </r>
    <r>
      <rPr>
        <b/>
        <vertAlign val="subscript"/>
        <sz val="10"/>
        <color theme="0"/>
        <rFont val="Arial"/>
        <family val="2"/>
      </rPr>
      <t>spot</t>
    </r>
  </si>
  <si>
    <t>Px</t>
  </si>
  <si>
    <r>
      <t>d</t>
    </r>
    <r>
      <rPr>
        <b/>
        <vertAlign val="subscript"/>
        <sz val="10"/>
        <color theme="0"/>
        <rFont val="Arial"/>
        <family val="2"/>
      </rPr>
      <t>2</t>
    </r>
  </si>
  <si>
    <r>
      <t>d</t>
    </r>
    <r>
      <rPr>
        <b/>
        <vertAlign val="subscript"/>
        <sz val="10"/>
        <color theme="0"/>
        <rFont val="Arial"/>
        <family val="2"/>
      </rPr>
      <t>1</t>
    </r>
  </si>
  <si>
    <t>μ</t>
  </si>
  <si>
    <t>q</t>
  </si>
  <si>
    <t>r</t>
  </si>
  <si>
    <t>Result Ccy Divisor</t>
  </si>
  <si>
    <t>DOM Notional</t>
  </si>
  <si>
    <t>FOR Notional</t>
  </si>
  <si>
    <r>
      <t>r</t>
    </r>
    <r>
      <rPr>
        <b/>
        <vertAlign val="subscript"/>
        <sz val="10"/>
        <color theme="0"/>
        <rFont val="Arial"/>
        <family val="2"/>
      </rPr>
      <t>d_basis_adj</t>
    </r>
  </si>
  <si>
    <r>
      <t>μ</t>
    </r>
    <r>
      <rPr>
        <b/>
        <vertAlign val="subscript"/>
        <sz val="10"/>
        <color theme="0"/>
        <rFont val="Arial"/>
        <family val="2"/>
      </rPr>
      <t>with currency basis</t>
    </r>
  </si>
  <si>
    <r>
      <t>μ</t>
    </r>
    <r>
      <rPr>
        <b/>
        <vertAlign val="subscript"/>
        <sz val="10"/>
        <color theme="0"/>
        <rFont val="Arial"/>
        <family val="2"/>
      </rPr>
      <t>by interest rate parity</t>
    </r>
  </si>
  <si>
    <t>T</t>
  </si>
  <si>
    <t>CP</t>
  </si>
  <si>
    <t>Methodology</t>
  </si>
  <si>
    <t>Result Ccy</t>
  </si>
  <si>
    <r>
      <t>r</t>
    </r>
    <r>
      <rPr>
        <b/>
        <vertAlign val="subscript"/>
        <sz val="10"/>
        <color theme="0"/>
        <rFont val="Arial"/>
        <family val="2"/>
      </rPr>
      <t>d</t>
    </r>
  </si>
  <si>
    <r>
      <t>r</t>
    </r>
    <r>
      <rPr>
        <b/>
        <vertAlign val="subscript"/>
        <sz val="10"/>
        <color theme="0"/>
        <rFont val="Arial"/>
        <family val="2"/>
      </rPr>
      <t>f</t>
    </r>
  </si>
  <si>
    <t>σ</t>
  </si>
  <si>
    <t>F</t>
  </si>
  <si>
    <r>
      <t>S</t>
    </r>
    <r>
      <rPr>
        <b/>
        <vertAlign val="subscript"/>
        <sz val="10"/>
        <color theme="0"/>
        <rFont val="Arial"/>
        <family val="2"/>
      </rPr>
      <t>0</t>
    </r>
  </si>
  <si>
    <t>Value Date</t>
  </si>
  <si>
    <t>Notional Ccy</t>
  </si>
  <si>
    <t>Notional Amt</t>
  </si>
  <si>
    <t>Expiry Date</t>
  </si>
  <si>
    <t>Call/Put</t>
  </si>
  <si>
    <t>Strike</t>
  </si>
  <si>
    <t>Buy/Sell</t>
  </si>
  <si>
    <t>[DOM]</t>
  </si>
  <si>
    <t>[FOR]</t>
  </si>
  <si>
    <t>[%]</t>
  </si>
  <si>
    <t>[$, DOM]</t>
  </si>
  <si>
    <t>[$, FOR]</t>
  </si>
  <si>
    <t>[Years]</t>
  </si>
  <si>
    <t>{-1,1}</t>
  </si>
  <si>
    <t>{FOR, DOM}</t>
  </si>
  <si>
    <t>[Date]</t>
  </si>
  <si>
    <t>[$]</t>
  </si>
  <si>
    <t>{Buy,Sell}</t>
  </si>
  <si>
    <t>Units →</t>
  </si>
  <si>
    <t>Unit Results</t>
  </si>
  <si>
    <t>Valuation Helpers</t>
  </si>
  <si>
    <t>Valuation &amp; Market Data Inputs</t>
  </si>
  <si>
    <t>Contractual Inputs</t>
  </si>
  <si>
    <t>with FCB</t>
  </si>
  <si>
    <t>by IR Parity</t>
  </si>
  <si>
    <t>Down and In</t>
  </si>
  <si>
    <t>H</t>
  </si>
  <si>
    <r>
      <t>d</t>
    </r>
    <r>
      <rPr>
        <vertAlign val="subscript"/>
        <sz val="10"/>
        <color theme="1"/>
        <rFont val="Arial"/>
        <family val="2"/>
      </rPr>
      <t>4</t>
    </r>
  </si>
  <si>
    <r>
      <t>d</t>
    </r>
    <r>
      <rPr>
        <vertAlign val="subscript"/>
        <sz val="10"/>
        <color theme="1"/>
        <rFont val="Arial"/>
        <family val="2"/>
      </rPr>
      <t>3</t>
    </r>
  </si>
  <si>
    <r>
      <t>d</t>
    </r>
    <r>
      <rPr>
        <vertAlign val="subscript"/>
        <sz val="10"/>
        <color theme="1"/>
        <rFont val="Arial"/>
        <family val="2"/>
      </rPr>
      <t>2</t>
    </r>
  </si>
  <si>
    <r>
      <t>d</t>
    </r>
    <r>
      <rPr>
        <vertAlign val="subscript"/>
        <sz val="10"/>
        <color theme="1"/>
        <rFont val="Arial"/>
        <family val="2"/>
      </rPr>
      <t>1</t>
    </r>
  </si>
  <si>
    <t>Barrier option helpers</t>
  </si>
  <si>
    <t>IN PROGRESS</t>
  </si>
  <si>
    <t>Price in domestic currency</t>
  </si>
  <si>
    <t>Price in notional currency</t>
  </si>
  <si>
    <t>% in-the-money</t>
  </si>
  <si>
    <t>Field</t>
  </si>
  <si>
    <t>European digital option pricing</t>
  </si>
  <si>
    <r>
      <t>Rho</t>
    </r>
    <r>
      <rPr>
        <vertAlign val="subscript"/>
        <sz val="10"/>
        <color theme="1"/>
        <rFont val="Arial"/>
        <family val="2"/>
      </rPr>
      <t>domestic currency</t>
    </r>
    <r>
      <rPr>
        <sz val="9"/>
        <color theme="1"/>
        <rFont val="Arial"/>
        <family val="2"/>
      </rPr>
      <t xml:space="preserve"> (normalised to 1% change in the foreign currency interest rate)</t>
    </r>
  </si>
  <si>
    <r>
      <t>Rho</t>
    </r>
    <r>
      <rPr>
        <vertAlign val="subscript"/>
        <sz val="10"/>
        <color theme="1"/>
        <rFont val="Arial"/>
        <family val="2"/>
      </rPr>
      <t>foreign currency</t>
    </r>
    <r>
      <rPr>
        <sz val="9"/>
        <color theme="1"/>
        <rFont val="Arial"/>
        <family val="2"/>
      </rPr>
      <t xml:space="preserve"> (normalised to 1% change in the foreign currency interest rate)</t>
    </r>
  </si>
  <si>
    <t>Gamma (normalised to 1% change in spot price)</t>
  </si>
  <si>
    <t>Theta (normalised to 1 day)</t>
  </si>
  <si>
    <t>Domestic currency interest rate</t>
  </si>
  <si>
    <t>Vega (normalised to 1% change in volatility)</t>
  </si>
  <si>
    <t>Foreign currency interest rate</t>
  </si>
  <si>
    <r>
      <t>Δ</t>
    </r>
    <r>
      <rPr>
        <vertAlign val="subscript"/>
        <sz val="10"/>
        <color theme="1"/>
        <rFont val="Arial"/>
        <family val="2"/>
      </rPr>
      <t>forward</t>
    </r>
    <r>
      <rPr>
        <sz val="9"/>
        <color theme="1"/>
        <rFont val="Arial"/>
        <family val="2"/>
      </rPr>
      <t xml:space="preserve"> (forward delta)</t>
    </r>
  </si>
  <si>
    <t>Volatility</t>
  </si>
  <si>
    <r>
      <t>Δ</t>
    </r>
    <r>
      <rPr>
        <vertAlign val="subscript"/>
        <sz val="10"/>
        <color theme="1"/>
        <rFont val="Arial"/>
        <family val="2"/>
      </rPr>
      <t>spot</t>
    </r>
    <r>
      <rPr>
        <sz val="9"/>
        <color theme="1"/>
        <rFont val="Arial"/>
        <family val="2"/>
      </rPr>
      <t xml:space="preserve"> (spot delta)</t>
    </r>
  </si>
  <si>
    <t>FX forward rate</t>
  </si>
  <si>
    <t>Price (in the domestic currency, per 1 unit of foreign currency notional)</t>
  </si>
  <si>
    <t>FX spot price</t>
  </si>
  <si>
    <t>Valuation Date</t>
  </si>
  <si>
    <t>Vanilla European option pricing and analytical greeks</t>
  </si>
  <si>
    <t>Value</t>
  </si>
  <si>
    <t>Valuation inputs</t>
  </si>
  <si>
    <t xml:space="preserve">Option Value Monte Carlo </t>
  </si>
  <si>
    <t>Barrier</t>
  </si>
  <si>
    <t>Results in Notional Currency</t>
  </si>
  <si>
    <t>European digital option results</t>
  </si>
  <si>
    <t>Vanilla option helpers</t>
  </si>
  <si>
    <t>Exotic contractual inputs</t>
  </si>
  <si>
    <t>Notional currency</t>
  </si>
  <si>
    <t>Domestic Currency Notional</t>
  </si>
  <si>
    <t>Notional amount</t>
  </si>
  <si>
    <t>Foreign Currency Notional</t>
  </si>
  <si>
    <r>
      <t>r</t>
    </r>
    <r>
      <rPr>
        <vertAlign val="subscript"/>
        <sz val="10"/>
        <color theme="1"/>
        <rFont val="Arial"/>
        <family val="2"/>
      </rPr>
      <t>domestic currency basis adjusted</t>
    </r>
  </si>
  <si>
    <t>Call/Put perspective</t>
  </si>
  <si>
    <t xml:space="preserve">F </t>
  </si>
  <si>
    <t>T (years to expiry)</t>
  </si>
  <si>
    <t>Buy/Sell perspective</t>
  </si>
  <si>
    <t>Results</t>
  </si>
  <si>
    <r>
      <t>r</t>
    </r>
    <r>
      <rPr>
        <vertAlign val="subscript"/>
        <sz val="10"/>
        <color theme="1"/>
        <rFont val="Arial"/>
        <family val="2"/>
      </rPr>
      <t>foreign currency</t>
    </r>
  </si>
  <si>
    <t>Vanilla European option results</t>
  </si>
  <si>
    <r>
      <t>r</t>
    </r>
    <r>
      <rPr>
        <vertAlign val="subscript"/>
        <sz val="10"/>
        <color theme="1"/>
        <rFont val="Arial"/>
        <family val="2"/>
      </rPr>
      <t>domestic currency</t>
    </r>
  </si>
  <si>
    <t>Core / vanilla contractual inputs</t>
  </si>
  <si>
    <t xml:space="preserve">K </t>
  </si>
  <si>
    <t>Result/Notional FX spot rate</t>
  </si>
  <si>
    <r>
      <t>S</t>
    </r>
    <r>
      <rPr>
        <vertAlign val="subscript"/>
        <sz val="10"/>
        <color theme="1"/>
        <rFont val="Arial"/>
        <family val="2"/>
      </rPr>
      <t>0</t>
    </r>
    <r>
      <rPr>
        <sz val="9"/>
        <color theme="1"/>
        <rFont val="Arial"/>
        <family val="2"/>
      </rPr>
      <t xml:space="preserve"> </t>
    </r>
  </si>
  <si>
    <t>Result/Domestic FX spot rate</t>
  </si>
  <si>
    <t>{1,-1}</t>
  </si>
  <si>
    <t>CP (call/put flag)</t>
  </si>
  <si>
    <t>Result Currency</t>
  </si>
  <si>
    <t>Valuation model inputs</t>
  </si>
  <si>
    <t>User input</t>
  </si>
  <si>
    <t>Legend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</si>
</sst>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_-* #,##0.000000_-;\-* #,##0.000000_-;_-* &quot;-&quot;??_-;_-@_-"/>
    <numFmt numFmtId="165" formatCode="_-* #,##0.00000_-;\-* #,##0.00000_-;_-* &quot;-&quot;??_-;_-@_-"/>
    <numFmt numFmtId="166" formatCode="#,##0_-;\(#,##0\)_-;\-_-"/>
    <numFmt numFmtId="167" formatCode="0.00000%"/>
    <numFmt numFmtId="168" formatCode="0.000%"/>
    <numFmt numFmtId="169" formatCode="_-* #,##0.000_-;\-* #,##0.000_-;_-* &quot;-&quot;??_-;_-@_-"/>
    <numFmt numFmtId="170" formatCode="_-* #,##0.0000_-;\-* #,##0.0000_-;_-* &quot;-&quot;??_-;_-@_-"/>
    <numFmt numFmtId="171" formatCode="0.0000%"/>
    <numFmt numFmtId="172" formatCode="0.000000%"/>
    <numFmt numFmtId="173" formatCode="d\-mmm\-yy_-;;"/>
    <numFmt numFmtId="174" formatCode="_-* #,##0.00000000_-;\-* #,##0.00000000_-;_-* &quot;-&quot;??_-;_-@_-"/>
    <numFmt numFmtId="175" formatCode="0.0000"/>
    <numFmt numFmtId="176" formatCode="0.00000000"/>
    <numFmt numFmtId="177" formatCode="d\-mmm\-yyyy_-;;"/>
  </numFmts>
  <fonts count="15" x14ac:knownFonts="1">
    <font>
      <sz val="9"/>
      <color theme="1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u/>
      <sz val="10"/>
      <color theme="1"/>
      <name val="Arial"/>
      <family val="2"/>
    </font>
    <font>
      <sz val="10"/>
      <color rgb="FF0070C0"/>
      <name val="Arial"/>
      <family val="2"/>
    </font>
    <font>
      <sz val="10"/>
      <color rgb="FF000000"/>
      <name val="Arial"/>
      <family val="2"/>
    </font>
    <font>
      <sz val="10"/>
      <color theme="4"/>
      <name val="Arial"/>
      <family val="2"/>
    </font>
    <font>
      <sz val="10"/>
      <name val="Arial"/>
      <family val="2"/>
    </font>
    <font>
      <vertAlign val="subscript"/>
      <sz val="10"/>
      <color theme="1"/>
      <name val="Arial"/>
      <family val="2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b/>
      <vertAlign val="subscript"/>
      <sz val="10"/>
      <color theme="0"/>
      <name val="Arial"/>
      <family val="2"/>
    </font>
    <font>
      <b/>
      <sz val="10"/>
      <name val="Arial"/>
      <family val="2"/>
    </font>
    <font>
      <b/>
      <u/>
      <sz val="10"/>
      <color theme="1"/>
      <name val="Arial"/>
      <family val="2"/>
    </font>
    <font>
      <sz val="8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9">
    <xf numFmtId="0" fontId="0" fillId="0" borderId="0" xfId="0"/>
    <xf numFmtId="0" fontId="2" fillId="0" borderId="0" xfId="3"/>
    <xf numFmtId="164" fontId="2" fillId="0" borderId="0" xfId="3" quotePrefix="1" applyNumberFormat="1"/>
    <xf numFmtId="165" fontId="0" fillId="0" borderId="0" xfId="4" applyNumberFormat="1" applyFont="1"/>
    <xf numFmtId="166" fontId="2" fillId="0" borderId="0" xfId="3" applyNumberFormat="1"/>
    <xf numFmtId="164" fontId="0" fillId="0" borderId="0" xfId="4" applyNumberFormat="1" applyFont="1"/>
    <xf numFmtId="164" fontId="0" fillId="0" borderId="1" xfId="4" applyNumberFormat="1" applyFont="1" applyBorder="1"/>
    <xf numFmtId="164" fontId="2" fillId="0" borderId="0" xfId="3" applyNumberFormat="1"/>
    <xf numFmtId="167" fontId="0" fillId="0" borderId="0" xfId="5" applyNumberFormat="1" applyFont="1" applyBorder="1"/>
    <xf numFmtId="168" fontId="0" fillId="0" borderId="2" xfId="5" applyNumberFormat="1" applyFont="1" applyBorder="1"/>
    <xf numFmtId="164" fontId="0" fillId="0" borderId="2" xfId="4" applyNumberFormat="1" applyFont="1" applyBorder="1"/>
    <xf numFmtId="167" fontId="0" fillId="0" borderId="2" xfId="5" applyNumberFormat="1" applyFont="1" applyBorder="1"/>
    <xf numFmtId="0" fontId="2" fillId="0" borderId="2" xfId="3" applyBorder="1"/>
    <xf numFmtId="0" fontId="2" fillId="0" borderId="1" xfId="3" applyBorder="1"/>
    <xf numFmtId="165" fontId="2" fillId="0" borderId="0" xfId="3" applyNumberFormat="1" applyAlignment="1">
      <alignment horizontal="center"/>
    </xf>
    <xf numFmtId="165" fontId="2" fillId="0" borderId="0" xfId="3" applyNumberFormat="1"/>
    <xf numFmtId="0" fontId="2" fillId="0" borderId="3" xfId="3" applyBorder="1"/>
    <xf numFmtId="166" fontId="2" fillId="0" borderId="1" xfId="3" applyNumberFormat="1" applyBorder="1"/>
    <xf numFmtId="169" fontId="0" fillId="0" borderId="4" xfId="4" applyNumberFormat="1" applyFont="1" applyBorder="1"/>
    <xf numFmtId="0" fontId="2" fillId="0" borderId="4" xfId="3" applyBorder="1"/>
    <xf numFmtId="0" fontId="2" fillId="0" borderId="5" xfId="3" applyBorder="1"/>
    <xf numFmtId="166" fontId="2" fillId="0" borderId="6" xfId="3" applyNumberFormat="1" applyBorder="1"/>
    <xf numFmtId="166" fontId="2" fillId="0" borderId="7" xfId="3" applyNumberFormat="1" applyBorder="1"/>
    <xf numFmtId="0" fontId="2" fillId="0" borderId="6" xfId="3" applyBorder="1"/>
    <xf numFmtId="0" fontId="2" fillId="0" borderId="7" xfId="3" applyBorder="1"/>
    <xf numFmtId="166" fontId="2" fillId="0" borderId="4" xfId="3" applyNumberFormat="1" applyBorder="1"/>
    <xf numFmtId="0" fontId="2" fillId="0" borderId="8" xfId="3" applyBorder="1"/>
    <xf numFmtId="166" fontId="2" fillId="0" borderId="9" xfId="3" applyNumberFormat="1" applyBorder="1"/>
    <xf numFmtId="0" fontId="2" fillId="0" borderId="9" xfId="3" applyBorder="1"/>
    <xf numFmtId="0" fontId="3" fillId="0" borderId="7" xfId="3" applyFont="1" applyBorder="1"/>
    <xf numFmtId="165" fontId="2" fillId="0" borderId="0" xfId="3" applyNumberFormat="1" applyAlignment="1">
      <alignment horizontal="center"/>
    </xf>
    <xf numFmtId="43" fontId="0" fillId="0" borderId="3" xfId="4" applyFont="1" applyBorder="1"/>
    <xf numFmtId="166" fontId="0" fillId="0" borderId="1" xfId="4" applyNumberFormat="1" applyFont="1" applyBorder="1"/>
    <xf numFmtId="166" fontId="0" fillId="0" borderId="3" xfId="5" applyNumberFormat="1" applyFont="1" applyBorder="1"/>
    <xf numFmtId="0" fontId="2" fillId="0" borderId="0" xfId="3" applyAlignment="1">
      <alignment horizontal="center"/>
    </xf>
    <xf numFmtId="43" fontId="0" fillId="0" borderId="8" xfId="4" applyFont="1" applyBorder="1"/>
    <xf numFmtId="166" fontId="2" fillId="0" borderId="8" xfId="3" applyNumberFormat="1" applyBorder="1"/>
    <xf numFmtId="170" fontId="0" fillId="0" borderId="0" xfId="4" applyNumberFormat="1" applyFont="1" applyBorder="1"/>
    <xf numFmtId="170" fontId="0" fillId="0" borderId="8" xfId="4" applyNumberFormat="1" applyFont="1" applyBorder="1"/>
    <xf numFmtId="170" fontId="0" fillId="0" borderId="9" xfId="4" applyNumberFormat="1" applyFont="1" applyBorder="1"/>
    <xf numFmtId="166" fontId="4" fillId="2" borderId="8" xfId="3" applyNumberFormat="1" applyFont="1" applyFill="1" applyBorder="1"/>
    <xf numFmtId="166" fontId="0" fillId="0" borderId="0" xfId="5" applyNumberFormat="1" applyFont="1" applyBorder="1"/>
    <xf numFmtId="166" fontId="2" fillId="0" borderId="5" xfId="3" applyNumberFormat="1" applyBorder="1"/>
    <xf numFmtId="0" fontId="2" fillId="0" borderId="6" xfId="3" applyBorder="1" applyAlignment="1">
      <alignment horizontal="center"/>
    </xf>
    <xf numFmtId="165" fontId="2" fillId="0" borderId="7" xfId="3" applyNumberFormat="1" applyBorder="1" applyAlignment="1">
      <alignment horizontal="center"/>
    </xf>
    <xf numFmtId="166" fontId="0" fillId="0" borderId="10" xfId="5" applyNumberFormat="1" applyFont="1" applyBorder="1"/>
    <xf numFmtId="171" fontId="0" fillId="0" borderId="11" xfId="5" applyNumberFormat="1" applyFont="1" applyBorder="1"/>
    <xf numFmtId="171" fontId="0" fillId="0" borderId="0" xfId="5" applyNumberFormat="1" applyFont="1" applyBorder="1"/>
    <xf numFmtId="172" fontId="0" fillId="0" borderId="0" xfId="5" applyNumberFormat="1" applyFont="1" applyBorder="1"/>
    <xf numFmtId="170" fontId="0" fillId="0" borderId="0" xfId="5" applyNumberFormat="1" applyFont="1" applyBorder="1"/>
    <xf numFmtId="10" fontId="0" fillId="0" borderId="0" xfId="5" applyNumberFormat="1" applyFont="1" applyBorder="1"/>
    <xf numFmtId="168" fontId="0" fillId="0" borderId="10" xfId="5" applyNumberFormat="1" applyFont="1" applyBorder="1"/>
    <xf numFmtId="170" fontId="0" fillId="0" borderId="0" xfId="4" applyNumberFormat="1" applyFont="1"/>
    <xf numFmtId="165" fontId="0" fillId="0" borderId="0" xfId="4" applyNumberFormat="1" applyFont="1" applyBorder="1"/>
    <xf numFmtId="169" fontId="0" fillId="0" borderId="0" xfId="4" applyNumberFormat="1" applyFont="1" applyBorder="1"/>
    <xf numFmtId="10" fontId="6" fillId="2" borderId="11" xfId="5" applyNumberFormat="1" applyFont="1" applyFill="1" applyBorder="1"/>
    <xf numFmtId="0" fontId="6" fillId="2" borderId="0" xfId="3" applyFont="1" applyFill="1"/>
    <xf numFmtId="10" fontId="6" fillId="2" borderId="0" xfId="5" applyNumberFormat="1" applyFont="1" applyFill="1" applyBorder="1"/>
    <xf numFmtId="170" fontId="6" fillId="2" borderId="0" xfId="4" applyNumberFormat="1" applyFont="1" applyFill="1" applyBorder="1"/>
    <xf numFmtId="173" fontId="6" fillId="2" borderId="10" xfId="3" applyNumberFormat="1" applyFont="1" applyFill="1" applyBorder="1"/>
    <xf numFmtId="0" fontId="6" fillId="2" borderId="11" xfId="3" applyFont="1" applyFill="1" applyBorder="1"/>
    <xf numFmtId="166" fontId="6" fillId="2" borderId="0" xfId="3" applyNumberFormat="1" applyFont="1" applyFill="1"/>
    <xf numFmtId="173" fontId="6" fillId="2" borderId="0" xfId="3" applyNumberFormat="1" applyFont="1" applyFill="1"/>
    <xf numFmtId="0" fontId="6" fillId="2" borderId="10" xfId="3" applyFont="1" applyFill="1" applyBorder="1"/>
    <xf numFmtId="166" fontId="0" fillId="0" borderId="11" xfId="5" applyNumberFormat="1" applyFont="1" applyBorder="1"/>
    <xf numFmtId="0" fontId="7" fillId="0" borderId="0" xfId="3" applyFont="1"/>
    <xf numFmtId="0" fontId="2" fillId="0" borderId="12" xfId="3" applyBorder="1"/>
    <xf numFmtId="0" fontId="9" fillId="0" borderId="0" xfId="3" applyFont="1"/>
    <xf numFmtId="0" fontId="9" fillId="0" borderId="9" xfId="3" applyFont="1" applyBorder="1"/>
    <xf numFmtId="0" fontId="9" fillId="0" borderId="10" xfId="3" applyFont="1" applyBorder="1"/>
    <xf numFmtId="0" fontId="9" fillId="0" borderId="12" xfId="3" applyFont="1" applyBorder="1"/>
    <xf numFmtId="0" fontId="9" fillId="0" borderId="11" xfId="3" applyFont="1" applyBorder="1"/>
    <xf numFmtId="0" fontId="9" fillId="0" borderId="1" xfId="3" applyFont="1" applyBorder="1"/>
    <xf numFmtId="0" fontId="9" fillId="0" borderId="13" xfId="3" applyFont="1" applyBorder="1"/>
    <xf numFmtId="0" fontId="7" fillId="0" borderId="0" xfId="3" applyFont="1" applyAlignment="1">
      <alignment horizontal="center"/>
    </xf>
    <xf numFmtId="0" fontId="7" fillId="0" borderId="11" xfId="3" applyFont="1" applyBorder="1" applyAlignment="1">
      <alignment horizontal="center"/>
    </xf>
    <xf numFmtId="0" fontId="7" fillId="0" borderId="10" xfId="3" applyFont="1" applyBorder="1" applyAlignment="1">
      <alignment horizontal="center"/>
    </xf>
    <xf numFmtId="0" fontId="12" fillId="0" borderId="14" xfId="3" applyFont="1" applyBorder="1" applyAlignment="1">
      <alignment horizontal="centerContinuous"/>
    </xf>
    <xf numFmtId="0" fontId="12" fillId="0" borderId="15" xfId="3" applyFont="1" applyBorder="1" applyAlignment="1">
      <alignment horizontal="centerContinuous"/>
    </xf>
    <xf numFmtId="0" fontId="12" fillId="0" borderId="16" xfId="3" applyFont="1" applyBorder="1" applyAlignment="1">
      <alignment horizontal="centerContinuous"/>
    </xf>
    <xf numFmtId="0" fontId="7" fillId="0" borderId="15" xfId="3" applyFont="1" applyBorder="1" applyAlignment="1">
      <alignment horizontal="centerContinuous"/>
    </xf>
    <xf numFmtId="0" fontId="2" fillId="3" borderId="0" xfId="3" applyFill="1"/>
    <xf numFmtId="174" fontId="2" fillId="3" borderId="0" xfId="3" applyNumberFormat="1" applyFill="1"/>
    <xf numFmtId="174" fontId="0" fillId="3" borderId="0" xfId="4" applyNumberFormat="1" applyFont="1" applyFill="1" applyBorder="1"/>
    <xf numFmtId="170" fontId="2" fillId="3" borderId="0" xfId="3" applyNumberFormat="1" applyFill="1"/>
    <xf numFmtId="0" fontId="2" fillId="3" borderId="3" xfId="3" applyFill="1" applyBorder="1"/>
    <xf numFmtId="175" fontId="2" fillId="3" borderId="1" xfId="3" applyNumberFormat="1" applyFill="1" applyBorder="1"/>
    <xf numFmtId="0" fontId="2" fillId="3" borderId="4" xfId="3" applyFill="1" applyBorder="1"/>
    <xf numFmtId="170" fontId="0" fillId="3" borderId="8" xfId="4" applyNumberFormat="1" applyFont="1" applyFill="1" applyBorder="1"/>
    <xf numFmtId="170" fontId="0" fillId="3" borderId="0" xfId="4" applyNumberFormat="1" applyFont="1" applyFill="1" applyBorder="1"/>
    <xf numFmtId="0" fontId="2" fillId="3" borderId="9" xfId="3" applyFill="1" applyBorder="1"/>
    <xf numFmtId="0" fontId="2" fillId="3" borderId="17" xfId="3" applyFill="1" applyBorder="1"/>
    <xf numFmtId="0" fontId="2" fillId="3" borderId="2" xfId="3" applyFill="1" applyBorder="1"/>
    <xf numFmtId="0" fontId="2" fillId="3" borderId="18" xfId="3" applyFill="1" applyBorder="1"/>
    <xf numFmtId="0" fontId="13" fillId="3" borderId="0" xfId="3" applyFont="1" applyFill="1"/>
    <xf numFmtId="166" fontId="0" fillId="0" borderId="1" xfId="5" applyNumberFormat="1" applyFont="1" applyBorder="1"/>
    <xf numFmtId="10" fontId="0" fillId="0" borderId="6" xfId="5" applyNumberFormat="1" applyFont="1" applyBorder="1"/>
    <xf numFmtId="0" fontId="2" fillId="0" borderId="17" xfId="3" applyBorder="1"/>
    <xf numFmtId="0" fontId="2" fillId="0" borderId="18" xfId="3" applyBorder="1"/>
    <xf numFmtId="171" fontId="0" fillId="0" borderId="1" xfId="5" applyNumberFormat="1" applyFont="1" applyBorder="1"/>
    <xf numFmtId="176" fontId="2" fillId="0" borderId="0" xfId="3" applyNumberFormat="1"/>
    <xf numFmtId="171" fontId="0" fillId="0" borderId="0" xfId="5" applyNumberFormat="1" applyFont="1"/>
    <xf numFmtId="11" fontId="2" fillId="0" borderId="0" xfId="3" applyNumberFormat="1"/>
    <xf numFmtId="171" fontId="4" fillId="2" borderId="1" xfId="5" applyNumberFormat="1" applyFont="1" applyFill="1" applyBorder="1"/>
    <xf numFmtId="171" fontId="4" fillId="2" borderId="0" xfId="5" applyNumberFormat="1" applyFont="1" applyFill="1" applyBorder="1"/>
    <xf numFmtId="167" fontId="4" fillId="2" borderId="0" xfId="5" applyNumberFormat="1" applyFont="1" applyFill="1" applyBorder="1"/>
    <xf numFmtId="165" fontId="4" fillId="2" borderId="0" xfId="4" applyNumberFormat="1" applyFont="1" applyFill="1" applyBorder="1"/>
    <xf numFmtId="177" fontId="4" fillId="2" borderId="0" xfId="3" applyNumberFormat="1" applyFont="1" applyFill="1"/>
    <xf numFmtId="166" fontId="2" fillId="0" borderId="3" xfId="3" applyNumberFormat="1" applyBorder="1"/>
    <xf numFmtId="170" fontId="0" fillId="0" borderId="3" xfId="4" applyNumberFormat="1" applyFont="1" applyBorder="1"/>
    <xf numFmtId="170" fontId="0" fillId="0" borderId="5" xfId="4" applyNumberFormat="1" applyFont="1" applyBorder="1"/>
    <xf numFmtId="175" fontId="4" fillId="2" borderId="1" xfId="3" applyNumberFormat="1" applyFont="1" applyFill="1" applyBorder="1"/>
    <xf numFmtId="0" fontId="14" fillId="0" borderId="0" xfId="3" applyFont="1"/>
    <xf numFmtId="167" fontId="0" fillId="0" borderId="0" xfId="5" applyNumberFormat="1" applyFont="1"/>
    <xf numFmtId="10" fontId="0" fillId="0" borderId="1" xfId="5" applyNumberFormat="1" applyFont="1" applyBorder="1"/>
    <xf numFmtId="0" fontId="6" fillId="2" borderId="17" xfId="3" applyFont="1" applyFill="1" applyBorder="1"/>
    <xf numFmtId="0" fontId="4" fillId="2" borderId="1" xfId="3" applyFont="1" applyFill="1" applyBorder="1"/>
    <xf numFmtId="166" fontId="4" fillId="2" borderId="0" xfId="3" applyNumberFormat="1" applyFont="1" applyFill="1"/>
    <xf numFmtId="0" fontId="4" fillId="2" borderId="0" xfId="3" applyFont="1" applyFill="1"/>
    <xf numFmtId="174" fontId="0" fillId="0" borderId="0" xfId="4" applyNumberFormat="1" applyFont="1" applyBorder="1"/>
    <xf numFmtId="175" fontId="4" fillId="2" borderId="0" xfId="3" applyNumberFormat="1" applyFont="1" applyFill="1"/>
    <xf numFmtId="0" fontId="4" fillId="2" borderId="6" xfId="3" applyFont="1" applyFill="1" applyBorder="1"/>
    <xf numFmtId="168" fontId="2" fillId="0" borderId="0" xfId="3" applyNumberFormat="1"/>
    <xf numFmtId="175" fontId="2" fillId="0" borderId="0" xfId="3" applyNumberFormat="1"/>
    <xf numFmtId="169" fontId="0" fillId="0" borderId="0" xfId="4" applyNumberFormat="1" applyFont="1"/>
    <xf numFmtId="0" fontId="4" fillId="2" borderId="17" xfId="3" applyFont="1" applyFill="1" applyBorder="1"/>
    <xf numFmtId="169" fontId="2" fillId="0" borderId="0" xfId="1" applyNumberFormat="1" applyFont="1"/>
    <xf numFmtId="166" fontId="2" fillId="4" borderId="1" xfId="3" applyNumberFormat="1" applyFill="1" applyBorder="1"/>
    <xf numFmtId="168" fontId="0" fillId="0" borderId="0" xfId="2" applyNumberFormat="1" applyFont="1"/>
  </cellXfs>
  <cellStyles count="6">
    <cellStyle name="Comma" xfId="1" builtinId="3"/>
    <cellStyle name="Comma 2" xfId="4" xr:uid="{BB7B1E49-F0AE-47BD-A919-6A6FDADED13D}"/>
    <cellStyle name="Normal" xfId="0" builtinId="0"/>
    <cellStyle name="Normal 2" xfId="3" xr:uid="{E6C20CA4-B4AB-4156-AEE7-30A96A3BE8E1}"/>
    <cellStyle name="Percent" xfId="2" builtinId="5"/>
    <cellStyle name="Percent 2" xfId="5" xr:uid="{7931F042-007D-46CF-BB74-71D37E337A97}"/>
  </cellStyles>
  <dxfs count="45"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  <border diagonalUp="0" diagonalDown="0">
        <left style="medium">
          <color indexed="64"/>
        </lef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1" formatCode="0.0000%"/>
      <border diagonalUp="0" diagonalDown="0">
        <right style="medium">
          <color indexed="64"/>
        </righ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2" formatCode="0.00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_-* #,##0.0000_-;\-* #,##0.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8" formatCode="0.000%"/>
      <border diagonalUp="0" diagonalDown="0">
        <left style="medium">
          <color indexed="64"/>
        </left>
      </border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_-* #,##0.0000_-;\-* #,##0.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-* #,##0.00000_-;\-* #,##0.00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9" formatCode="_-* #,##0.000_-;\-* #,##0.000_-;_-* &quot;-&quot;??_-;_-@_-"/>
    </dxf>
    <dxf>
      <font>
        <strike val="0"/>
        <outline val="0"/>
        <shadow val="0"/>
        <u val="none"/>
        <sz val="10"/>
        <name val="Arial"/>
        <family val="2"/>
        <scheme val="none"/>
      </font>
      <numFmt numFmtId="166" formatCode="#,##0_-;\(#,##0\)_-;\-_-"/>
      <border diagonalUp="0" diagonalDown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3" formatCode="d\-mmm\-yy_-;;"/>
      <fill>
        <patternFill patternType="solid">
          <fgColor indexed="64"/>
          <bgColor theme="7" tint="0.79998168889431442"/>
        </patternFill>
      </fill>
      <border diagonalUp="0" diagonalDown="0">
        <left style="medium">
          <color indexed="64"/>
        </left>
        <right/>
        <vertical/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6" formatCode="#,##0_-;\(#,##0\)_-;\-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3" formatCode="d\-mmm\-yy_-;;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sz val="10"/>
        <name val="Arial"/>
        <family val="2"/>
        <scheme val="none"/>
      </font>
    </dxf>
    <dxf>
      <font>
        <b/>
        <strike val="0"/>
        <outline val="0"/>
        <shadow val="0"/>
        <u val="none"/>
        <sz val="10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2</xdr:row>
          <xdr:rowOff>152400</xdr:rowOff>
        </xdr:from>
        <xdr:to>
          <xdr:col>2</xdr:col>
          <xdr:colOff>504825</xdr:colOff>
          <xdr:row>4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996FEEAE-9002-439A-8BF1-DBF9701981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9525</xdr:colOff>
      <xdr:row>23</xdr:row>
      <xdr:rowOff>66675</xdr:rowOff>
    </xdr:from>
    <xdr:ext cx="3886537" cy="1958510"/>
    <xdr:pic>
      <xdr:nvPicPr>
        <xdr:cNvPr id="2" name="Picture 1">
          <a:extLst>
            <a:ext uri="{FF2B5EF4-FFF2-40B4-BE49-F238E27FC236}">
              <a16:creationId xmlns:a16="http://schemas.microsoft.com/office/drawing/2014/main" id="{0FC194BA-0EA8-4E1A-81B7-4B879BAD8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05525" y="3790950"/>
          <a:ext cx="3886537" cy="1958510"/>
        </a:xfrm>
        <a:prstGeom prst="rect">
          <a:avLst/>
        </a:prstGeom>
      </xdr:spPr>
    </xdr:pic>
    <xdr:clientData/>
  </xdr:oneCellAnchor>
  <xdr:oneCellAnchor>
    <xdr:from>
      <xdr:col>10</xdr:col>
      <xdr:colOff>38100</xdr:colOff>
      <xdr:row>35</xdr:row>
      <xdr:rowOff>123825</xdr:rowOff>
    </xdr:from>
    <xdr:ext cx="3696020" cy="5212532"/>
    <xdr:pic>
      <xdr:nvPicPr>
        <xdr:cNvPr id="3" name="Picture 2">
          <a:extLst>
            <a:ext uri="{FF2B5EF4-FFF2-40B4-BE49-F238E27FC236}">
              <a16:creationId xmlns:a16="http://schemas.microsoft.com/office/drawing/2014/main" id="{6D175C17-0C60-4525-A48B-8C4EA8094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34100" y="5791200"/>
          <a:ext cx="3696020" cy="5212532"/>
        </a:xfrm>
        <a:prstGeom prst="rect">
          <a:avLst/>
        </a:prstGeom>
      </xdr:spPr>
    </xdr:pic>
    <xdr:clientData/>
  </xdr:oneCellAnchor>
  <xdr:oneCellAnchor>
    <xdr:from>
      <xdr:col>0</xdr:col>
      <xdr:colOff>228600</xdr:colOff>
      <xdr:row>40</xdr:row>
      <xdr:rowOff>47625</xdr:rowOff>
    </xdr:from>
    <xdr:ext cx="3833192" cy="3657917"/>
    <xdr:pic>
      <xdr:nvPicPr>
        <xdr:cNvPr id="4" name="Picture 3">
          <a:extLst>
            <a:ext uri="{FF2B5EF4-FFF2-40B4-BE49-F238E27FC236}">
              <a16:creationId xmlns:a16="http://schemas.microsoft.com/office/drawing/2014/main" id="{3DC16B10-4DF9-47F9-A06B-1A1C9251A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" y="6524625"/>
          <a:ext cx="3833192" cy="365791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6</xdr:row>
          <xdr:rowOff>85725</xdr:rowOff>
        </xdr:from>
        <xdr:to>
          <xdr:col>16</xdr:col>
          <xdr:colOff>0</xdr:colOff>
          <xdr:row>8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569C426-6C7D-449E-AFDA-979ACA82D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316BE4-9372-4DB0-9440-AA772564D86A}" name="Table1" displayName="Table1" ref="C4:AS6" totalsRowShown="0" headerRowDxfId="44" dataDxfId="43">
  <autoFilter ref="C4:AS6" xr:uid="{47B5CFB6-794F-40A8-81B2-C81B04684AF7}"/>
  <tableColumns count="43">
    <tableColumn id="1" xr3:uid="{571B07B7-5FA7-46C7-91CD-71D518ED6360}" name="Buy/Sell" dataDxfId="42"/>
    <tableColumn id="2" xr3:uid="{635821F6-618C-4891-BE59-A8BA17288B47}" name="Strike" dataDxfId="41" dataCellStyle="Comma"/>
    <tableColumn id="3" xr3:uid="{FEF4A68D-F736-49BA-B708-353CEB73DF53}" name="Call/Put" dataDxfId="40"/>
    <tableColumn id="4" xr3:uid="{FFB3EB20-B673-44FF-BAE5-F8C4D4C75443}" name="Expiry Date" dataDxfId="39"/>
    <tableColumn id="5" xr3:uid="{2C1E8A78-D7D7-4E1E-B315-A911234C47C0}" name="Notional Amt" dataDxfId="38"/>
    <tableColumn id="6" xr3:uid="{3E93A286-2B9F-408C-9E30-93ED2E5A173B}" name="Notional Ccy" dataDxfId="37"/>
    <tableColumn id="7" xr3:uid="{73F2A6EA-B250-4E65-9DF7-FD0E0079EE9F}" name="Value Date" dataDxfId="36"/>
    <tableColumn id="8" xr3:uid="{848C487C-AA0B-4A3D-AF6A-09632A72DDB1}" name="S0" dataDxfId="35" dataCellStyle="Comma"/>
    <tableColumn id="9" xr3:uid="{4617F9B4-B7F4-466A-A443-0F05E495EFFA}" name="F" dataDxfId="34" dataCellStyle="Comma"/>
    <tableColumn id="10" xr3:uid="{35D56047-84C1-485E-90A5-FF01969A5106}" name="σ" dataDxfId="33" dataCellStyle="Percent"/>
    <tableColumn id="11" xr3:uid="{84B1875B-9209-4EA4-AA9B-31718BB3062A}" name="rf" dataDxfId="32" dataCellStyle="Percent"/>
    <tableColumn id="12" xr3:uid="{123822BC-56F7-4031-8370-F1CBE27E3CD7}" name="rd" dataDxfId="31" dataCellStyle="Percent"/>
    <tableColumn id="50" xr3:uid="{FE9E7960-DCF1-40CF-B419-259A9A59F61B}" name="Result Ccy" dataDxfId="30" dataCellStyle="Percent"/>
    <tableColumn id="23" xr3:uid="{A4CD72E7-5D42-4849-A460-5857D3269FD0}" name="Methodology" dataDxfId="29" dataCellStyle="Percent"/>
    <tableColumn id="13" xr3:uid="{E8491073-3612-46BC-92E4-AA82DCCCE45A}" name="CP" dataDxfId="28" dataCellStyle="Percent">
      <calculatedColumnFormula array="1">_xlfn.IFS(Table1[[#This Row],[Call/Put]]="Call FOR, Put DOM",1,Table1[[#This Row],[Call/Put]]="Put FOR, Call DOM",-1)</calculatedColumnFormula>
    </tableColumn>
    <tableColumn id="14" xr3:uid="{6F58B066-6DEC-434A-A42C-CFD789A3C490}" name="T" dataDxfId="27" dataCellStyle="Comma">
      <calculatedColumnFormula>YEARFRAC(Table1[[#This Row],[Value Date]],Table1[[#This Row],[Expiry Date]],1)</calculatedColumnFormula>
    </tableColumn>
    <tableColumn id="15" xr3:uid="{C0645EE0-F772-424F-98C9-3308E4FF4AC1}" name="μby interest rate parity" dataDxfId="26" dataCellStyle="Percent">
      <calculatedColumnFormula>Table1[[#This Row],[rd]]-Table1[[#This Row],[rf]]</calculatedColumnFormula>
    </tableColumn>
    <tableColumn id="16" xr3:uid="{D43FB700-CB4B-4A6E-8E17-12D4AD0DC408}" name="μwith currency basis" dataDxfId="25" dataCellStyle="Percent">
      <calculatedColumnFormula>LN(Table1[[#This Row],[F]]/Table1[[#This Row],[S0]])/Table1[[#This Row],[T]]</calculatedColumnFormula>
    </tableColumn>
    <tableColumn id="17" xr3:uid="{3FB9E3EF-AA38-4F63-B2CD-F0F1C72CD89C}" name="rd_basis_adj" dataDxfId="24" dataCellStyle="Percent">
      <calculatedColumnFormula>Table1[[#This Row],[rf]]+Table1[[#This Row],[μwith currency basis]]</calculatedColumnFormula>
    </tableColumn>
    <tableColumn id="18" xr3:uid="{6748F8DB-3181-4875-A92A-6D612D52D075}" name="FOR Notional" dataDxfId="23" dataCellStyle="Percent">
      <calculatedColumnFormula array="1">_xlfn.IFS(Table1[[#This Row],[Notional Ccy]]="FOR",Table1[[#This Row],[Notional Amt]],Table1[[#This Row],[Notional Ccy]]="DOM",Table1[[#This Row],[Notional Amt]]/Table1[[#This Row],[Strike]])</calculatedColumnFormula>
    </tableColumn>
    <tableColumn id="19" xr3:uid="{A0C949E0-32B3-4D7C-B7D5-97ECE55FF806}" name="DOM Notional" dataDxfId="22" dataCellStyle="Percent">
      <calculatedColumnFormula array="1">_xlfn.IFS(Table1[[#This Row],[Notional Ccy]]="DOM",Table1[[#This Row],[Notional Amt]],Table1[[#This Row],[Notional Ccy]]="FOR",Table1[[#This Row],[Notional Amt]]*Table1[[#This Row],[Strike]])</calculatedColumnFormula>
    </tableColumn>
    <tableColumn id="51" xr3:uid="{4B0E0639-A542-4430-8612-EF4919F79DC7}" name="Result Ccy Divisor" dataDxfId="21" dataCellStyle="Comma">
      <calculatedColumnFormula>IF(Table1[[#This Row],[Result Ccy]]="DOM",1,Table1[[#This Row],[S0]])</calculatedColumnFormula>
    </tableColumn>
    <tableColumn id="38" xr3:uid="{895B7114-4222-4CFA-8CE1-364D8C46560A}" name="r" dataDxfId="20" dataCellStyle="Percent">
      <calculatedColumnFormula array="1">_xlfn.IFS(Table1[[#This Row],[Methodology]]="With Currency Basis",Table1[[#This Row],[rd_basis_adj]],Table1[[#This Row],[Methodology]]="By Interest Rate Parity",Table1[[#This Row],[rd]])</calculatedColumnFormula>
    </tableColumn>
    <tableColumn id="41" xr3:uid="{4CF3F43D-1F4D-4A79-9F79-D2D405BFEBAD}" name="q" dataDxfId="19" dataCellStyle="Percent">
      <calculatedColumnFormula>Table1[[#This Row],[rf]]</calculatedColumnFormula>
    </tableColumn>
    <tableColumn id="40" xr3:uid="{7B3D4593-1125-4B01-9AE1-67AE2A710565}" name="μ" dataDxfId="18" dataCellStyle="Percent">
      <calculatedColumnFormula array="1">_xlfn.IFS(Table1[[#This Row],[Methodology]]="With Currency Basis",Table1[[#This Row],[μwith currency basis]],Table1[[#This Row],[Methodology]]="By Interest Rate Parity",Table1[[#This Row],[μby interest rate parity]])</calculatedColumnFormula>
    </tableColumn>
    <tableColumn id="20" xr3:uid="{38320DE9-8F1E-4111-9B40-7E316E333D1E}" name="d1" dataDxfId="17" dataCellStyle="Comma">
      <calculatedColumnFormula>(LN(Table1[[#This Row],[S0]]/Table1[[#This Row],[Strike]])+(Table1[[#This Row],[μ]]+0.5*Table1[[#This Row],[σ]]*Table1[[#This Row],[σ]])*Table1[[#This Row],[T]])/(Table1[[#This Row],[σ]]*SQRT(Table1[[#This Row],[T]]))</calculatedColumnFormula>
    </tableColumn>
    <tableColumn id="21" xr3:uid="{3EF1B53C-7BC9-4EB4-9D58-E2377691F515}" name="d2" dataDxfId="16" dataCellStyle="Comma">
      <calculatedColumnFormula>Table1[[#This Row],[d1]]-Table1[[#This Row],[σ]]*SQRT(Table1[[#This Row],[T]])</calculatedColumnFormula>
    </tableColumn>
    <tableColumn id="25" xr3:uid="{ADE479F3-4808-43BC-9D24-B39FF8B3B44E}" name="Px" dataDxfId="15" dataCellStyle="Percent">
      <calculatedColumnFormula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calculatedColumnFormula>
    </tableColumn>
    <tableColumn id="26" xr3:uid="{3236F4B8-4BC6-4ADB-AD75-EB9D1B102105}" name="Unit Δspot" dataDxfId="14" dataCellStyle="Percent">
      <calculatedColumnFormula>Table1[[#This Row],[CP]]*EXP(-Table1[[#This Row],[q]]*Table1[[#This Row],[T]])*_xlfn.NORM.S.DIST(Table1[[#This Row],[CP]]*Table1[[#This Row],[d1]],TRUE)</calculatedColumnFormula>
    </tableColumn>
    <tableColumn id="27" xr3:uid="{A672D7CF-E08C-4AD1-B6C3-FBFFD4F407B1}" name="Unit Δforward" dataDxfId="13" dataCellStyle="Percent">
      <calculatedColumnFormula>Table1[[#This Row],[CP]]*_xlfn.NORM.S.DIST(Table1[[#This Row],[CP]]*Table1[[#This Row],[d1]],TRUE)</calculatedColumnFormula>
    </tableColumn>
    <tableColumn id="28" xr3:uid="{1E68B352-5DE6-49CE-AFA8-CDE42DF385D3}" name="Unit Vega" dataDxfId="12" dataCellStyle="Percent">
      <calculatedColumnFormula>1%*Table1[[#This Row],[S0]]*SQRT(Table1[[#This Row],[T]])*_xlfn.NORM.S.DIST(Table1[[#This Row],[d1]],FALSE)*EXP(-Table1[[#This Row],[rf]]*T)</calculatedColumnFormula>
    </tableColumn>
    <tableColumn id="29" xr3:uid="{1310A08B-94F6-4E92-86FF-739775C8B248}" name="Unit Theta" dataDxfId="11" dataCellStyle="Percent">
      <calculatedColumnFormula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calculatedColumnFormula>
    </tableColumn>
    <tableColumn id="30" xr3:uid="{D34948E3-268A-4448-B3B2-4F5B8B7F846F}" name="Unit Gamma" dataDxfId="10" dataCellStyle="Percent">
      <calculatedColumnFormula>(1%*Table1[[#This Row],[S0]])*(EXP(-Table1[[#This Row],[q]]*Table1[[#This Row],[T]])*_xlfn.NORM.S.DIST(Table1[[#This Row],[d1]],FALSE)/(Table1[[#This Row],[S0]]*Table1[[#This Row],[σ]]*SQRT(Table1[[#This Row],[T]])))</calculatedColumnFormula>
    </tableColumn>
    <tableColumn id="31" xr3:uid="{32FE6705-AE4E-43BB-869F-A3FCA168A486}" name="Unit Rhoforeign currency" dataDxfId="9" dataCellStyle="Percent">
      <calculatedColumnFormula>(1%)*(-Table1[[#This Row],[T]]*EXP(-Table1[[#This Row],[q]]*T)*Table1[[#This Row],[S0]]*_xlfn.NORM.S.DIST(Table1[[#This Row],[d1]],TRUE))</calculatedColumnFormula>
    </tableColumn>
    <tableColumn id="32" xr3:uid="{29BB26AD-76F4-48C8-87D6-7E665F896FD0}" name="Unit Rhodomestic currency" dataDxfId="8" dataCellStyle="Percent">
      <calculatedColumnFormula>1%*-Table1[[#This Row],[T]]*EXP(-Table1[[#This Row],[r]]*Table1[[#This Row],[T]])*Table1[[#This Row],[S0]]*_xlfn.NORM.S.DIST(Table1[[#This Row],[d2]],TRUE)</calculatedColumnFormula>
    </tableColumn>
    <tableColumn id="43" xr3:uid="{6786A13E-DC01-43C9-9D48-EB2AF4575DF0}" name="Option Value" dataDxfId="7" dataCellStyle="Percent">
      <calculatedColumnFormula>Table1[[#This Row],[Px]]*Table1[[#This Row],[FOR Notional]]/Table1[[#This Row],[Result Ccy Divisor]]</calculatedColumnFormula>
    </tableColumn>
    <tableColumn id="44" xr3:uid="{C78C326C-AC06-4C44-B9FB-57526C49F925}" name="Δspot" dataDxfId="6" dataCellStyle="Percent">
      <calculatedColumnFormula>Table1[[#This Row],[Unit Δspot]]*Table1[[#This Row],[FOR Notional]]*Table1[[#This Row],[S0]]/Table1[[#This Row],[Result Ccy Divisor]]</calculatedColumnFormula>
    </tableColumn>
    <tableColumn id="45" xr3:uid="{A81101D7-DF34-49B5-8370-F440A0FA0E0B}" name="Δforward" dataDxfId="5" dataCellStyle="Percent">
      <calculatedColumnFormula>Table1[[#This Row],[Unit Δforward]]*Table1[[#This Row],[FOR Notional]]*Table1[[#This Row],[S0]]/Table1[[#This Row],[Result Ccy Divisor]]</calculatedColumnFormula>
    </tableColumn>
    <tableColumn id="46" xr3:uid="{3C0AEB48-5A0B-4EFE-BC86-758394E1368D}" name="Vega" dataDxfId="4" dataCellStyle="Percent">
      <calculatedColumnFormula>Table1[[#This Row],[Unit Vega]]*Table1[[#This Row],[FOR Notional]]/Table1[[#This Row],[Result Ccy Divisor]]</calculatedColumnFormula>
    </tableColumn>
    <tableColumn id="52" xr3:uid="{29FB1332-EB4C-49B6-9408-3F15C658D49D}" name="Theta" dataDxfId="3" dataCellStyle="Percent">
      <calculatedColumnFormula>Table1[[#This Row],[Unit Theta]]*Table1[[#This Row],[FOR Notional]]/Table1[[#This Row],[Result Ccy Divisor]]</calculatedColumnFormula>
    </tableColumn>
    <tableColumn id="47" xr3:uid="{89EB60B5-D2AA-4C2A-AF4B-0E4C1F1AF2EA}" name="Gamma" dataDxfId="2" dataCellStyle="Percent">
      <calculatedColumnFormula>Table1[[#This Row],[Unit Gamma]]*Table1[[#This Row],[FOR Notional]]*Table1[[#This Row],[S0]]/Table1[[#This Row],[Result Ccy Divisor]]</calculatedColumnFormula>
    </tableColumn>
    <tableColumn id="49" xr3:uid="{9B8C2548-125F-48D9-B185-0EE62D45410A}" name="Rhoforeign currency" dataDxfId="1" dataCellStyle="Percent">
      <calculatedColumnFormula>Table1[[#This Row],[Unit Rhoforeign currency]]*Table1[[#This Row],[FOR Notional]]/Table1[[#This Row],[Result Ccy Divisor]]</calculatedColumnFormula>
    </tableColumn>
    <tableColumn id="48" xr3:uid="{35456D66-DD22-4A5F-A620-6B32F957AD66}" name="Rhodomestic currency" dataDxfId="0" dataCellStyle="Percent">
      <calculatedColumnFormula>Table1[[#This Row],[Unit Rhodomestic currency]]*Table1[[#This Row],[FOR Notional]]/Table1[[#This Row],[Result Ccy Divisor]]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711C2-FD34-432F-B6F9-4BA4047D8E27}">
  <sheetPr codeName="Sheet1"/>
  <dimension ref="B2:M55"/>
  <sheetViews>
    <sheetView tabSelected="1" workbookViewId="0">
      <selection activeCell="H21" sqref="H21"/>
    </sheetView>
  </sheetViews>
  <sheetFormatPr defaultRowHeight="12.75" x14ac:dyDescent="0.2"/>
  <cols>
    <col min="1" max="1" width="9.140625" style="1"/>
    <col min="2" max="2" width="27.5703125" style="1" bestFit="1" customWidth="1"/>
    <col min="3" max="3" width="20.140625" style="1" bestFit="1" customWidth="1"/>
    <col min="4" max="4" width="9.7109375" style="1" bestFit="1" customWidth="1"/>
    <col min="5" max="5" width="9.140625" style="1"/>
    <col min="6" max="6" width="69.42578125" style="1" bestFit="1" customWidth="1"/>
    <col min="7" max="7" width="12.5703125" style="1" bestFit="1" customWidth="1"/>
    <col min="8" max="8" width="11.7109375" style="1" bestFit="1" customWidth="1"/>
    <col min="9" max="9" width="6.42578125" style="1" bestFit="1" customWidth="1"/>
    <col min="10" max="10" width="9.140625" style="1" customWidth="1"/>
    <col min="11" max="11" width="27.28515625" style="1" bestFit="1" customWidth="1"/>
    <col min="12" max="12" width="10.7109375" style="1" bestFit="1" customWidth="1"/>
    <col min="13" max="13" width="5.28515625" style="1" bestFit="1" customWidth="1"/>
    <col min="14" max="15" width="9.140625" style="1"/>
    <col min="16" max="17" width="12" style="1" bestFit="1" customWidth="1"/>
    <col min="18" max="16384" width="9.140625" style="1"/>
  </cols>
  <sheetData>
    <row r="2" spans="2:13" x14ac:dyDescent="0.2">
      <c r="B2" s="1" t="s">
        <v>154</v>
      </c>
      <c r="C2" s="118" t="s">
        <v>153</v>
      </c>
      <c r="F2" s="1" t="s">
        <v>152</v>
      </c>
    </row>
    <row r="3" spans="2:13" x14ac:dyDescent="0.2">
      <c r="F3" s="98" t="s">
        <v>106</v>
      </c>
      <c r="G3" s="12" t="s">
        <v>123</v>
      </c>
      <c r="H3" s="97" t="s">
        <v>31</v>
      </c>
      <c r="K3" s="98" t="s">
        <v>151</v>
      </c>
      <c r="L3" s="125" t="s">
        <v>7</v>
      </c>
    </row>
    <row r="4" spans="2:13" x14ac:dyDescent="0.2">
      <c r="F4" s="24" t="s">
        <v>150</v>
      </c>
      <c r="G4" s="23" cm="1">
        <f t="array" ref="G4">_xlfn.IFS(C12="Call FOR, Put DOM",1,C12="Put FOR, Call DOM",-1)</f>
        <v>1</v>
      </c>
      <c r="H4" s="20" t="s">
        <v>149</v>
      </c>
      <c r="K4" s="1" t="s">
        <v>148</v>
      </c>
      <c r="L4" s="126" cm="1">
        <f t="array" ref="L4">_xlfn.IFS(L3="DOM",1,L3="FOR",S0)</f>
        <v>1</v>
      </c>
    </row>
    <row r="5" spans="2:13" ht="15.75" x14ac:dyDescent="0.3">
      <c r="F5" s="28" t="s">
        <v>147</v>
      </c>
      <c r="G5" s="53">
        <f>C26</f>
        <v>0.66290000000000004</v>
      </c>
      <c r="H5" s="26" t="s">
        <v>3</v>
      </c>
      <c r="K5" s="1" t="s">
        <v>146</v>
      </c>
      <c r="L5" s="124">
        <f>IF(Notional_Ccy=ResultCurrency,1,S0)</f>
        <v>0.66290000000000004</v>
      </c>
    </row>
    <row r="6" spans="2:13" x14ac:dyDescent="0.2">
      <c r="F6" s="28" t="s">
        <v>145</v>
      </c>
      <c r="G6" s="123">
        <f>C10</f>
        <v>0.78820000000000001</v>
      </c>
      <c r="H6" s="26" t="s">
        <v>3</v>
      </c>
    </row>
    <row r="7" spans="2:13" ht="15.75" x14ac:dyDescent="0.3">
      <c r="B7" s="1" t="s">
        <v>144</v>
      </c>
      <c r="F7" s="28" t="s">
        <v>143</v>
      </c>
      <c r="G7" s="122">
        <f>C30</f>
        <v>5.3809999999999997E-2</v>
      </c>
      <c r="H7" s="26" t="s">
        <v>79</v>
      </c>
      <c r="K7" s="1" t="s">
        <v>142</v>
      </c>
    </row>
    <row r="8" spans="2:13" ht="15.75" x14ac:dyDescent="0.3">
      <c r="B8" s="98" t="s">
        <v>106</v>
      </c>
      <c r="C8" s="12" t="s">
        <v>123</v>
      </c>
      <c r="D8" s="97" t="s">
        <v>31</v>
      </c>
      <c r="F8" s="28" t="s">
        <v>141</v>
      </c>
      <c r="G8" s="122">
        <f>C29</f>
        <v>4.6600000000000003E-2</v>
      </c>
      <c r="H8" s="26" t="s">
        <v>79</v>
      </c>
      <c r="K8" s="98" t="s">
        <v>140</v>
      </c>
      <c r="L8" s="12" t="s">
        <v>123</v>
      </c>
      <c r="M8" s="97" t="s">
        <v>31</v>
      </c>
    </row>
    <row r="9" spans="2:13" x14ac:dyDescent="0.2">
      <c r="B9" s="24" t="s">
        <v>139</v>
      </c>
      <c r="C9" s="121" t="s">
        <v>0</v>
      </c>
      <c r="D9" s="20"/>
      <c r="F9" s="28" t="s">
        <v>67</v>
      </c>
      <c r="G9" s="8">
        <f>C28</f>
        <v>9.8118800000000006E-2</v>
      </c>
      <c r="H9" s="26" t="s">
        <v>79</v>
      </c>
      <c r="K9" s="24" t="s">
        <v>41</v>
      </c>
      <c r="L9" s="21">
        <f>G26*Foreign_Ccy_Notional/ResultDomesticFXSpotRate</f>
        <v>1292.2593417313867</v>
      </c>
      <c r="M9" s="42" t="str">
        <f>$L$3</f>
        <v>DOM</v>
      </c>
    </row>
    <row r="10" spans="2:13" x14ac:dyDescent="0.2">
      <c r="B10" s="28" t="s">
        <v>75</v>
      </c>
      <c r="C10" s="120">
        <v>0.78820000000000001</v>
      </c>
      <c r="D10" s="26" t="s">
        <v>3</v>
      </c>
      <c r="F10" s="28" t="s">
        <v>138</v>
      </c>
      <c r="G10" s="119">
        <f>YEARFRAC(C25,C13,1)</f>
        <v>1.0095759233926129</v>
      </c>
      <c r="H10" s="26" t="s">
        <v>82</v>
      </c>
      <c r="K10" s="28" t="s">
        <v>125</v>
      </c>
      <c r="L10" s="4">
        <f>MonteCarlo!J5/ResultDomesticFXSpotRate</f>
        <v>1293.3652364582401</v>
      </c>
      <c r="M10" s="36" t="str">
        <f>$L$3</f>
        <v>DOM</v>
      </c>
    </row>
    <row r="11" spans="2:13" ht="15.75" x14ac:dyDescent="0.3">
      <c r="B11" s="28"/>
      <c r="D11" s="26"/>
      <c r="F11" s="28" t="s">
        <v>137</v>
      </c>
      <c r="G11" s="15">
        <f>C27</f>
        <v>0.66796199999999994</v>
      </c>
      <c r="H11" s="26" t="s">
        <v>3</v>
      </c>
      <c r="K11" s="28" t="s">
        <v>117</v>
      </c>
      <c r="L11" s="4">
        <f>G27*Foreign_Ccy_Notional*S0/ResultDomesticFXSpotRate</f>
        <v>32405.479716012269</v>
      </c>
      <c r="M11" s="36" t="str">
        <f>$L$3</f>
        <v>DOM</v>
      </c>
    </row>
    <row r="12" spans="2:13" ht="15.75" x14ac:dyDescent="0.3">
      <c r="B12" s="28" t="s">
        <v>136</v>
      </c>
      <c r="C12" s="118" t="s">
        <v>2</v>
      </c>
      <c r="D12" s="26"/>
      <c r="F12" s="28" t="s">
        <v>135</v>
      </c>
      <c r="G12" s="47">
        <f>r_f+LN(F/S0)/T</f>
        <v>5.4134982032959737E-2</v>
      </c>
      <c r="H12" s="26" t="s">
        <v>79</v>
      </c>
      <c r="K12" s="28" t="s">
        <v>115</v>
      </c>
      <c r="L12" s="4">
        <f>G28*Foreign_Ccy_Notional*S0/ResultDomesticFXSpotRate</f>
        <v>33966.467011351895</v>
      </c>
      <c r="M12" s="36" t="str">
        <f>$L$3</f>
        <v>DOM</v>
      </c>
    </row>
    <row r="13" spans="2:13" x14ac:dyDescent="0.2">
      <c r="B13" s="28" t="s">
        <v>73</v>
      </c>
      <c r="C13" s="107">
        <v>45476</v>
      </c>
      <c r="D13" s="26" t="s">
        <v>85</v>
      </c>
      <c r="F13" s="28" t="s">
        <v>134</v>
      </c>
      <c r="G13" s="4">
        <f>IF(Notional_Ccy="FOR",C14,C14/C10)</f>
        <v>1000000</v>
      </c>
      <c r="H13" s="26"/>
      <c r="K13" s="28" t="s">
        <v>21</v>
      </c>
      <c r="L13" s="4">
        <f>G29*Foreign_Ccy_Notional/ResultDomesticFXSpotRate</f>
        <v>668.28731449087309</v>
      </c>
      <c r="M13" s="36" t="str">
        <f>$L$3</f>
        <v>DOM</v>
      </c>
    </row>
    <row r="14" spans="2:13" x14ac:dyDescent="0.2">
      <c r="B14" s="28" t="s">
        <v>133</v>
      </c>
      <c r="C14" s="117">
        <v>1000000</v>
      </c>
      <c r="D14" s="26" t="s">
        <v>86</v>
      </c>
      <c r="F14" s="28" t="s">
        <v>132</v>
      </c>
      <c r="G14" s="4">
        <f>IF(Notional_Ccy="DOM",C14,C14*C10)</f>
        <v>788200</v>
      </c>
      <c r="H14" s="26"/>
      <c r="K14" s="28" t="s">
        <v>38</v>
      </c>
      <c r="L14" s="4">
        <f>G30*Foreign_Ccy_Notional/ResultDomesticFXSpotRate</f>
        <v>-9.2822853809381911</v>
      </c>
      <c r="M14" s="36" t="str">
        <f>$L$3</f>
        <v>DOM</v>
      </c>
    </row>
    <row r="15" spans="2:13" x14ac:dyDescent="0.2">
      <c r="B15" s="19" t="s">
        <v>131</v>
      </c>
      <c r="C15" s="116" t="s">
        <v>1</v>
      </c>
      <c r="D15" s="16"/>
      <c r="F15" s="28" t="s">
        <v>54</v>
      </c>
      <c r="G15" s="50" cm="1">
        <f t="array" ref="G15">_xlfn.IFS(Methodology="With Currency Basis",r_d_basis_adj,Methodology="By Interest Rate Parity",r_d)</f>
        <v>5.3809999999999997E-2</v>
      </c>
      <c r="H15" s="26" t="s">
        <v>79</v>
      </c>
      <c r="K15" s="28" t="s">
        <v>37</v>
      </c>
      <c r="L15" s="4">
        <f>G31*Foreign_Ccy_Notional*S0/ResultDomesticFXSpotRate</f>
        <v>6746.3987118191581</v>
      </c>
      <c r="M15" s="36" t="str">
        <f>$L$3</f>
        <v>DOM</v>
      </c>
    </row>
    <row r="16" spans="2:13" ht="15.75" x14ac:dyDescent="0.3">
      <c r="F16" s="28" t="s">
        <v>53</v>
      </c>
      <c r="G16" s="50">
        <f>r_f</f>
        <v>4.6600000000000003E-2</v>
      </c>
      <c r="H16" s="26" t="s">
        <v>79</v>
      </c>
      <c r="K16" s="28" t="s">
        <v>36</v>
      </c>
      <c r="L16" s="4">
        <f>G32*Foreign_Ccy_Notional/ResultDomesticFXSpotRate</f>
        <v>-327.15792107273677</v>
      </c>
      <c r="M16" s="36" t="str">
        <f>$L$3</f>
        <v>DOM</v>
      </c>
    </row>
    <row r="17" spans="2:13" ht="15.75" x14ac:dyDescent="0.3">
      <c r="B17" s="98" t="s">
        <v>63</v>
      </c>
      <c r="C17" s="115" t="s">
        <v>5</v>
      </c>
      <c r="F17" s="19" t="s">
        <v>52</v>
      </c>
      <c r="G17" s="114">
        <f>r_-q_</f>
        <v>7.2099999999999942E-3</v>
      </c>
      <c r="H17" s="16" t="s">
        <v>79</v>
      </c>
      <c r="K17" s="19" t="s">
        <v>35</v>
      </c>
      <c r="L17" s="17">
        <f>G33*Foreign_Ccy_Notional/ResultDomesticFXSpotRate</f>
        <v>-264.17732508935268</v>
      </c>
      <c r="M17" s="108" t="str">
        <f>$L$3</f>
        <v>DOM</v>
      </c>
    </row>
    <row r="19" spans="2:13" x14ac:dyDescent="0.2">
      <c r="B19" s="1" t="s">
        <v>130</v>
      </c>
      <c r="F19" s="1" t="s">
        <v>129</v>
      </c>
      <c r="G19" s="113"/>
      <c r="K19" s="1" t="s">
        <v>128</v>
      </c>
    </row>
    <row r="20" spans="2:13" x14ac:dyDescent="0.2">
      <c r="B20" s="98" t="s">
        <v>106</v>
      </c>
      <c r="C20" s="12" t="s">
        <v>123</v>
      </c>
      <c r="D20" s="97" t="s">
        <v>31</v>
      </c>
      <c r="E20" s="112"/>
      <c r="F20" s="98" t="s">
        <v>106</v>
      </c>
      <c r="G20" s="20" t="s">
        <v>123</v>
      </c>
      <c r="K20" s="98" t="s">
        <v>127</v>
      </c>
      <c r="L20" s="12" t="s">
        <v>123</v>
      </c>
      <c r="M20" s="97" t="s">
        <v>31</v>
      </c>
    </row>
    <row r="21" spans="2:13" ht="15.75" x14ac:dyDescent="0.3">
      <c r="B21" s="19" t="s">
        <v>126</v>
      </c>
      <c r="C21" s="111">
        <v>0.65627100000000005</v>
      </c>
      <c r="D21" s="16" t="s">
        <v>3</v>
      </c>
      <c r="F21" s="24" t="s">
        <v>100</v>
      </c>
      <c r="G21" s="110">
        <f>(LN(S0/K)+(μ+0.5*σ*σ)*T)/(σ*SQRT(T))</f>
        <v>-1.6329552724147003</v>
      </c>
      <c r="K21" s="22" t="s">
        <v>41</v>
      </c>
      <c r="L21" s="21">
        <f>G40/ResultDomesticFXSpotRate</f>
        <v>32405.479716012273</v>
      </c>
      <c r="M21" s="42" t="str">
        <f>$L$3</f>
        <v>DOM</v>
      </c>
    </row>
    <row r="22" spans="2:13" ht="15.75" x14ac:dyDescent="0.3">
      <c r="F22" s="19" t="s">
        <v>99</v>
      </c>
      <c r="G22" s="109">
        <f>G21-σ*SQRT(T)</f>
        <v>-1.731542742157629</v>
      </c>
      <c r="K22" s="25" t="s">
        <v>125</v>
      </c>
      <c r="L22" s="127">
        <f>MonteCarlo!L6/ResultDomesticFXSpotRate</f>
        <v>39783.414112811668</v>
      </c>
      <c r="M22" s="108" t="str">
        <f>$L$3</f>
        <v>DOM</v>
      </c>
    </row>
    <row r="23" spans="2:13" x14ac:dyDescent="0.2">
      <c r="B23" s="1" t="s">
        <v>124</v>
      </c>
    </row>
    <row r="24" spans="2:13" x14ac:dyDescent="0.2">
      <c r="B24" s="98" t="s">
        <v>106</v>
      </c>
      <c r="C24" s="12" t="s">
        <v>123</v>
      </c>
      <c r="D24" s="97" t="s">
        <v>31</v>
      </c>
      <c r="F24" s="1" t="s">
        <v>122</v>
      </c>
    </row>
    <row r="25" spans="2:13" x14ac:dyDescent="0.2">
      <c r="B25" s="28" t="s">
        <v>121</v>
      </c>
      <c r="C25" s="107">
        <v>45107</v>
      </c>
      <c r="D25" s="26"/>
      <c r="F25" s="98" t="s">
        <v>106</v>
      </c>
      <c r="G25" s="12" t="s">
        <v>94</v>
      </c>
      <c r="H25" s="97" t="s">
        <v>31</v>
      </c>
    </row>
    <row r="26" spans="2:13" x14ac:dyDescent="0.2">
      <c r="B26" s="28" t="s">
        <v>120</v>
      </c>
      <c r="C26" s="106">
        <v>0.66290000000000004</v>
      </c>
      <c r="D26" s="26" t="s">
        <v>3</v>
      </c>
      <c r="F26" s="28" t="s">
        <v>119</v>
      </c>
      <c r="G26" s="8" cm="1">
        <f t="array" ref="G26">CP*(S0*EXP(-q_*T)*_xlfn.NORM.S.DIST(CP*d1_,TRUE)-K*EXP(-r_*T)*_xlfn.NORM.S.DIST(CP*d2_,TRUE))</f>
        <v>1.2922593417313867E-3</v>
      </c>
      <c r="H26" s="26" t="s">
        <v>7</v>
      </c>
    </row>
    <row r="27" spans="2:13" ht="15.75" x14ac:dyDescent="0.3">
      <c r="B27" s="28" t="s">
        <v>118</v>
      </c>
      <c r="C27" s="106">
        <v>0.66796199999999994</v>
      </c>
      <c r="D27" s="26" t="s">
        <v>3</v>
      </c>
      <c r="F27" s="28" t="s">
        <v>117</v>
      </c>
      <c r="G27" s="47">
        <f>CP*EXP(-q_*T)*_xlfn.NORM.S.DIST(CP*d1_,TRUE)</f>
        <v>4.8884416527398201E-2</v>
      </c>
      <c r="H27" s="26" t="s">
        <v>1</v>
      </c>
      <c r="K27" s="4"/>
    </row>
    <row r="28" spans="2:13" ht="15.75" x14ac:dyDescent="0.3">
      <c r="B28" s="28" t="s">
        <v>116</v>
      </c>
      <c r="C28" s="105">
        <v>9.8118800000000006E-2</v>
      </c>
      <c r="D28" s="26" t="s">
        <v>79</v>
      </c>
      <c r="F28" s="28" t="s">
        <v>115</v>
      </c>
      <c r="G28" s="47">
        <f>CP*_xlfn.NORM.S.DIST(CP*d1_,TRUE)</f>
        <v>5.1239202008375152E-2</v>
      </c>
      <c r="H28" s="26" t="s">
        <v>1</v>
      </c>
    </row>
    <row r="29" spans="2:13" x14ac:dyDescent="0.2">
      <c r="B29" s="28" t="s">
        <v>114</v>
      </c>
      <c r="C29" s="104">
        <v>4.6600000000000003E-2</v>
      </c>
      <c r="D29" s="26" t="s">
        <v>79</v>
      </c>
      <c r="F29" s="28" t="s">
        <v>113</v>
      </c>
      <c r="G29" s="47">
        <f>1%*S0*SQRT(T)*_xlfn.NORM.S.DIST(d1_,FALSE)*EXP(-q_*T)</f>
        <v>6.6828731449087306E-4</v>
      </c>
      <c r="H29" s="26" t="s">
        <v>7</v>
      </c>
    </row>
    <row r="30" spans="2:13" x14ac:dyDescent="0.2">
      <c r="B30" s="19" t="s">
        <v>112</v>
      </c>
      <c r="C30" s="103">
        <v>5.3809999999999997E-2</v>
      </c>
      <c r="D30" s="16" t="s">
        <v>79</v>
      </c>
      <c r="F30" s="28" t="s">
        <v>111</v>
      </c>
      <c r="G30" s="48">
        <f>(1/365)*
(
-(S0*EXP(-r_*T)*_xlfn.NORM.S.DIST(d1_*CP,FALSE)*σ)/(2*SQRT(T))
+q_*EXP(-q_*T)*S0*_xlfn.NORM.S.DIST(d1_*CP,TRUE)
-r_*EXP(-r_*T)*K*_xlfn.NORM.S.DIST(d2_*CP,TRUE)
)</f>
        <v>-9.2822853809381906E-6</v>
      </c>
      <c r="H30" s="26" t="s">
        <v>7</v>
      </c>
      <c r="J30" s="102"/>
    </row>
    <row r="31" spans="2:13" x14ac:dyDescent="0.2">
      <c r="F31" s="28" t="s">
        <v>110</v>
      </c>
      <c r="G31" s="101">
        <f>(1%*S0)*(EXP(-q_*T)*_xlfn.NORM.S.DIST(d1_,FALSE)/(S0*σ*SQRT(T)))</f>
        <v>1.0177098675243863E-2</v>
      </c>
      <c r="H31" s="26" t="s">
        <v>1</v>
      </c>
    </row>
    <row r="32" spans="2:13" ht="15.75" x14ac:dyDescent="0.3">
      <c r="F32" s="28" t="s">
        <v>109</v>
      </c>
      <c r="G32" s="101">
        <f>(1%)*(-T*EXP(-q_*T)*S0*_xlfn.NORM.S.DIST(d1_,TRUE))</f>
        <v>-3.2715792107273676E-4</v>
      </c>
      <c r="H32" s="26" t="s">
        <v>7</v>
      </c>
      <c r="J32" s="100"/>
    </row>
    <row r="33" spans="6:9" ht="15.75" x14ac:dyDescent="0.3">
      <c r="F33" s="19" t="s">
        <v>108</v>
      </c>
      <c r="G33" s="99">
        <f>1%*-T*EXP(-r_*T)*S0*_xlfn.NORM.S.DIST(d2_,TRUE)</f>
        <v>-2.6417732508935267E-4</v>
      </c>
      <c r="H33" s="16" t="s">
        <v>7</v>
      </c>
    </row>
    <row r="35" spans="6:9" x14ac:dyDescent="0.2">
      <c r="F35" s="1" t="s">
        <v>107</v>
      </c>
    </row>
    <row r="36" spans="6:9" x14ac:dyDescent="0.2">
      <c r="F36" s="98" t="s">
        <v>106</v>
      </c>
      <c r="G36" s="12" t="s">
        <v>106</v>
      </c>
      <c r="H36" s="97" t="s">
        <v>31</v>
      </c>
    </row>
    <row r="37" spans="6:9" x14ac:dyDescent="0.2">
      <c r="F37" s="24" t="s">
        <v>105</v>
      </c>
      <c r="G37" s="96">
        <f>_xlfn.NORM.S.DIST(CP*d1_,TRUE)</f>
        <v>5.1239202008375152E-2</v>
      </c>
      <c r="H37" s="20" t="s">
        <v>79</v>
      </c>
    </row>
    <row r="38" spans="6:9" x14ac:dyDescent="0.2">
      <c r="F38" s="28" t="s">
        <v>27</v>
      </c>
      <c r="G38" s="37" cm="1">
        <f t="array" ref="G38">_xlfn.IFS(Notional_Ccy="FOR",EXP(-q_*T),Notional_Ccy="DOM",EXP(-r_*T))</f>
        <v>0.9540432834884498</v>
      </c>
      <c r="H38" s="26"/>
    </row>
    <row r="39" spans="6:9" x14ac:dyDescent="0.2">
      <c r="F39" s="28" t="s">
        <v>104</v>
      </c>
      <c r="G39" s="41">
        <f>Notional_amount*G37*G38</f>
        <v>48884.416527398207</v>
      </c>
      <c r="H39" s="26" t="str">
        <f>Notional_Ccy</f>
        <v>FOR</v>
      </c>
    </row>
    <row r="40" spans="6:9" x14ac:dyDescent="0.2">
      <c r="F40" s="19" t="s">
        <v>103</v>
      </c>
      <c r="G40" s="95">
        <f>IF(Notional_Ccy="DOM",G39,G39*S0)</f>
        <v>32405.479716012273</v>
      </c>
      <c r="H40" s="16" t="s">
        <v>7</v>
      </c>
    </row>
    <row r="44" spans="6:9" x14ac:dyDescent="0.2">
      <c r="F44" s="94" t="s">
        <v>102</v>
      </c>
      <c r="G44" s="81"/>
      <c r="H44" s="81"/>
      <c r="I44" s="81"/>
    </row>
    <row r="45" spans="6:9" x14ac:dyDescent="0.2">
      <c r="F45" s="93" t="s">
        <v>101</v>
      </c>
      <c r="G45" s="92" t="s">
        <v>94</v>
      </c>
      <c r="H45" s="91" t="s">
        <v>31</v>
      </c>
      <c r="I45" s="81"/>
    </row>
    <row r="46" spans="6:9" ht="15.75" x14ac:dyDescent="0.3">
      <c r="F46" s="90" t="s">
        <v>100</v>
      </c>
      <c r="G46" s="89">
        <f>(LN(S0/H)+(r_-q_+0.5*σ*σ)*T)/(σ*SQRT(T))</f>
        <v>0.22507041629304234</v>
      </c>
      <c r="H46" s="88"/>
      <c r="I46" s="81"/>
    </row>
    <row r="47" spans="6:9" ht="15.75" x14ac:dyDescent="0.3">
      <c r="F47" s="90" t="s">
        <v>99</v>
      </c>
      <c r="G47" s="89">
        <f>G46-σ*SQRT(T)</f>
        <v>0.12648294655011361</v>
      </c>
      <c r="H47" s="88"/>
      <c r="I47" s="81"/>
    </row>
    <row r="48" spans="6:9" ht="15.75" x14ac:dyDescent="0.3">
      <c r="F48" s="90" t="s">
        <v>98</v>
      </c>
      <c r="G48" s="89">
        <f>(LN(H/S0)+(r_-q_+0.5*σ*σ)*T)/(σ*SQRT(T))</f>
        <v>2.1183738204879978E-2</v>
      </c>
      <c r="H48" s="88"/>
      <c r="I48" s="81"/>
    </row>
    <row r="49" spans="6:9" ht="15.75" x14ac:dyDescent="0.3">
      <c r="F49" s="90" t="s">
        <v>97</v>
      </c>
      <c r="G49" s="89">
        <f>G48-σ*SQRT(T)</f>
        <v>-7.7403731538048748E-2</v>
      </c>
      <c r="H49" s="88"/>
      <c r="I49" s="81"/>
    </row>
    <row r="50" spans="6:9" x14ac:dyDescent="0.2">
      <c r="F50" s="87" t="s">
        <v>96</v>
      </c>
      <c r="G50" s="86">
        <f>C21</f>
        <v>0.65627100000000005</v>
      </c>
      <c r="H50" s="85" t="s">
        <v>3</v>
      </c>
      <c r="I50" s="81"/>
    </row>
    <row r="51" spans="6:9" x14ac:dyDescent="0.2">
      <c r="F51" s="81"/>
      <c r="G51" s="84"/>
      <c r="H51" s="81"/>
      <c r="I51" s="81"/>
    </row>
    <row r="52" spans="6:9" x14ac:dyDescent="0.2">
      <c r="F52" s="81" t="s">
        <v>95</v>
      </c>
      <c r="G52" s="81">
        <v>-6.4770933169589984E-2</v>
      </c>
      <c r="H52" s="81"/>
      <c r="I52" s="81" t="s">
        <v>7</v>
      </c>
    </row>
    <row r="53" spans="6:9" x14ac:dyDescent="0.2">
      <c r="F53" s="81"/>
      <c r="G53" s="81"/>
      <c r="H53" s="81"/>
      <c r="I53" s="81"/>
    </row>
    <row r="54" spans="6:9" x14ac:dyDescent="0.2">
      <c r="F54" s="81"/>
      <c r="G54" s="83" t="s">
        <v>94</v>
      </c>
      <c r="H54" s="82" t="s">
        <v>93</v>
      </c>
      <c r="I54" s="81" t="s">
        <v>31</v>
      </c>
    </row>
    <row r="55" spans="6:9" x14ac:dyDescent="0.2">
      <c r="F55" s="81"/>
      <c r="G55" s="81">
        <v>1.2922593417313902E-3</v>
      </c>
      <c r="H55" s="81"/>
      <c r="I55" s="81" t="s">
        <v>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un_Monte_Carlo">
                <anchor moveWithCells="1" sizeWithCells="1">
                  <from>
                    <xdr:col>1</xdr:col>
                    <xdr:colOff>628650</xdr:colOff>
                    <xdr:row>2</xdr:row>
                    <xdr:rowOff>152400</xdr:rowOff>
                  </from>
                  <to>
                    <xdr:col>2</xdr:col>
                    <xdr:colOff>504825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BBCFD-C73A-4AF3-855A-1ADBBE1F94A3}">
  <sheetPr codeName="Sheet4"/>
  <dimension ref="B1:AS6"/>
  <sheetViews>
    <sheetView zoomScale="90" zoomScaleNormal="90" workbookViewId="0"/>
  </sheetViews>
  <sheetFormatPr defaultRowHeight="12.75" x14ac:dyDescent="0.2"/>
  <cols>
    <col min="1" max="1" width="9.140625" style="1"/>
    <col min="2" max="2" width="8.140625" style="1" bestFit="1" customWidth="1"/>
    <col min="3" max="3" width="10.85546875" style="1" bestFit="1" customWidth="1"/>
    <col min="4" max="4" width="9.85546875" style="1" bestFit="1" customWidth="1"/>
    <col min="5" max="5" width="17.7109375" style="1" bestFit="1" customWidth="1"/>
    <col min="6" max="6" width="13.85546875" style="1" bestFit="1" customWidth="1"/>
    <col min="7" max="7" width="15" style="1" bestFit="1" customWidth="1"/>
    <col min="8" max="8" width="14.7109375" style="1" bestFit="1" customWidth="1"/>
    <col min="9" max="9" width="13.28515625" style="1" bestFit="1" customWidth="1"/>
    <col min="10" max="11" width="9.85546875" style="1" bestFit="1" customWidth="1"/>
    <col min="12" max="12" width="7.7109375" style="1" bestFit="1" customWidth="1"/>
    <col min="13" max="14" width="6.7109375" style="1" bestFit="1" customWidth="1"/>
    <col min="15" max="15" width="13.140625" style="1" bestFit="1" customWidth="1"/>
    <col min="16" max="16" width="18.85546875" style="1" bestFit="1" customWidth="1"/>
    <col min="17" max="17" width="6.140625" style="1" bestFit="1" customWidth="1"/>
    <col min="18" max="18" width="7.28515625" style="1" bestFit="1" customWidth="1"/>
    <col min="19" max="19" width="18.42578125" style="1" customWidth="1"/>
    <col min="20" max="20" width="17.28515625" style="1" customWidth="1"/>
    <col min="21" max="21" width="11.7109375" style="1" bestFit="1" customWidth="1"/>
    <col min="22" max="22" width="15.42578125" style="1" bestFit="1" customWidth="1"/>
    <col min="23" max="23" width="15.85546875" style="1" bestFit="1" customWidth="1"/>
    <col min="24" max="24" width="20" style="1" bestFit="1" customWidth="1"/>
    <col min="25" max="26" width="6.7109375" style="1" bestFit="1" customWidth="1"/>
    <col min="27" max="27" width="7.28515625" style="1" bestFit="1" customWidth="1"/>
    <col min="28" max="29" width="8.42578125" style="1" bestFit="1" customWidth="1"/>
    <col min="30" max="30" width="8.85546875" style="1" bestFit="1" customWidth="1"/>
    <col min="31" max="31" width="11.7109375" style="1" bestFit="1" customWidth="1"/>
    <col min="32" max="32" width="13.7109375" style="1" bestFit="1" customWidth="1"/>
    <col min="33" max="33" width="12.140625" style="1" bestFit="1" customWidth="1"/>
    <col min="34" max="34" width="12.7109375" style="1" bestFit="1" customWidth="1"/>
    <col min="35" max="35" width="14.5703125" style="1" bestFit="1" customWidth="1"/>
    <col min="36" max="36" width="22.140625" style="1" bestFit="1" customWidth="1"/>
    <col min="37" max="37" width="23.28515625" style="1" bestFit="1" customWidth="1"/>
    <col min="38" max="38" width="15.140625" style="1" bestFit="1" customWidth="1"/>
    <col min="39" max="40" width="12.85546875" style="1" bestFit="1" customWidth="1"/>
    <col min="41" max="41" width="8.85546875" style="1" bestFit="1" customWidth="1"/>
    <col min="42" max="42" width="8.85546875" style="1" customWidth="1"/>
    <col min="43" max="43" width="10.5703125" style="1" bestFit="1" customWidth="1"/>
    <col min="44" max="44" width="16.85546875" style="1" bestFit="1" customWidth="1"/>
    <col min="45" max="45" width="18.140625" style="1" bestFit="1" customWidth="1"/>
    <col min="46" max="16384" width="9.140625" style="1"/>
  </cols>
  <sheetData>
    <row r="1" spans="2:45" ht="13.5" thickBot="1" x14ac:dyDescent="0.25"/>
    <row r="2" spans="2:45" s="65" customFormat="1" ht="13.5" thickBot="1" x14ac:dyDescent="0.25">
      <c r="C2" s="79" t="s">
        <v>92</v>
      </c>
      <c r="D2" s="78"/>
      <c r="E2" s="78"/>
      <c r="F2" s="78"/>
      <c r="G2" s="78"/>
      <c r="H2" s="77"/>
      <c r="I2" s="79" t="s">
        <v>91</v>
      </c>
      <c r="J2" s="80"/>
      <c r="K2" s="80"/>
      <c r="L2" s="80"/>
      <c r="M2" s="80"/>
      <c r="N2" s="80"/>
      <c r="O2" s="80"/>
      <c r="P2" s="77"/>
      <c r="Q2" s="79" t="s">
        <v>90</v>
      </c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9" t="s">
        <v>89</v>
      </c>
      <c r="AE2" s="78"/>
      <c r="AF2" s="78"/>
      <c r="AG2" s="78"/>
      <c r="AH2" s="78"/>
      <c r="AI2" s="78"/>
      <c r="AJ2" s="78"/>
      <c r="AK2" s="77"/>
      <c r="AL2" s="79" t="str">
        <f>"Vanilla European Option Results in Result Currency, "&amp;ResultCurrency</f>
        <v>Vanilla European Option Results in Result Currency, DOM</v>
      </c>
      <c r="AM2" s="78"/>
      <c r="AN2" s="78"/>
      <c r="AO2" s="78"/>
      <c r="AP2" s="78"/>
      <c r="AQ2" s="78"/>
      <c r="AR2" s="78"/>
      <c r="AS2" s="77"/>
    </row>
    <row r="3" spans="2:45" s="74" customFormat="1" x14ac:dyDescent="0.2">
      <c r="B3" s="74" t="s">
        <v>88</v>
      </c>
      <c r="C3" s="76" t="s">
        <v>87</v>
      </c>
      <c r="D3" s="74" t="s">
        <v>3</v>
      </c>
      <c r="G3" s="74" t="s">
        <v>86</v>
      </c>
      <c r="H3" s="75" t="s">
        <v>84</v>
      </c>
      <c r="I3" s="76" t="s">
        <v>85</v>
      </c>
      <c r="J3" s="74" t="s">
        <v>3</v>
      </c>
      <c r="K3" s="74" t="s">
        <v>3</v>
      </c>
      <c r="L3" s="74" t="s">
        <v>79</v>
      </c>
      <c r="M3" s="74" t="s">
        <v>79</v>
      </c>
      <c r="N3" s="74" t="s">
        <v>79</v>
      </c>
      <c r="O3" s="74" t="s">
        <v>84</v>
      </c>
      <c r="P3" s="75"/>
      <c r="Q3" s="76" t="s">
        <v>83</v>
      </c>
      <c r="R3" s="74" t="s">
        <v>82</v>
      </c>
      <c r="S3" s="74" t="s">
        <v>79</v>
      </c>
      <c r="T3" s="74" t="s">
        <v>79</v>
      </c>
      <c r="U3" s="74" t="s">
        <v>79</v>
      </c>
      <c r="V3" s="74" t="s">
        <v>81</v>
      </c>
      <c r="W3" s="74" t="s">
        <v>80</v>
      </c>
      <c r="Y3" s="74" t="s">
        <v>79</v>
      </c>
      <c r="Z3" s="74" t="s">
        <v>79</v>
      </c>
      <c r="AA3" s="74" t="s">
        <v>79</v>
      </c>
      <c r="AD3" s="76" t="s">
        <v>77</v>
      </c>
      <c r="AE3" s="74" t="s">
        <v>78</v>
      </c>
      <c r="AF3" s="74" t="s">
        <v>78</v>
      </c>
      <c r="AG3" s="74" t="s">
        <v>77</v>
      </c>
      <c r="AH3" s="74" t="s">
        <v>77</v>
      </c>
      <c r="AI3" s="74" t="s">
        <v>78</v>
      </c>
      <c r="AJ3" s="74" t="s">
        <v>77</v>
      </c>
      <c r="AK3" s="75" t="s">
        <v>77</v>
      </c>
      <c r="AL3" s="76"/>
      <c r="AS3" s="75"/>
    </row>
    <row r="4" spans="2:45" s="65" customFormat="1" ht="15.75" x14ac:dyDescent="0.3">
      <c r="C4" s="69" t="s">
        <v>76</v>
      </c>
      <c r="D4" s="67" t="s">
        <v>75</v>
      </c>
      <c r="E4" s="67" t="s">
        <v>74</v>
      </c>
      <c r="F4" s="67" t="s">
        <v>73</v>
      </c>
      <c r="G4" s="67" t="s">
        <v>72</v>
      </c>
      <c r="H4" s="71" t="s">
        <v>71</v>
      </c>
      <c r="I4" s="73" t="s">
        <v>70</v>
      </c>
      <c r="J4" s="72" t="s">
        <v>69</v>
      </c>
      <c r="K4" s="72" t="s">
        <v>68</v>
      </c>
      <c r="L4" s="72" t="s">
        <v>67</v>
      </c>
      <c r="M4" s="72" t="s">
        <v>66</v>
      </c>
      <c r="N4" s="72" t="s">
        <v>65</v>
      </c>
      <c r="O4" s="67" t="s">
        <v>64</v>
      </c>
      <c r="P4" s="71" t="s">
        <v>63</v>
      </c>
      <c r="Q4" s="69" t="s">
        <v>62</v>
      </c>
      <c r="R4" s="67" t="s">
        <v>61</v>
      </c>
      <c r="S4" s="67" t="s">
        <v>60</v>
      </c>
      <c r="T4" s="67" t="s">
        <v>59</v>
      </c>
      <c r="U4" s="67" t="s">
        <v>58</v>
      </c>
      <c r="V4" s="67" t="s">
        <v>57</v>
      </c>
      <c r="W4" s="67" t="s">
        <v>56</v>
      </c>
      <c r="X4" s="67" t="s">
        <v>55</v>
      </c>
      <c r="Y4" s="67" t="s">
        <v>54</v>
      </c>
      <c r="Z4" s="67" t="s">
        <v>53</v>
      </c>
      <c r="AA4" s="67" t="s">
        <v>52</v>
      </c>
      <c r="AB4" s="67" t="s">
        <v>51</v>
      </c>
      <c r="AC4" s="67" t="s">
        <v>50</v>
      </c>
      <c r="AD4" s="69" t="s">
        <v>49</v>
      </c>
      <c r="AE4" s="68" t="s">
        <v>48</v>
      </c>
      <c r="AF4" s="68" t="s">
        <v>47</v>
      </c>
      <c r="AG4" s="68" t="s">
        <v>46</v>
      </c>
      <c r="AH4" s="68" t="s">
        <v>45</v>
      </c>
      <c r="AI4" s="68" t="s">
        <v>44</v>
      </c>
      <c r="AJ4" s="68" t="s">
        <v>43</v>
      </c>
      <c r="AK4" s="70" t="s">
        <v>42</v>
      </c>
      <c r="AL4" s="69" t="s">
        <v>41</v>
      </c>
      <c r="AM4" s="28" t="s">
        <v>40</v>
      </c>
      <c r="AN4" s="68" t="s">
        <v>39</v>
      </c>
      <c r="AO4" s="68" t="s">
        <v>21</v>
      </c>
      <c r="AP4" s="67" t="s">
        <v>38</v>
      </c>
      <c r="AQ4" s="67" t="s">
        <v>37</v>
      </c>
      <c r="AR4" s="28" t="s">
        <v>36</v>
      </c>
      <c r="AS4" s="66" t="s">
        <v>35</v>
      </c>
    </row>
    <row r="5" spans="2:45" x14ac:dyDescent="0.2">
      <c r="C5" s="63" t="s">
        <v>0</v>
      </c>
      <c r="D5" s="58">
        <v>0.53439999999999999</v>
      </c>
      <c r="E5" s="56" t="s">
        <v>2</v>
      </c>
      <c r="F5" s="62">
        <v>47116</v>
      </c>
      <c r="G5" s="61">
        <v>50000000</v>
      </c>
      <c r="H5" s="60" t="s">
        <v>1</v>
      </c>
      <c r="I5" s="59">
        <v>45289</v>
      </c>
      <c r="J5" s="58">
        <v>0.68120000000000003</v>
      </c>
      <c r="K5" s="58">
        <v>0.67094900000000002</v>
      </c>
      <c r="L5" s="57">
        <v>0.1236131</v>
      </c>
      <c r="M5" s="57">
        <v>3.8730000000000001E-2</v>
      </c>
      <c r="N5" s="57">
        <v>3.5090000000000003E-2</v>
      </c>
      <c r="O5" s="56" t="s">
        <v>1</v>
      </c>
      <c r="P5" s="55" t="s">
        <v>11</v>
      </c>
      <c r="Q5" s="45" cm="1">
        <f t="array" ref="Q5">_xlfn.IFS(Table1[[#This Row],[Call/Put]]="Call FOR, Put DOM",1,Table1[[#This Row],[Call/Put]]="Put FOR, Call DOM",-1)</f>
        <v>1</v>
      </c>
      <c r="R5" s="54">
        <f>YEARFRAC(Table1[[#This Row],[Value Date]],Table1[[#This Row],[Expiry Date]],1)</f>
        <v>5.0009124087591239</v>
      </c>
      <c r="S5" s="50">
        <f>Table1[[#This Row],[rd]]-Table1[[#This Row],[rf]]</f>
        <v>-3.6399999999999974E-3</v>
      </c>
      <c r="T5" s="50">
        <f>LN(Table1[[#This Row],[F]]/Table1[[#This Row],[S0]])/Table1[[#This Row],[T]]</f>
        <v>-3.0320108466896883E-3</v>
      </c>
      <c r="U5" s="50">
        <f>Table1[[#This Row],[rf]]+Table1[[#This Row],[μwith currency basis]]</f>
        <v>3.5697989153310315E-2</v>
      </c>
      <c r="V5" s="41" cm="1">
        <f t="array" ref="V5">_xlfn.IFS(Table1[[#This Row],[Notional Ccy]]="FOR",Table1[[#This Row],[Notional Amt]],Table1[[#This Row],[Notional Ccy]]="DOM",Table1[[#This Row],[Notional Amt]]/Table1[[#This Row],[Strike]])</f>
        <v>50000000</v>
      </c>
      <c r="W5" s="41" cm="1">
        <f t="array" ref="W5">_xlfn.IFS(Table1[[#This Row],[Notional Ccy]]="DOM",Table1[[#This Row],[Notional Amt]],Table1[[#This Row],[Notional Ccy]]="FOR",Table1[[#This Row],[Notional Amt]]*Table1[[#This Row],[Strike]])</f>
        <v>26720000</v>
      </c>
      <c r="X5" s="53">
        <f>IF(Table1[[#This Row],[Result Ccy]]="DOM",1,Table1[[#This Row],[S0]])</f>
        <v>0.68120000000000003</v>
      </c>
      <c r="Y5" s="50" cm="1">
        <f t="array" ref="Y5">_xlfn.IFS(Table1[[#This Row],[Methodology]]="With Currency Basis",Table1[[#This Row],[rd_basis_adj]],Table1[[#This Row],[Methodology]]="By Interest Rate Parity",Table1[[#This Row],[rd]])</f>
        <v>3.5697989153310315E-2</v>
      </c>
      <c r="Z5" s="50">
        <f>Table1[[#This Row],[rf]]</f>
        <v>3.8730000000000001E-2</v>
      </c>
      <c r="AA5" s="50" cm="1">
        <f t="array" ref="AA5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5" s="37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5" s="37">
        <f>Table1[[#This Row],[d1]]-Table1[[#This Row],[σ]]*SQRT(Table1[[#This Row],[T]])</f>
        <v>0.68494489566442285</v>
      </c>
      <c r="AD5" s="51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0.1301089898287508</v>
      </c>
      <c r="AE5" s="50">
        <f>Table1[[#This Row],[CP]]*EXP(-Table1[[#This Row],[q]]*Table1[[#This Row],[T]])*_xlfn.NORM.S.DIST(Table1[[#This Row],[CP]]*Table1[[#This Row],[d1]],TRUE)</f>
        <v>0.6853497333116404</v>
      </c>
      <c r="AF5" s="49">
        <f>Table1[[#This Row],[CP]]*_xlfn.NORM.S.DIST(Table1[[#This Row],[CP]]*Table1[[#This Row],[d1]],TRUE)</f>
        <v>0.83181878045308011</v>
      </c>
      <c r="AG5" s="47">
        <f>1%*Table1[[#This Row],[S0]]*SQRT(Table1[[#This Row],[T]])*_xlfn.NORM.S.DIST(Table1[[#This Row],[d1]],FALSE)*EXP(-Table1[[#This Row],[rf]]*T)</f>
        <v>3.6815478748224092E-3</v>
      </c>
      <c r="AH5" s="48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5.7595807080634053E-6</v>
      </c>
      <c r="AI5" s="47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5" s="47">
        <f>(1%)*(-Table1[[#This Row],[T]]*EXP(-Table1[[#This Row],[q]]*T)*Table1[[#This Row],[S0]]*_xlfn.NORM.S.DIST(Table1[[#This Row],[d1]],TRUE))</f>
        <v>-2.725030165577752E-2</v>
      </c>
      <c r="AK5" s="46">
        <f>1%*-Table1[[#This Row],[T]]*EXP(-Table1[[#This Row],[r]]*Table1[[#This Row],[T]])*Table1[[#This Row],[S0]]*_xlfn.NORM.S.DIST(Table1[[#This Row],[d2]],TRUE)</f>
        <v>-2.1466767484352684E-2</v>
      </c>
      <c r="AL5" s="45">
        <f>Table1[[#This Row],[Px]]*Table1[[#This Row],[FOR Notional]]/Table1[[#This Row],[Result Ccy Divisor]]</f>
        <v>9549984.5734549891</v>
      </c>
      <c r="AM5" s="41">
        <f>Table1[[#This Row],[Unit Δspot]]*Table1[[#This Row],[FOR Notional]]*Table1[[#This Row],[S0]]/Table1[[#This Row],[Result Ccy Divisor]]</f>
        <v>34267486.665582016</v>
      </c>
      <c r="AN5" s="41">
        <f>Table1[[#This Row],[Unit Δforward]]*Table1[[#This Row],[FOR Notional]]*Table1[[#This Row],[S0]]/Table1[[#This Row],[Result Ccy Divisor]]</f>
        <v>41590939.022654004</v>
      </c>
      <c r="AO5" s="41">
        <f>Table1[[#This Row],[Unit Vega]]*Table1[[#This Row],[FOR Notional]]/Table1[[#This Row],[Result Ccy Divisor]]</f>
        <v>270225.18165167421</v>
      </c>
      <c r="AP5" s="41">
        <f>Table1[[#This Row],[Unit Theta]]*Table1[[#This Row],[FOR Notional]]/Table1[[#This Row],[Result Ccy Divisor]]</f>
        <v>422.75254756777781</v>
      </c>
      <c r="AQ5" s="41">
        <f>Table1[[#This Row],[Unit Gamma]]*Table1[[#This Row],[FOR Notional]]*Table1[[#This Row],[S0]]/Table1[[#This Row],[Result Ccy Divisor]]</f>
        <v>374521.61956224928</v>
      </c>
      <c r="AR5" s="41">
        <f>Table1[[#This Row],[Unit Rhoforeign currency]]*Table1[[#This Row],[FOR Notional]]/Table1[[#This Row],[Result Ccy Divisor]]</f>
        <v>-2000168.9412637639</v>
      </c>
      <c r="AS5" s="64">
        <f>Table1[[#This Row],[Unit Rhodomestic currency]]*Table1[[#This Row],[FOR Notional]]/Table1[[#This Row],[Result Ccy Divisor]]</f>
        <v>-1575658.2122983474</v>
      </c>
    </row>
    <row r="6" spans="2:45" x14ac:dyDescent="0.2">
      <c r="C6" s="63" t="s">
        <v>0</v>
      </c>
      <c r="D6" s="58">
        <v>0.53439999999999999</v>
      </c>
      <c r="E6" s="56" t="s">
        <v>8</v>
      </c>
      <c r="F6" s="62">
        <v>47116</v>
      </c>
      <c r="G6" s="61">
        <v>50000000</v>
      </c>
      <c r="H6" s="60" t="s">
        <v>1</v>
      </c>
      <c r="I6" s="59">
        <v>45289</v>
      </c>
      <c r="J6" s="58">
        <v>0.68120000000000003</v>
      </c>
      <c r="K6" s="58">
        <v>0.67094900000000002</v>
      </c>
      <c r="L6" s="57">
        <v>0.1236131</v>
      </c>
      <c r="M6" s="57">
        <v>3.8730000000000001E-2</v>
      </c>
      <c r="N6" s="57">
        <v>3.5090000000000003E-2</v>
      </c>
      <c r="O6" s="56" t="s">
        <v>1</v>
      </c>
      <c r="P6" s="55" t="s">
        <v>11</v>
      </c>
      <c r="Q6" s="45" cm="1">
        <f t="array" ref="Q6">_xlfn.IFS(Table1[[#This Row],[Call/Put]]="Call FOR, Put DOM",1,Table1[[#This Row],[Call/Put]]="Put FOR, Call DOM",-1)</f>
        <v>-1</v>
      </c>
      <c r="R6" s="54">
        <f>YEARFRAC(Table1[[#This Row],[Value Date]],Table1[[#This Row],[Expiry Date]],1)</f>
        <v>5.0009124087591239</v>
      </c>
      <c r="S6" s="50">
        <f>Table1[[#This Row],[rd]]-Table1[[#This Row],[rf]]</f>
        <v>-3.6399999999999974E-3</v>
      </c>
      <c r="T6" s="50">
        <f>LN(Table1[[#This Row],[F]]/Table1[[#This Row],[S0]])/Table1[[#This Row],[T]]</f>
        <v>-3.0320108466896883E-3</v>
      </c>
      <c r="U6" s="50">
        <f>Table1[[#This Row],[rf]]+Table1[[#This Row],[μwith currency basis]]</f>
        <v>3.5697989153310315E-2</v>
      </c>
      <c r="V6" s="41" cm="1">
        <f t="array" ref="V6">_xlfn.IFS(Table1[[#This Row],[Notional Ccy]]="FOR",Table1[[#This Row],[Notional Amt]],Table1[[#This Row],[Notional Ccy]]="DOM",Table1[[#This Row],[Notional Amt]]/Table1[[#This Row],[Strike]])</f>
        <v>50000000</v>
      </c>
      <c r="W6" s="41" cm="1">
        <f t="array" ref="W6">_xlfn.IFS(Table1[[#This Row],[Notional Ccy]]="DOM",Table1[[#This Row],[Notional Amt]],Table1[[#This Row],[Notional Ccy]]="FOR",Table1[[#This Row],[Notional Amt]]*Table1[[#This Row],[Strike]])</f>
        <v>26720000</v>
      </c>
      <c r="X6" s="53">
        <f>IF(Table1[[#This Row],[Result Ccy]]="DOM",1,Table1[[#This Row],[S0]])</f>
        <v>0.68120000000000003</v>
      </c>
      <c r="Y6" s="50" cm="1">
        <f t="array" ref="Y6">_xlfn.IFS(Table1[[#This Row],[Methodology]]="With Currency Basis",Table1[[#This Row],[rd_basis_adj]],Table1[[#This Row],[Methodology]]="By Interest Rate Parity",Table1[[#This Row],[rd]])</f>
        <v>3.5697989153310315E-2</v>
      </c>
      <c r="Z6" s="50">
        <f>Table1[[#This Row],[rf]]</f>
        <v>3.8730000000000001E-2</v>
      </c>
      <c r="AA6" s="50" cm="1">
        <f t="array" ref="AA6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6" s="52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6" s="52">
        <f>Table1[[#This Row],[d1]]-Table1[[#This Row],[σ]]*SQRT(Table1[[#This Row],[T]])</f>
        <v>0.68494489566442285</v>
      </c>
      <c r="AD6" s="51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1.5885038387251513E-2</v>
      </c>
      <c r="AE6" s="50">
        <f>Table1[[#This Row],[CP]]*EXP(-Table1[[#This Row],[q]]*Table1[[#This Row],[T]])*_xlfn.NORM.S.DIST(Table1[[#This Row],[CP]]*Table1[[#This Row],[d1]],TRUE)</f>
        <v>-0.13856738591755027</v>
      </c>
      <c r="AF6" s="49">
        <f>Table1[[#This Row],[CP]]*_xlfn.NORM.S.DIST(Table1[[#This Row],[CP]]*Table1[[#This Row],[d1]],TRUE)</f>
        <v>-0.16818121954691986</v>
      </c>
      <c r="AG6" s="47">
        <f>1%*Table1[[#This Row],[S0]]*SQRT(Table1[[#This Row],[T]])*_xlfn.NORM.S.DIST(Table1[[#This Row],[d1]],FALSE)*EXP(-Table1[[#This Row],[rf]]*T)</f>
        <v>3.6815478748224092E-3</v>
      </c>
      <c r="AH6" s="48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-1.1613078637704279E-5</v>
      </c>
      <c r="AI6" s="47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6" s="47">
        <f>(1%)*(-Table1[[#This Row],[T]]*EXP(-Table1[[#This Row],[q]]*T)*Table1[[#This Row],[S0]]*_xlfn.NORM.S.DIST(Table1[[#This Row],[d1]],TRUE))</f>
        <v>-2.725030165577752E-2</v>
      </c>
      <c r="AK6" s="46">
        <f>1%*-Table1[[#This Row],[T]]*EXP(-Table1[[#This Row],[r]]*Table1[[#This Row],[T]])*Table1[[#This Row],[S0]]*_xlfn.NORM.S.DIST(Table1[[#This Row],[d2]],TRUE)</f>
        <v>-2.1466767484352684E-2</v>
      </c>
      <c r="AL6" s="45">
        <f>Table1[[#This Row],[Px]]*Table1[[#This Row],[FOR Notional]]/Table1[[#This Row],[Result Ccy Divisor]]</f>
        <v>1165959.9520883376</v>
      </c>
      <c r="AM6" s="41">
        <f>Table1[[#This Row],[Unit Δspot]]*Table1[[#This Row],[FOR Notional]]*Table1[[#This Row],[S0]]/Table1[[#This Row],[Result Ccy Divisor]]</f>
        <v>-6928369.2958775135</v>
      </c>
      <c r="AN6" s="41">
        <f>Table1[[#This Row],[Unit Δforward]]*Table1[[#This Row],[FOR Notional]]*Table1[[#This Row],[S0]]/Table1[[#This Row],[Result Ccy Divisor]]</f>
        <v>-8409060.9773459937</v>
      </c>
      <c r="AO6" s="41">
        <f>Table1[[#This Row],[Unit Vega]]*Table1[[#This Row],[FOR Notional]]/Table1[[#This Row],[Result Ccy Divisor]]</f>
        <v>270225.18165167421</v>
      </c>
      <c r="AP6" s="41">
        <f>Table1[[#This Row],[Unit Theta]]*Table1[[#This Row],[FOR Notional]]/Table1[[#This Row],[Result Ccy Divisor]]</f>
        <v>-852.398608169721</v>
      </c>
      <c r="AQ6" s="41">
        <f>Table1[[#This Row],[Unit Gamma]]*Table1[[#This Row],[FOR Notional]]*Table1[[#This Row],[S0]]/Table1[[#This Row],[Result Ccy Divisor]]</f>
        <v>374521.61956224928</v>
      </c>
      <c r="AR6" s="41">
        <f>Table1[[#This Row],[Unit Rhoforeign currency]]*Table1[[#This Row],[FOR Notional]]/Table1[[#This Row],[Result Ccy Divisor]]</f>
        <v>-2000168.9412637639</v>
      </c>
      <c r="AS6" s="41">
        <f>Table1[[#This Row],[Unit Rhodomestic currency]]*Table1[[#This Row],[FOR Notional]]/Table1[[#This Row],[Result Ccy Divisor]]</f>
        <v>-1575658.2122983474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CE069-070A-41FF-AD1B-C6D256659B40}">
  <sheetPr codeName="Sheet2"/>
  <dimension ref="A1:P5015"/>
  <sheetViews>
    <sheetView workbookViewId="0">
      <selection activeCell="M29" sqref="M29"/>
    </sheetView>
  </sheetViews>
  <sheetFormatPr defaultRowHeight="12.75" x14ac:dyDescent="0.2"/>
  <cols>
    <col min="1" max="1" width="18.140625" style="1" bestFit="1" customWidth="1"/>
    <col min="2" max="2" width="11.5703125" style="1" bestFit="1" customWidth="1"/>
    <col min="3" max="3" width="12" style="1" bestFit="1" customWidth="1"/>
    <col min="4" max="4" width="9.7109375" style="1" bestFit="1" customWidth="1"/>
    <col min="5" max="5" width="15.5703125" style="1" bestFit="1" customWidth="1"/>
    <col min="6" max="6" width="15.140625" style="1" bestFit="1" customWidth="1"/>
    <col min="7" max="7" width="9.140625" style="1"/>
    <col min="8" max="8" width="22" style="1" bestFit="1" customWidth="1"/>
    <col min="9" max="9" width="9.7109375" style="1" bestFit="1" customWidth="1"/>
    <col min="10" max="10" width="15.5703125" style="1" bestFit="1" customWidth="1"/>
    <col min="11" max="11" width="5.28515625" style="1" bestFit="1" customWidth="1"/>
    <col min="12" max="12" width="15.140625" style="1" bestFit="1" customWidth="1"/>
    <col min="13" max="13" width="5.28515625" style="1" bestFit="1" customWidth="1"/>
    <col min="14" max="14" width="9.7109375" style="1" customWidth="1"/>
    <col min="15" max="15" width="18.5703125" style="1" bestFit="1" customWidth="1"/>
    <col min="16" max="16" width="10.7109375" style="1" bestFit="1" customWidth="1"/>
    <col min="17" max="16384" width="9.140625" style="1"/>
  </cols>
  <sheetData>
    <row r="1" spans="2:16" x14ac:dyDescent="0.2">
      <c r="J1" s="4"/>
      <c r="K1" s="4"/>
    </row>
    <row r="2" spans="2:16" x14ac:dyDescent="0.2">
      <c r="H2" s="29" t="s">
        <v>34</v>
      </c>
      <c r="I2" s="23"/>
      <c r="J2" s="44" t="s">
        <v>33</v>
      </c>
      <c r="K2" s="20" t="s">
        <v>31</v>
      </c>
      <c r="L2" s="43" t="s">
        <v>32</v>
      </c>
      <c r="M2" s="20" t="s">
        <v>31</v>
      </c>
      <c r="O2" s="24" t="s">
        <v>30</v>
      </c>
      <c r="P2" s="42">
        <v>5000</v>
      </c>
    </row>
    <row r="3" spans="2:16" x14ac:dyDescent="0.2">
      <c r="H3" s="28" t="s">
        <v>29</v>
      </c>
      <c r="J3" s="27">
        <f>J15*Foreign_Ccy_Notional</f>
        <v>1365.5712134105104</v>
      </c>
      <c r="K3" s="36" t="s">
        <v>7</v>
      </c>
      <c r="L3" s="41">
        <f>IF(Notional_Ccy="DOM",1,S0)*Notional_amount*L15</f>
        <v>27642.79742000001</v>
      </c>
      <c r="M3" s="26" t="str">
        <f>Notional_Ccy</f>
        <v>FOR</v>
      </c>
      <c r="O3" s="28" t="s">
        <v>28</v>
      </c>
      <c r="P3" s="40">
        <v>5000</v>
      </c>
    </row>
    <row r="4" spans="2:16" x14ac:dyDescent="0.2">
      <c r="H4" s="28" t="s">
        <v>27</v>
      </c>
      <c r="J4" s="39">
        <f>EXP(-r_*T)</f>
        <v>0.94712397548866312</v>
      </c>
      <c r="K4" s="38"/>
      <c r="L4" s="37">
        <f>'GK Pricer'!G38</f>
        <v>0.9540432834884498</v>
      </c>
      <c r="M4" s="26"/>
      <c r="O4" s="28" t="s">
        <v>26</v>
      </c>
      <c r="P4" s="36">
        <f>P2*P3</f>
        <v>25000000</v>
      </c>
    </row>
    <row r="5" spans="2:16" x14ac:dyDescent="0.2">
      <c r="H5" s="28" t="s">
        <v>22</v>
      </c>
      <c r="J5" s="27">
        <f>J3*J4</f>
        <v>1293.3652364582401</v>
      </c>
      <c r="K5" s="36" t="s">
        <v>7</v>
      </c>
      <c r="L5" s="4">
        <f>L3*L4</f>
        <v>26372.425215382857</v>
      </c>
      <c r="M5" s="26" t="str">
        <f>Notional_Ccy</f>
        <v>FOR</v>
      </c>
      <c r="O5" s="28" t="s">
        <v>25</v>
      </c>
      <c r="P5" s="35">
        <v>30.6953125</v>
      </c>
    </row>
    <row r="6" spans="2:16" x14ac:dyDescent="0.2">
      <c r="D6" s="34"/>
      <c r="E6" s="15"/>
      <c r="H6" s="19"/>
      <c r="I6" s="13"/>
      <c r="J6" s="25">
        <f>J5/ResultDomesticFXSpotRate</f>
        <v>1293.3652364582401</v>
      </c>
      <c r="K6" s="33" t="str">
        <f>ResultCurrency</f>
        <v>DOM</v>
      </c>
      <c r="L6" s="32">
        <f>L5/ResultNotionalFXSpotRate</f>
        <v>39783.414112811668</v>
      </c>
      <c r="M6" s="16" t="str">
        <f>ResultCurrency</f>
        <v>DOM</v>
      </c>
      <c r="O6" s="19" t="s">
        <v>24</v>
      </c>
      <c r="P6" s="31">
        <f>Monte_Carlo_Runtime/60</f>
        <v>0.51158854166666667</v>
      </c>
    </row>
    <row r="7" spans="2:16" x14ac:dyDescent="0.2">
      <c r="D7" s="15"/>
      <c r="E7" s="30"/>
      <c r="F7" s="30"/>
      <c r="H7" s="29" t="s">
        <v>23</v>
      </c>
      <c r="I7" s="23"/>
      <c r="J7" s="24"/>
      <c r="K7" s="20"/>
      <c r="L7" s="21"/>
      <c r="M7" s="20"/>
    </row>
    <row r="8" spans="2:16" x14ac:dyDescent="0.2">
      <c r="D8" s="15"/>
      <c r="E8" s="14"/>
      <c r="F8" s="14"/>
      <c r="H8" s="28" t="s">
        <v>22</v>
      </c>
      <c r="J8" s="27">
        <f>'GK Pricer'!L9</f>
        <v>1292.2593417313867</v>
      </c>
      <c r="K8" s="26" t="str">
        <f>ResultCurrency</f>
        <v>DOM</v>
      </c>
      <c r="L8" s="4">
        <f>'GK Pricer'!L21</f>
        <v>32405.479716012273</v>
      </c>
      <c r="M8" s="26" t="str">
        <f>ResultCurrency</f>
        <v>DOM</v>
      </c>
    </row>
    <row r="9" spans="2:16" x14ac:dyDescent="0.2">
      <c r="D9" s="15"/>
      <c r="E9" s="14"/>
      <c r="F9" s="14"/>
      <c r="H9" s="19" t="s">
        <v>21</v>
      </c>
      <c r="I9" s="13"/>
      <c r="J9" s="25">
        <f>'GK Pricer'!L13</f>
        <v>668.28731449087309</v>
      </c>
      <c r="K9" s="16" t="str">
        <f>ResultCurrency</f>
        <v>DOM</v>
      </c>
      <c r="L9" s="13"/>
      <c r="M9" s="16" t="str">
        <f>ResultCurrency</f>
        <v>DOM</v>
      </c>
    </row>
    <row r="10" spans="2:16" x14ac:dyDescent="0.2">
      <c r="D10" s="15"/>
      <c r="E10" s="14"/>
      <c r="F10" s="14"/>
      <c r="H10" s="24" t="s">
        <v>20</v>
      </c>
      <c r="I10" s="23"/>
      <c r="J10" s="22">
        <f>J8-J6</f>
        <v>-1.1058947268534212</v>
      </c>
      <c r="K10" s="20" t="str">
        <f>ResultCurrency</f>
        <v>DOM</v>
      </c>
      <c r="L10" s="21">
        <f>L8-L6</f>
        <v>-7377.9343967993955</v>
      </c>
      <c r="M10" s="20" t="str">
        <f>ResultCurrency</f>
        <v>DOM</v>
      </c>
    </row>
    <row r="11" spans="2:16" x14ac:dyDescent="0.2">
      <c r="D11" s="15"/>
      <c r="E11" s="14"/>
      <c r="F11" s="14"/>
      <c r="H11" s="19" t="s">
        <v>19</v>
      </c>
      <c r="I11" s="13"/>
      <c r="J11" s="18">
        <f>J10/J9</f>
        <v>-1.6548192714026513E-3</v>
      </c>
      <c r="K11" s="16"/>
      <c r="L11" s="17"/>
      <c r="M11" s="16"/>
    </row>
    <row r="12" spans="2:16" x14ac:dyDescent="0.2">
      <c r="D12" s="15"/>
      <c r="E12" s="14"/>
      <c r="F12" s="14"/>
      <c r="L12" s="4"/>
    </row>
    <row r="13" spans="2:16" x14ac:dyDescent="0.2">
      <c r="D13" s="15"/>
      <c r="E13" s="14"/>
      <c r="F13" s="14"/>
      <c r="L13" s="4"/>
    </row>
    <row r="14" spans="2:16" x14ac:dyDescent="0.2">
      <c r="B14" s="13"/>
      <c r="C14" s="13" t="s">
        <v>18</v>
      </c>
      <c r="D14" s="13" t="s">
        <v>17</v>
      </c>
      <c r="E14" s="13" t="s">
        <v>16</v>
      </c>
      <c r="F14" s="13" t="s">
        <v>15</v>
      </c>
      <c r="I14" s="1" t="s">
        <v>17</v>
      </c>
      <c r="J14" s="1" t="s">
        <v>16</v>
      </c>
      <c r="L14" s="4" t="s">
        <v>15</v>
      </c>
    </row>
    <row r="15" spans="2:16" x14ac:dyDescent="0.2">
      <c r="B15" s="12" t="s">
        <v>14</v>
      </c>
      <c r="C15" s="10">
        <f ca="1">AVERAGE(C16:C5015)</f>
        <v>5.9485749659415893E-17</v>
      </c>
      <c r="D15" s="10">
        <f ca="1">AVERAGE(D16:D5015)</f>
        <v>0.66778096321682323</v>
      </c>
      <c r="E15" s="9">
        <f ca="1">AVERAGE(E16:E5015)</f>
        <v>1.4307698758120348E-3</v>
      </c>
      <c r="F15" s="11">
        <f ca="1">AVERAGE(F16:F5015)</f>
        <v>4.1000000000000002E-2</v>
      </c>
      <c r="H15" s="1" t="s">
        <v>13</v>
      </c>
      <c r="I15" s="10">
        <f>AVERAGE(I16:I5015)</f>
        <v>0.66774470995048474</v>
      </c>
      <c r="J15" s="9">
        <f>AVERAGE(J16:J5015)</f>
        <v>1.3655712134105103E-3</v>
      </c>
      <c r="K15" s="9"/>
      <c r="L15" s="9">
        <f>AVERAGE(L16:L5015)</f>
        <v>4.1699800000000016E-2</v>
      </c>
      <c r="O15" s="2"/>
      <c r="P15" s="4"/>
    </row>
    <row r="16" spans="2:16" x14ac:dyDescent="0.2">
      <c r="B16" s="1">
        <v>1</v>
      </c>
      <c r="C16" s="5">
        <f ca="1">_xlfn.NORM.S.INV(RAND())</f>
        <v>0.7111902129874933</v>
      </c>
      <c r="D16" s="5">
        <f ca="1">S0*EXP((μ-0.5*σ*σ)*T+σ*SQRT(T)*$C16)</f>
        <v>0.71276936059956275</v>
      </c>
      <c r="E16" s="5">
        <f ca="1">MAX(0,CP*(D16-K))</f>
        <v>0</v>
      </c>
      <c r="F16" s="4">
        <f ca="1">(CP*(D16-K)&gt;0)*1</f>
        <v>0</v>
      </c>
      <c r="H16" s="4">
        <v>1</v>
      </c>
      <c r="I16" s="3">
        <v>0.66779667341245741</v>
      </c>
      <c r="J16" s="128">
        <v>1.3960259728621601E-3</v>
      </c>
      <c r="K16" s="128"/>
      <c r="L16" s="128">
        <v>4.0399999999999998E-2</v>
      </c>
      <c r="O16" s="2"/>
    </row>
    <row r="17" spans="2:15" x14ac:dyDescent="0.2">
      <c r="B17" s="1">
        <v>2</v>
      </c>
      <c r="C17" s="5">
        <f ca="1">_xlfn.NORM.S.INV(RAND())</f>
        <v>-0.1639702461762777</v>
      </c>
      <c r="D17" s="5">
        <f ca="1">S0*EXP((μ-0.5*σ*σ)*T+σ*SQRT(T)*$C17)</f>
        <v>0.65385004447729422</v>
      </c>
      <c r="E17" s="5">
        <f ca="1">MAX(0,CP*(D17-K))</f>
        <v>0</v>
      </c>
      <c r="F17" s="4">
        <f ca="1">(CP*(D17-K)&gt;0)*1</f>
        <v>0</v>
      </c>
      <c r="H17" s="4">
        <v>2</v>
      </c>
      <c r="I17" s="3">
        <v>0.66771434166584909</v>
      </c>
      <c r="J17" s="128">
        <v>1.4065455721625575E-3</v>
      </c>
      <c r="K17" s="128"/>
      <c r="L17" s="128">
        <v>4.1399999999999999E-2</v>
      </c>
      <c r="O17" s="2"/>
    </row>
    <row r="18" spans="2:15" x14ac:dyDescent="0.2">
      <c r="B18" s="1">
        <v>3</v>
      </c>
      <c r="C18" s="5">
        <f ca="1">_xlfn.NORM.S.INV(RAND())</f>
        <v>-1.8504496605965601</v>
      </c>
      <c r="D18" s="5">
        <f ca="1">S0*EXP((μ-0.5*σ*σ)*T+σ*SQRT(T)*$C18)</f>
        <v>0.55369406066141613</v>
      </c>
      <c r="E18" s="5">
        <f ca="1">MAX(0,CP*(D18-K))</f>
        <v>0</v>
      </c>
      <c r="F18" s="4">
        <f ca="1">(CP*(D18-K)&gt;0)*1</f>
        <v>0</v>
      </c>
      <c r="H18" s="4">
        <v>3</v>
      </c>
      <c r="I18" s="3">
        <v>0.66779645571568746</v>
      </c>
      <c r="J18" s="128">
        <v>1.3312363936753252E-3</v>
      </c>
      <c r="K18" s="128"/>
      <c r="L18" s="128">
        <v>4.3200000000000002E-2</v>
      </c>
      <c r="O18" s="8"/>
    </row>
    <row r="19" spans="2:15" x14ac:dyDescent="0.2">
      <c r="B19" s="1">
        <v>4</v>
      </c>
      <c r="C19" s="5">
        <f ca="1">_xlfn.NORM.S.INV(RAND())</f>
        <v>0.49828868755782552</v>
      </c>
      <c r="D19" s="5">
        <f ca="1">S0*EXP((μ-0.5*σ*σ)*T+σ*SQRT(T)*$C19)</f>
        <v>0.69796465780809924</v>
      </c>
      <c r="E19" s="5">
        <f ca="1">MAX(0,CP*(D19-K))</f>
        <v>0</v>
      </c>
      <c r="F19" s="4">
        <f ca="1">(CP*(D19-K)&gt;0)*1</f>
        <v>0</v>
      </c>
      <c r="H19" s="4">
        <v>4</v>
      </c>
      <c r="I19" s="3">
        <v>0.66773941522166147</v>
      </c>
      <c r="J19" s="128">
        <v>1.3832757237596011E-3</v>
      </c>
      <c r="K19" s="128"/>
      <c r="L19" s="128">
        <v>4.0599999999999997E-2</v>
      </c>
      <c r="O19" s="2"/>
    </row>
    <row r="20" spans="2:15" x14ac:dyDescent="0.2">
      <c r="B20" s="1">
        <v>5</v>
      </c>
      <c r="C20" s="5">
        <f ca="1">_xlfn.NORM.S.INV(RAND())</f>
        <v>0.54350523155964425</v>
      </c>
      <c r="D20" s="5">
        <f ca="1">S0*EXP((μ-0.5*σ*σ)*T+σ*SQRT(T)*$C20)</f>
        <v>0.70108297919417972</v>
      </c>
      <c r="E20" s="5">
        <f ca="1">MAX(0,CP*(D20-K))</f>
        <v>0</v>
      </c>
      <c r="F20" s="4">
        <f ca="1">(CP*(D20-K)&gt;0)*1</f>
        <v>0</v>
      </c>
      <c r="H20" s="4">
        <v>5</v>
      </c>
      <c r="I20" s="3">
        <v>0.66769109524198267</v>
      </c>
      <c r="J20" s="128">
        <v>1.3344211718346901E-3</v>
      </c>
      <c r="K20" s="128"/>
      <c r="L20" s="128">
        <v>3.8399999999999997E-2</v>
      </c>
      <c r="O20" s="2"/>
    </row>
    <row r="21" spans="2:15" x14ac:dyDescent="0.2">
      <c r="B21" s="1">
        <v>6</v>
      </c>
      <c r="C21" s="5">
        <f ca="1">_xlfn.NORM.S.INV(RAND())</f>
        <v>1.5016821348680239E-2</v>
      </c>
      <c r="D21" s="5">
        <f ca="1">S0*EXP((μ-0.5*σ*σ)*T+σ*SQRT(T)*$C21)</f>
        <v>0.66549020367587153</v>
      </c>
      <c r="E21" s="5">
        <f ca="1">MAX(0,CP*(D21-K))</f>
        <v>0</v>
      </c>
      <c r="F21" s="4">
        <f ca="1">(CP*(D21-K)&gt;0)*1</f>
        <v>0</v>
      </c>
      <c r="H21" s="4">
        <v>6</v>
      </c>
      <c r="I21" s="3">
        <v>0.66771761999038659</v>
      </c>
      <c r="J21" s="128">
        <v>1.2781003951020571E-3</v>
      </c>
      <c r="K21" s="128"/>
      <c r="L21" s="128">
        <v>0.04</v>
      </c>
      <c r="O21" s="2"/>
    </row>
    <row r="22" spans="2:15" x14ac:dyDescent="0.2">
      <c r="B22" s="1">
        <v>7</v>
      </c>
      <c r="C22" s="5">
        <f ca="1">_xlfn.NORM.S.INV(RAND())</f>
        <v>0.63624434754299364</v>
      </c>
      <c r="D22" s="5">
        <f ca="1">S0*EXP((μ-0.5*σ*σ)*T+σ*SQRT(T)*$C22)</f>
        <v>0.70752231341961791</v>
      </c>
      <c r="E22" s="5">
        <f ca="1">MAX(0,CP*(D22-K))</f>
        <v>0</v>
      </c>
      <c r="F22" s="4">
        <f ca="1">(CP*(D22-K)&gt;0)*1</f>
        <v>0</v>
      </c>
      <c r="H22" s="4">
        <v>7</v>
      </c>
      <c r="I22" s="3">
        <v>0.66777906422702693</v>
      </c>
      <c r="J22" s="128">
        <v>1.4216268632038565E-3</v>
      </c>
      <c r="K22" s="128"/>
      <c r="L22" s="128">
        <v>4.3400000000000001E-2</v>
      </c>
      <c r="O22" s="2"/>
    </row>
    <row r="23" spans="2:15" x14ac:dyDescent="0.2">
      <c r="B23" s="1">
        <v>8</v>
      </c>
      <c r="C23" s="5">
        <f ca="1">_xlfn.NORM.S.INV(RAND())</f>
        <v>-1.0390196025733829</v>
      </c>
      <c r="D23" s="5">
        <f ca="1">S0*EXP((μ-0.5*σ*σ)*T+σ*SQRT(T)*$C23)</f>
        <v>0.59980771774458663</v>
      </c>
      <c r="E23" s="5">
        <f ca="1">MAX(0,CP*(D23-K))</f>
        <v>0</v>
      </c>
      <c r="F23" s="4">
        <f ca="1">(CP*(D23-K)&gt;0)*1</f>
        <v>0</v>
      </c>
      <c r="H23" s="4">
        <v>8</v>
      </c>
      <c r="I23" s="3">
        <v>0.66772841119721005</v>
      </c>
      <c r="J23" s="128">
        <v>1.1348498180030427E-3</v>
      </c>
      <c r="K23" s="128"/>
      <c r="L23" s="128">
        <v>3.7400000000000003E-2</v>
      </c>
      <c r="O23" s="2"/>
    </row>
    <row r="24" spans="2:15" x14ac:dyDescent="0.2">
      <c r="B24" s="1">
        <v>9</v>
      </c>
      <c r="C24" s="5">
        <f ca="1">_xlfn.NORM.S.INV(RAND())</f>
        <v>1.7922171077627289</v>
      </c>
      <c r="D24" s="5">
        <f ca="1">S0*EXP((μ-0.5*σ*σ)*T+σ*SQRT(T)*$C24)</f>
        <v>0.79292893080511528</v>
      </c>
      <c r="E24" s="5">
        <f ca="1">MAX(0,CP*(D24-K))</f>
        <v>4.7289308051152723E-3</v>
      </c>
      <c r="F24" s="4">
        <f ca="1">(CP*(D24-K)&gt;0)*1</f>
        <v>1</v>
      </c>
      <c r="H24" s="4">
        <v>9</v>
      </c>
      <c r="I24" s="3">
        <v>0.66763813562322671</v>
      </c>
      <c r="J24" s="128">
        <v>1.2961798732693691E-3</v>
      </c>
      <c r="K24" s="128"/>
      <c r="L24" s="128">
        <v>4.1200000000000001E-2</v>
      </c>
      <c r="O24" s="2"/>
    </row>
    <row r="25" spans="2:15" x14ac:dyDescent="0.2">
      <c r="B25" s="1">
        <v>10</v>
      </c>
      <c r="C25" s="5">
        <f ca="1">_xlfn.NORM.S.INV(RAND())</f>
        <v>0.27911675982508788</v>
      </c>
      <c r="D25" s="5">
        <f ca="1">S0*EXP((μ-0.5*σ*σ)*T+σ*SQRT(T)*$C25)</f>
        <v>0.68304508126561425</v>
      </c>
      <c r="E25" s="5">
        <f ca="1">MAX(0,CP*(D25-K))</f>
        <v>0</v>
      </c>
      <c r="F25" s="4">
        <f ca="1">(CP*(D25-K)&gt;0)*1</f>
        <v>0</v>
      </c>
      <c r="H25" s="4">
        <v>10</v>
      </c>
      <c r="I25" s="3">
        <v>0.66781093064432939</v>
      </c>
      <c r="J25" s="128">
        <v>1.2788119807619692E-3</v>
      </c>
      <c r="K25" s="128"/>
      <c r="L25" s="128">
        <v>4.2200000000000001E-2</v>
      </c>
      <c r="O25" s="2"/>
    </row>
    <row r="26" spans="2:15" x14ac:dyDescent="0.2">
      <c r="B26" s="1">
        <v>11</v>
      </c>
      <c r="C26" s="5">
        <f ca="1">_xlfn.NORM.S.INV(RAND())</f>
        <v>-1.2358474520159428</v>
      </c>
      <c r="D26" s="5">
        <f ca="1">S0*EXP((μ-0.5*σ*σ)*T+σ*SQRT(T)*$C26)</f>
        <v>0.58828079344038475</v>
      </c>
      <c r="E26" s="5">
        <f ca="1">MAX(0,CP*(D26-K))</f>
        <v>0</v>
      </c>
      <c r="F26" s="4">
        <f ca="1">(CP*(D26-K)&gt;0)*1</f>
        <v>0</v>
      </c>
      <c r="H26" s="4">
        <v>11</v>
      </c>
      <c r="I26" s="3">
        <v>0.66765289132737338</v>
      </c>
      <c r="J26" s="128">
        <v>1.2197121605471354E-3</v>
      </c>
      <c r="K26" s="128"/>
      <c r="L26" s="128">
        <v>4.2799999999999998E-2</v>
      </c>
      <c r="O26" s="2"/>
    </row>
    <row r="27" spans="2:15" x14ac:dyDescent="0.2">
      <c r="B27" s="1">
        <v>12</v>
      </c>
      <c r="C27" s="5">
        <f ca="1">_xlfn.NORM.S.INV(RAND())</f>
        <v>-0.90441572240278012</v>
      </c>
      <c r="D27" s="5">
        <f ca="1">S0*EXP((μ-0.5*σ*σ)*T+σ*SQRT(T)*$C27)</f>
        <v>0.60782036705657971</v>
      </c>
      <c r="E27" s="5">
        <f ca="1">MAX(0,CP*(D27-K))</f>
        <v>0</v>
      </c>
      <c r="F27" s="4">
        <f ca="1">(CP*(D27-K)&gt;0)*1</f>
        <v>0</v>
      </c>
      <c r="H27" s="4">
        <v>12</v>
      </c>
      <c r="I27" s="3">
        <v>0.66761195320509159</v>
      </c>
      <c r="J27" s="128">
        <v>1.2150238434415694E-3</v>
      </c>
      <c r="K27" s="128"/>
      <c r="L27" s="128">
        <v>3.6799999999999999E-2</v>
      </c>
      <c r="O27" s="2"/>
    </row>
    <row r="28" spans="2:15" x14ac:dyDescent="0.2">
      <c r="B28" s="1">
        <v>13</v>
      </c>
      <c r="C28" s="5">
        <f ca="1">_xlfn.NORM.S.INV(RAND())</f>
        <v>2.8497429760639417</v>
      </c>
      <c r="D28" s="5">
        <f ca="1">S0*EXP((μ-0.5*σ*σ)*T+σ*SQRT(T)*$C28)</f>
        <v>0.88006203251985438</v>
      </c>
      <c r="E28" s="5">
        <f ca="1">MAX(0,CP*(D28-K))</f>
        <v>9.1862032519854364E-2</v>
      </c>
      <c r="F28" s="4">
        <f ca="1">(CP*(D28-K)&gt;0)*1</f>
        <v>1</v>
      </c>
      <c r="H28" s="4">
        <v>13</v>
      </c>
      <c r="I28" s="3">
        <v>0.66769895163786064</v>
      </c>
      <c r="J28" s="128">
        <v>1.3468195810280921E-3</v>
      </c>
      <c r="K28" s="128"/>
      <c r="L28" s="128">
        <v>3.9399999999999998E-2</v>
      </c>
      <c r="O28" s="2"/>
    </row>
    <row r="29" spans="2:15" x14ac:dyDescent="0.2">
      <c r="B29" s="1">
        <v>14</v>
      </c>
      <c r="C29" s="5">
        <f ca="1">_xlfn.NORM.S.INV(RAND())</f>
        <v>0.49281105191933566</v>
      </c>
      <c r="D29" s="5">
        <f ca="1">S0*EXP((μ-0.5*σ*σ)*T+σ*SQRT(T)*$C29)</f>
        <v>0.69758784033466381</v>
      </c>
      <c r="E29" s="5">
        <f ca="1">MAX(0,CP*(D29-K))</f>
        <v>0</v>
      </c>
      <c r="F29" s="4">
        <f ca="1">(CP*(D29-K)&gt;0)*1</f>
        <v>0</v>
      </c>
      <c r="H29" s="4">
        <v>14</v>
      </c>
      <c r="I29" s="3">
        <v>0.66769045777096903</v>
      </c>
      <c r="J29" s="128">
        <v>1.2544257160645481E-3</v>
      </c>
      <c r="K29" s="128"/>
      <c r="L29" s="128">
        <v>3.7999999999999999E-2</v>
      </c>
      <c r="O29" s="2"/>
    </row>
    <row r="30" spans="2:15" x14ac:dyDescent="0.2">
      <c r="B30" s="1">
        <v>15</v>
      </c>
      <c r="C30" s="5">
        <f ca="1">_xlfn.NORM.S.INV(RAND())</f>
        <v>-1.5361554223202278</v>
      </c>
      <c r="D30" s="5">
        <f ca="1">S0*EXP((μ-0.5*σ*σ)*T+σ*SQRT(T)*$C30)</f>
        <v>0.57111910085634454</v>
      </c>
      <c r="E30" s="5">
        <f ca="1">MAX(0,CP*(D30-K))</f>
        <v>0</v>
      </c>
      <c r="F30" s="4">
        <f ca="1">(CP*(D30-K)&gt;0)*1</f>
        <v>0</v>
      </c>
      <c r="H30" s="4">
        <v>15</v>
      </c>
      <c r="I30" s="3">
        <v>0.66793698717405026</v>
      </c>
      <c r="J30" s="128">
        <v>1.8191913525309072E-3</v>
      </c>
      <c r="K30" s="128"/>
      <c r="L30" s="128">
        <v>4.6600000000000003E-2</v>
      </c>
      <c r="O30" s="2"/>
    </row>
    <row r="31" spans="2:15" x14ac:dyDescent="0.2">
      <c r="B31" s="1">
        <v>16</v>
      </c>
      <c r="C31" s="5">
        <f ca="1">_xlfn.NORM.S.INV(RAND())</f>
        <v>-0.95795559237076477</v>
      </c>
      <c r="D31" s="5">
        <f ca="1">S0*EXP((μ-0.5*σ*σ)*T+σ*SQRT(T)*$C31)</f>
        <v>0.60462052454529913</v>
      </c>
      <c r="E31" s="5">
        <f ca="1">MAX(0,CP*(D31-K))</f>
        <v>0</v>
      </c>
      <c r="F31" s="4">
        <f ca="1">(CP*(D31-K)&gt;0)*1</f>
        <v>0</v>
      </c>
      <c r="H31" s="4">
        <v>16</v>
      </c>
      <c r="I31" s="3">
        <v>0.66779023585957697</v>
      </c>
      <c r="J31" s="128">
        <v>1.5237176017313327E-3</v>
      </c>
      <c r="K31" s="128"/>
      <c r="L31" s="128">
        <v>4.2799999999999998E-2</v>
      </c>
      <c r="O31" s="2"/>
    </row>
    <row r="32" spans="2:15" x14ac:dyDescent="0.2">
      <c r="B32" s="1">
        <v>17</v>
      </c>
      <c r="C32" s="5">
        <f ca="1">_xlfn.NORM.S.INV(RAND())</f>
        <v>-0.91881464916974986</v>
      </c>
      <c r="D32" s="5">
        <f ca="1">S0*EXP((μ-0.5*σ*σ)*T+σ*SQRT(T)*$C32)</f>
        <v>0.6069581455006775</v>
      </c>
      <c r="E32" s="5">
        <f ca="1">MAX(0,CP*(D32-K))</f>
        <v>0</v>
      </c>
      <c r="F32" s="4">
        <f ca="1">(CP*(D32-K)&gt;0)*1</f>
        <v>0</v>
      </c>
      <c r="H32" s="4">
        <v>17</v>
      </c>
      <c r="I32" s="3">
        <v>0.6677135047152799</v>
      </c>
      <c r="J32" s="128">
        <v>1.425063481417581E-3</v>
      </c>
      <c r="K32" s="128"/>
      <c r="L32" s="128">
        <v>4.0399999999999998E-2</v>
      </c>
      <c r="O32" s="2"/>
    </row>
    <row r="33" spans="2:15" x14ac:dyDescent="0.2">
      <c r="B33" s="1">
        <v>18</v>
      </c>
      <c r="C33" s="5">
        <f ca="1">_xlfn.NORM.S.INV(RAND())</f>
        <v>-0.17404256458529641</v>
      </c>
      <c r="D33" s="5">
        <f ca="1">S0*EXP((μ-0.5*σ*σ)*T+σ*SQRT(T)*$C33)</f>
        <v>0.6532010907753486</v>
      </c>
      <c r="E33" s="5">
        <f ca="1">MAX(0,CP*(D33-K))</f>
        <v>0</v>
      </c>
      <c r="F33" s="4">
        <f ca="1">(CP*(D33-K)&gt;0)*1</f>
        <v>0</v>
      </c>
      <c r="H33" s="4">
        <v>18</v>
      </c>
      <c r="I33" s="3">
        <v>0.66760632903960171</v>
      </c>
      <c r="J33" s="128">
        <v>1.2048618051885692E-3</v>
      </c>
      <c r="K33" s="128"/>
      <c r="L33" s="128">
        <v>4.1599999999999998E-2</v>
      </c>
      <c r="O33" s="2"/>
    </row>
    <row r="34" spans="2:15" x14ac:dyDescent="0.2">
      <c r="B34" s="1">
        <v>19</v>
      </c>
      <c r="C34" s="5">
        <f ca="1">_xlfn.NORM.S.INV(RAND())</f>
        <v>-0.6388890829507281</v>
      </c>
      <c r="D34" s="5">
        <f ca="1">S0*EXP((μ-0.5*σ*σ)*T+σ*SQRT(T)*$C34)</f>
        <v>0.62394173394736863</v>
      </c>
      <c r="E34" s="5">
        <f ca="1">MAX(0,CP*(D34-K))</f>
        <v>0</v>
      </c>
      <c r="F34" s="4">
        <f ca="1">(CP*(D34-K)&gt;0)*1</f>
        <v>0</v>
      </c>
      <c r="H34" s="4">
        <v>19</v>
      </c>
      <c r="I34" s="3">
        <v>0.66774347333428308</v>
      </c>
      <c r="J34" s="128">
        <v>1.3896281621132453E-3</v>
      </c>
      <c r="K34" s="128"/>
      <c r="L34" s="128">
        <v>4.1799999999999997E-2</v>
      </c>
      <c r="O34" s="2"/>
    </row>
    <row r="35" spans="2:15" x14ac:dyDescent="0.2">
      <c r="B35" s="1">
        <v>20</v>
      </c>
      <c r="C35" s="5">
        <f ca="1">_xlfn.NORM.S.INV(RAND())</f>
        <v>-0.91331122369530704</v>
      </c>
      <c r="D35" s="5">
        <f ca="1">S0*EXP((μ-0.5*σ*σ)*T+σ*SQRT(T)*$C35)</f>
        <v>0.60728755140334634</v>
      </c>
      <c r="E35" s="5">
        <f ca="1">MAX(0,CP*(D35-K))</f>
        <v>0</v>
      </c>
      <c r="F35" s="4">
        <f ca="1">(CP*(D35-K)&gt;0)*1</f>
        <v>0</v>
      </c>
      <c r="H35" s="4">
        <v>20</v>
      </c>
      <c r="I35" s="3">
        <v>0.66759203806425804</v>
      </c>
      <c r="J35" s="128">
        <v>1.0825768771215384E-3</v>
      </c>
      <c r="K35" s="128"/>
      <c r="L35" s="128">
        <v>3.6600000000000001E-2</v>
      </c>
      <c r="O35" s="2"/>
    </row>
    <row r="36" spans="2:15" x14ac:dyDescent="0.2">
      <c r="B36" s="1">
        <v>21</v>
      </c>
      <c r="C36" s="5">
        <f ca="1">_xlfn.NORM.S.INV(RAND())</f>
        <v>-1.008244517590531</v>
      </c>
      <c r="D36" s="5">
        <f ca="1">S0*EXP((μ-0.5*σ*σ)*T+σ*SQRT(T)*$C36)</f>
        <v>0.60163032053340748</v>
      </c>
      <c r="E36" s="5">
        <f ca="1">MAX(0,CP*(D36-K))</f>
        <v>0</v>
      </c>
      <c r="F36" s="4">
        <f ca="1">(CP*(D36-K)&gt;0)*1</f>
        <v>0</v>
      </c>
      <c r="H36" s="4">
        <v>21</v>
      </c>
      <c r="I36" s="3">
        <v>0.66762162910173894</v>
      </c>
      <c r="J36" s="128">
        <v>1.2117028201892636E-3</v>
      </c>
      <c r="K36" s="128"/>
      <c r="L36" s="128">
        <v>3.9399999999999998E-2</v>
      </c>
      <c r="O36" s="2"/>
    </row>
    <row r="37" spans="2:15" x14ac:dyDescent="0.2">
      <c r="B37" s="1">
        <v>22</v>
      </c>
      <c r="C37" s="5">
        <f ca="1">_xlfn.NORM.S.INV(RAND())</f>
        <v>5.5091463648639816E-2</v>
      </c>
      <c r="D37" s="5">
        <f ca="1">S0*EXP((μ-0.5*σ*σ)*T+σ*SQRT(T)*$C37)</f>
        <v>0.66812466145185767</v>
      </c>
      <c r="E37" s="5">
        <f ca="1">MAX(0,CP*(D37-K))</f>
        <v>0</v>
      </c>
      <c r="F37" s="4">
        <f ca="1">(CP*(D37-K)&gt;0)*1</f>
        <v>0</v>
      </c>
      <c r="H37" s="4">
        <v>22</v>
      </c>
      <c r="I37" s="3">
        <v>0.66768441447225779</v>
      </c>
      <c r="J37" s="128">
        <v>1.3198055258893413E-3</v>
      </c>
      <c r="K37" s="128"/>
      <c r="L37" s="128">
        <v>3.9E-2</v>
      </c>
      <c r="O37" s="2"/>
    </row>
    <row r="38" spans="2:15" x14ac:dyDescent="0.2">
      <c r="B38" s="1">
        <v>23</v>
      </c>
      <c r="C38" s="5">
        <f ca="1">_xlfn.NORM.S.INV(RAND())</f>
        <v>0.48107032081805523</v>
      </c>
      <c r="D38" s="5">
        <f ca="1">S0*EXP((μ-0.5*σ*σ)*T+σ*SQRT(T)*$C38)</f>
        <v>0.69678085722945138</v>
      </c>
      <c r="E38" s="5">
        <f ca="1">MAX(0,CP*(D38-K))</f>
        <v>0</v>
      </c>
      <c r="F38" s="4">
        <f ca="1">(CP*(D38-K)&gt;0)*1</f>
        <v>0</v>
      </c>
      <c r="H38" s="4">
        <v>23</v>
      </c>
      <c r="I38" s="3">
        <v>0.6678312713201503</v>
      </c>
      <c r="J38" s="128">
        <v>1.5493155446673023E-3</v>
      </c>
      <c r="K38" s="128"/>
      <c r="L38" s="128">
        <v>4.2999999999999997E-2</v>
      </c>
      <c r="O38" s="2"/>
    </row>
    <row r="39" spans="2:15" x14ac:dyDescent="0.2">
      <c r="B39" s="1">
        <v>24</v>
      </c>
      <c r="C39" s="5">
        <f ca="1">_xlfn.NORM.S.INV(RAND())</f>
        <v>2.1544773424963495</v>
      </c>
      <c r="D39" s="5">
        <f ca="1">S0*EXP((μ-0.5*σ*σ)*T+σ*SQRT(T)*$C39)</f>
        <v>0.82175961809004394</v>
      </c>
      <c r="E39" s="5">
        <f ca="1">MAX(0,CP*(D39-K))</f>
        <v>3.355961809004393E-2</v>
      </c>
      <c r="F39" s="4">
        <f ca="1">(CP*(D39-K)&gt;0)*1</f>
        <v>1</v>
      </c>
      <c r="H39" s="4">
        <v>24</v>
      </c>
      <c r="I39" s="3">
        <v>0.66764305750019248</v>
      </c>
      <c r="J39" s="128">
        <v>1.2689532968932484E-3</v>
      </c>
      <c r="K39" s="128"/>
      <c r="L39" s="128">
        <v>3.7600000000000001E-2</v>
      </c>
      <c r="O39" s="2"/>
    </row>
    <row r="40" spans="2:15" x14ac:dyDescent="0.2">
      <c r="B40" s="1">
        <v>25</v>
      </c>
      <c r="C40" s="5">
        <f ca="1">_xlfn.NORM.S.INV(RAND())</f>
        <v>-0.48662160385809083</v>
      </c>
      <c r="D40" s="5">
        <f ca="1">S0*EXP((μ-0.5*σ*σ)*T+σ*SQRT(T)*$C40)</f>
        <v>0.63337879431850974</v>
      </c>
      <c r="E40" s="5">
        <f ca="1">MAX(0,CP*(D40-K))</f>
        <v>0</v>
      </c>
      <c r="F40" s="4">
        <f ca="1">(CP*(D40-K)&gt;0)*1</f>
        <v>0</v>
      </c>
      <c r="H40" s="4">
        <v>25</v>
      </c>
      <c r="I40" s="3">
        <v>0.6677274534585409</v>
      </c>
      <c r="J40" s="128">
        <v>1.325262448311632E-3</v>
      </c>
      <c r="K40" s="128"/>
      <c r="L40" s="128">
        <v>3.9E-2</v>
      </c>
      <c r="O40" s="2"/>
    </row>
    <row r="41" spans="2:15" x14ac:dyDescent="0.2">
      <c r="B41" s="1">
        <v>26</v>
      </c>
      <c r="C41" s="5">
        <f ca="1">_xlfn.NORM.S.INV(RAND())</f>
        <v>-0.10062225794914115</v>
      </c>
      <c r="D41" s="5">
        <f ca="1">S0*EXP((μ-0.5*σ*σ)*T+σ*SQRT(T)*$C41)</f>
        <v>0.65794632381509721</v>
      </c>
      <c r="E41" s="5">
        <f ca="1">MAX(0,CP*(D41-K))</f>
        <v>0</v>
      </c>
      <c r="F41" s="4">
        <f ca="1">(CP*(D41-K)&gt;0)*1</f>
        <v>0</v>
      </c>
      <c r="H41" s="4">
        <v>26</v>
      </c>
      <c r="I41" s="3">
        <v>0.66769806019296229</v>
      </c>
      <c r="J41" s="128">
        <v>1.3494856072840018E-3</v>
      </c>
      <c r="K41" s="128"/>
      <c r="L41" s="128">
        <v>0.04</v>
      </c>
      <c r="O41" s="2"/>
    </row>
    <row r="42" spans="2:15" x14ac:dyDescent="0.2">
      <c r="B42" s="1">
        <v>27</v>
      </c>
      <c r="C42" s="5">
        <f ca="1">_xlfn.NORM.S.INV(RAND())</f>
        <v>1.317746903907925</v>
      </c>
      <c r="D42" s="5">
        <f ca="1">S0*EXP((μ-0.5*σ*σ)*T+σ*SQRT(T)*$C42)</f>
        <v>0.75669236219420033</v>
      </c>
      <c r="E42" s="5">
        <f ca="1">MAX(0,CP*(D42-K))</f>
        <v>0</v>
      </c>
      <c r="F42" s="4">
        <f ca="1">(CP*(D42-K)&gt;0)*1</f>
        <v>0</v>
      </c>
      <c r="H42" s="4">
        <v>27</v>
      </c>
      <c r="I42" s="3">
        <v>0.66767037851269495</v>
      </c>
      <c r="J42" s="128">
        <v>1.2176671244033862E-3</v>
      </c>
      <c r="K42" s="128"/>
      <c r="L42" s="128">
        <v>4.1599999999999998E-2</v>
      </c>
      <c r="O42" s="2"/>
    </row>
    <row r="43" spans="2:15" x14ac:dyDescent="0.2">
      <c r="B43" s="1">
        <v>28</v>
      </c>
      <c r="C43" s="5">
        <f ca="1">_xlfn.NORM.S.INV(RAND())</f>
        <v>0.21572519258755857</v>
      </c>
      <c r="D43" s="5">
        <f ca="1">S0*EXP((μ-0.5*σ*σ)*T+σ*SQRT(T)*$C43)</f>
        <v>0.67878962434760082</v>
      </c>
      <c r="E43" s="5">
        <f ca="1">MAX(0,CP*(D43-K))</f>
        <v>0</v>
      </c>
      <c r="F43" s="4">
        <f ca="1">(CP*(D43-K)&gt;0)*1</f>
        <v>0</v>
      </c>
      <c r="H43" s="4">
        <v>28</v>
      </c>
      <c r="I43" s="3">
        <v>0.66755531800206613</v>
      </c>
      <c r="J43" s="128">
        <v>1.3012254915534779E-3</v>
      </c>
      <c r="K43" s="128"/>
      <c r="L43" s="128">
        <v>3.8600000000000002E-2</v>
      </c>
      <c r="O43" s="2"/>
    </row>
    <row r="44" spans="2:15" x14ac:dyDescent="0.2">
      <c r="B44" s="1">
        <v>29</v>
      </c>
      <c r="C44" s="5">
        <f ca="1">_xlfn.NORM.S.INV(RAND())</f>
        <v>0.66914640945350889</v>
      </c>
      <c r="D44" s="5">
        <f ca="1">S0*EXP((μ-0.5*σ*σ)*T+σ*SQRT(T)*$C44)</f>
        <v>0.70982105173308785</v>
      </c>
      <c r="E44" s="5">
        <f ca="1">MAX(0,CP*(D44-K))</f>
        <v>0</v>
      </c>
      <c r="F44" s="4">
        <f ca="1">(CP*(D44-K)&gt;0)*1</f>
        <v>0</v>
      </c>
      <c r="H44" s="4">
        <v>29</v>
      </c>
      <c r="I44" s="3">
        <v>0.66773476626441564</v>
      </c>
      <c r="J44" s="128">
        <v>1.2910985302314231E-3</v>
      </c>
      <c r="K44" s="128"/>
      <c r="L44" s="128">
        <v>4.5199999999999997E-2</v>
      </c>
      <c r="O44" s="2"/>
    </row>
    <row r="45" spans="2:15" x14ac:dyDescent="0.2">
      <c r="B45" s="1">
        <v>30</v>
      </c>
      <c r="C45" s="5">
        <f ca="1">_xlfn.NORM.S.INV(RAND())</f>
        <v>0.47225189716845944</v>
      </c>
      <c r="D45" s="5">
        <f ca="1">S0*EXP((μ-0.5*σ*σ)*T+σ*SQRT(T)*$C45)</f>
        <v>0.69617534890342625</v>
      </c>
      <c r="E45" s="5">
        <f ca="1">MAX(0,CP*(D45-K))</f>
        <v>0</v>
      </c>
      <c r="F45" s="4">
        <f ca="1">(CP*(D45-K)&gt;0)*1</f>
        <v>0</v>
      </c>
      <c r="H45" s="4">
        <v>30</v>
      </c>
      <c r="I45" s="3">
        <v>0.66782407790937681</v>
      </c>
      <c r="J45" s="128">
        <v>1.4941937100625116E-3</v>
      </c>
      <c r="K45" s="128"/>
      <c r="L45" s="128">
        <v>4.58E-2</v>
      </c>
      <c r="O45" s="2"/>
    </row>
    <row r="46" spans="2:15" x14ac:dyDescent="0.2">
      <c r="B46" s="1">
        <v>31</v>
      </c>
      <c r="C46" s="5">
        <f ca="1">_xlfn.NORM.S.INV(RAND())</f>
        <v>-0.88191116665840086</v>
      </c>
      <c r="D46" s="5">
        <f ca="1">S0*EXP((μ-0.5*σ*σ)*T+σ*SQRT(T)*$C46)</f>
        <v>0.60917041527369842</v>
      </c>
      <c r="E46" s="5">
        <f ca="1">MAX(0,CP*(D46-K))</f>
        <v>0</v>
      </c>
      <c r="F46" s="4">
        <f ca="1">(CP*(D46-K)&gt;0)*1</f>
        <v>0</v>
      </c>
      <c r="H46" s="4">
        <v>31</v>
      </c>
      <c r="I46" s="3">
        <v>0.66764722293976131</v>
      </c>
      <c r="J46" s="128">
        <v>1.2733054179115755E-3</v>
      </c>
      <c r="K46" s="128"/>
      <c r="L46" s="128">
        <v>0.04</v>
      </c>
      <c r="O46" s="2"/>
    </row>
    <row r="47" spans="2:15" x14ac:dyDescent="0.2">
      <c r="B47" s="1">
        <v>32</v>
      </c>
      <c r="C47" s="5">
        <f ca="1">_xlfn.NORM.S.INV(RAND())</f>
        <v>2.82407170880405E-2</v>
      </c>
      <c r="D47" s="5">
        <f ca="1">S0*EXP((μ-0.5*σ*σ)*T+σ*SQRT(T)*$C47)</f>
        <v>0.66635837598921532</v>
      </c>
      <c r="E47" s="5">
        <f ca="1">MAX(0,CP*(D47-K))</f>
        <v>0</v>
      </c>
      <c r="F47" s="4">
        <f ca="1">(CP*(D47-K)&gt;0)*1</f>
        <v>0</v>
      </c>
      <c r="H47" s="4">
        <v>32</v>
      </c>
      <c r="I47" s="3">
        <v>0.66783126400798498</v>
      </c>
      <c r="J47" s="128">
        <v>1.4953833184332601E-3</v>
      </c>
      <c r="K47" s="128"/>
      <c r="L47" s="128">
        <v>4.58E-2</v>
      </c>
      <c r="O47" s="2"/>
    </row>
    <row r="48" spans="2:15" x14ac:dyDescent="0.2">
      <c r="B48" s="1">
        <v>33</v>
      </c>
      <c r="C48" s="5">
        <f ca="1">_xlfn.NORM.S.INV(RAND())</f>
        <v>0.30580444591684935</v>
      </c>
      <c r="D48" s="5">
        <f ca="1">S0*EXP((μ-0.5*σ*σ)*T+σ*SQRT(T)*$C48)</f>
        <v>0.68484458795186764</v>
      </c>
      <c r="E48" s="5">
        <f ca="1">MAX(0,CP*(D48-K))</f>
        <v>0</v>
      </c>
      <c r="F48" s="4">
        <f ca="1">(CP*(D48-K)&gt;0)*1</f>
        <v>0</v>
      </c>
      <c r="H48" s="4">
        <v>33</v>
      </c>
      <c r="I48" s="3">
        <v>0.66773556619407881</v>
      </c>
      <c r="J48" s="128">
        <v>1.2980282762668739E-3</v>
      </c>
      <c r="K48" s="128"/>
      <c r="L48" s="128">
        <v>4.0800000000000003E-2</v>
      </c>
      <c r="O48" s="2"/>
    </row>
    <row r="49" spans="2:15" x14ac:dyDescent="0.2">
      <c r="B49" s="1">
        <v>34</v>
      </c>
      <c r="C49" s="5">
        <f ca="1">_xlfn.NORM.S.INV(RAND())</f>
        <v>-1.8575445287739465</v>
      </c>
      <c r="D49" s="5">
        <f ca="1">S0*EXP((μ-0.5*σ*σ)*T+σ*SQRT(T)*$C49)</f>
        <v>0.55330690640515745</v>
      </c>
      <c r="E49" s="5">
        <f ca="1">MAX(0,CP*(D49-K))</f>
        <v>0</v>
      </c>
      <c r="F49" s="4">
        <f ca="1">(CP*(D49-K)&gt;0)*1</f>
        <v>0</v>
      </c>
      <c r="H49" s="4">
        <v>34</v>
      </c>
      <c r="I49" s="3">
        <v>0.66776445901534121</v>
      </c>
      <c r="J49" s="128">
        <v>1.1842966691107603E-3</v>
      </c>
      <c r="K49" s="128"/>
      <c r="L49" s="128">
        <v>4.0599999999999997E-2</v>
      </c>
      <c r="O49" s="2"/>
    </row>
    <row r="50" spans="2:15" x14ac:dyDescent="0.2">
      <c r="B50" s="1">
        <v>35</v>
      </c>
      <c r="C50" s="5">
        <f ca="1">_xlfn.NORM.S.INV(RAND())</f>
        <v>1.2489566216315569</v>
      </c>
      <c r="D50" s="5">
        <f ca="1">S0*EXP((μ-0.5*σ*σ)*T+σ*SQRT(T)*$C50)</f>
        <v>0.75157794286732971</v>
      </c>
      <c r="E50" s="5">
        <f ca="1">MAX(0,CP*(D50-K))</f>
        <v>0</v>
      </c>
      <c r="F50" s="4">
        <f ca="1">(CP*(D50-K)&gt;0)*1</f>
        <v>0</v>
      </c>
      <c r="H50" s="4">
        <v>35</v>
      </c>
      <c r="I50" s="3">
        <v>0.66780903813997206</v>
      </c>
      <c r="J50" s="128">
        <v>1.3228893038612867E-3</v>
      </c>
      <c r="K50" s="128"/>
      <c r="L50" s="128">
        <v>4.3999999999999997E-2</v>
      </c>
      <c r="O50" s="2"/>
    </row>
    <row r="51" spans="2:15" x14ac:dyDescent="0.2">
      <c r="B51" s="1">
        <v>36</v>
      </c>
      <c r="C51" s="5">
        <f ca="1">_xlfn.NORM.S.INV(RAND())</f>
        <v>-3.0210479168451805</v>
      </c>
      <c r="D51" s="5">
        <f ca="1">S0*EXP((μ-0.5*σ*σ)*T+σ*SQRT(T)*$C51)</f>
        <v>0.49334364355317323</v>
      </c>
      <c r="E51" s="5">
        <f ca="1">MAX(0,CP*(D51-K))</f>
        <v>0</v>
      </c>
      <c r="F51" s="4">
        <f ca="1">(CP*(D51-K)&gt;0)*1</f>
        <v>0</v>
      </c>
      <c r="H51" s="4">
        <v>36</v>
      </c>
      <c r="I51" s="3">
        <v>0.66763752335084059</v>
      </c>
      <c r="J51" s="128">
        <v>1.1192081188542873E-3</v>
      </c>
      <c r="K51" s="128"/>
      <c r="L51" s="128">
        <v>3.8399999999999997E-2</v>
      </c>
      <c r="O51" s="2"/>
    </row>
    <row r="52" spans="2:15" x14ac:dyDescent="0.2">
      <c r="B52" s="1">
        <v>37</v>
      </c>
      <c r="C52" s="5">
        <f ca="1">_xlfn.NORM.S.INV(RAND())</f>
        <v>-0.20800539196048201</v>
      </c>
      <c r="D52" s="5">
        <f ca="1">S0*EXP((μ-0.5*σ*σ)*T+σ*SQRT(T)*$C52)</f>
        <v>0.65101762903551441</v>
      </c>
      <c r="E52" s="5">
        <f ca="1">MAX(0,CP*(D52-K))</f>
        <v>0</v>
      </c>
      <c r="F52" s="4">
        <f ca="1">(CP*(D52-K)&gt;0)*1</f>
        <v>0</v>
      </c>
      <c r="H52" s="4">
        <v>37</v>
      </c>
      <c r="I52" s="3">
        <v>0.66795864991725717</v>
      </c>
      <c r="J52" s="128">
        <v>1.5772729750677915E-3</v>
      </c>
      <c r="K52" s="128"/>
      <c r="L52" s="128">
        <v>4.9000000000000002E-2</v>
      </c>
      <c r="O52" s="2"/>
    </row>
    <row r="53" spans="2:15" x14ac:dyDescent="0.2">
      <c r="B53" s="1">
        <v>38</v>
      </c>
      <c r="C53" s="5">
        <f ca="1">_xlfn.NORM.S.INV(RAND())</f>
        <v>0.82675643050953995</v>
      </c>
      <c r="D53" s="5">
        <f ca="1">S0*EXP((μ-0.5*σ*σ)*T+σ*SQRT(T)*$C53)</f>
        <v>0.72093665165128828</v>
      </c>
      <c r="E53" s="5">
        <f ca="1">MAX(0,CP*(D53-K))</f>
        <v>0</v>
      </c>
      <c r="F53" s="4">
        <f ca="1">(CP*(D53-K)&gt;0)*1</f>
        <v>0</v>
      </c>
      <c r="H53" s="4">
        <v>38</v>
      </c>
      <c r="I53" s="3">
        <v>0.66779258700616995</v>
      </c>
      <c r="J53" s="128">
        <v>1.5008854151528723E-3</v>
      </c>
      <c r="K53" s="128"/>
      <c r="L53" s="128">
        <v>4.2799999999999998E-2</v>
      </c>
      <c r="O53" s="2"/>
    </row>
    <row r="54" spans="2:15" x14ac:dyDescent="0.2">
      <c r="B54" s="1">
        <v>39</v>
      </c>
      <c r="C54" s="5">
        <f ca="1">_xlfn.NORM.S.INV(RAND())</f>
        <v>1.0628532195580702</v>
      </c>
      <c r="D54" s="5">
        <f ca="1">S0*EXP((μ-0.5*σ*σ)*T+σ*SQRT(T)*$C54)</f>
        <v>0.73791412547441193</v>
      </c>
      <c r="E54" s="5">
        <f ca="1">MAX(0,CP*(D54-K))</f>
        <v>0</v>
      </c>
      <c r="F54" s="4">
        <f ca="1">(CP*(D54-K)&gt;0)*1</f>
        <v>0</v>
      </c>
      <c r="H54" s="4">
        <v>39</v>
      </c>
      <c r="I54" s="3">
        <v>0.66770295341341357</v>
      </c>
      <c r="J54" s="128">
        <v>1.2898564797135009E-3</v>
      </c>
      <c r="K54" s="128"/>
      <c r="L54" s="128">
        <v>4.3799999999999999E-2</v>
      </c>
      <c r="O54" s="2"/>
    </row>
    <row r="55" spans="2:15" x14ac:dyDescent="0.2">
      <c r="B55" s="1">
        <v>40</v>
      </c>
      <c r="C55" s="5">
        <f ca="1">_xlfn.NORM.S.INV(RAND())</f>
        <v>-0.54006325175176295</v>
      </c>
      <c r="D55" s="5">
        <f ca="1">S0*EXP((μ-0.5*σ*σ)*T+σ*SQRT(T)*$C55)</f>
        <v>0.63005050167927845</v>
      </c>
      <c r="E55" s="5">
        <f ca="1">MAX(0,CP*(D55-K))</f>
        <v>0</v>
      </c>
      <c r="F55" s="4">
        <f ca="1">(CP*(D55-K)&gt;0)*1</f>
        <v>0</v>
      </c>
      <c r="H55" s="4">
        <v>40</v>
      </c>
      <c r="I55" s="3">
        <v>0.6677561602865244</v>
      </c>
      <c r="J55" s="128">
        <v>1.4170192411602247E-3</v>
      </c>
      <c r="K55" s="128"/>
      <c r="L55" s="128">
        <v>4.1799999999999997E-2</v>
      </c>
      <c r="O55" s="2"/>
    </row>
    <row r="56" spans="2:15" x14ac:dyDescent="0.2">
      <c r="B56" s="1">
        <v>41</v>
      </c>
      <c r="C56" s="5">
        <f ca="1">_xlfn.NORM.S.INV(RAND())</f>
        <v>3.4430598812903966E-2</v>
      </c>
      <c r="D56" s="5">
        <f ca="1">S0*EXP((μ-0.5*σ*σ)*T+σ*SQRT(T)*$C56)</f>
        <v>0.66676514180868274</v>
      </c>
      <c r="E56" s="5">
        <f ca="1">MAX(0,CP*(D56-K))</f>
        <v>0</v>
      </c>
      <c r="F56" s="4">
        <f ca="1">(CP*(D56-K)&gt;0)*1</f>
        <v>0</v>
      </c>
      <c r="H56" s="4">
        <v>41</v>
      </c>
      <c r="I56" s="3">
        <v>0.66760677311671257</v>
      </c>
      <c r="J56" s="128">
        <v>1.1810740869666364E-3</v>
      </c>
      <c r="K56" s="128"/>
      <c r="L56" s="128">
        <v>3.7600000000000001E-2</v>
      </c>
      <c r="O56" s="2"/>
    </row>
    <row r="57" spans="2:15" x14ac:dyDescent="0.2">
      <c r="B57" s="1">
        <v>42</v>
      </c>
      <c r="C57" s="5">
        <f ca="1">_xlfn.NORM.S.INV(RAND())</f>
        <v>-0.75416775905443767</v>
      </c>
      <c r="D57" s="5">
        <f ca="1">S0*EXP((μ-0.5*σ*σ)*T+σ*SQRT(T)*$C57)</f>
        <v>0.61689075873287369</v>
      </c>
      <c r="E57" s="5">
        <f ca="1">MAX(0,CP*(D57-K))</f>
        <v>0</v>
      </c>
      <c r="F57" s="4">
        <f ca="1">(CP*(D57-K)&gt;0)*1</f>
        <v>0</v>
      </c>
      <c r="H57" s="4">
        <v>42</v>
      </c>
      <c r="I57" s="3">
        <v>0.66786591053610578</v>
      </c>
      <c r="J57" s="128">
        <v>1.4912756700327136E-3</v>
      </c>
      <c r="K57" s="128"/>
      <c r="L57" s="128">
        <v>4.2799999999999998E-2</v>
      </c>
      <c r="O57" s="2"/>
    </row>
    <row r="58" spans="2:15" x14ac:dyDescent="0.2">
      <c r="B58" s="1">
        <v>43</v>
      </c>
      <c r="C58" s="5">
        <f ca="1">_xlfn.NORM.S.INV(RAND())</f>
        <v>1.0253226804756614</v>
      </c>
      <c r="D58" s="5">
        <f ca="1">S0*EXP((μ-0.5*σ*σ)*T+σ*SQRT(T)*$C58)</f>
        <v>0.73518885794941358</v>
      </c>
      <c r="E58" s="5">
        <f ca="1">MAX(0,CP*(D58-K))</f>
        <v>0</v>
      </c>
      <c r="F58" s="4">
        <f ca="1">(CP*(D58-K)&gt;0)*1</f>
        <v>0</v>
      </c>
      <c r="H58" s="4">
        <v>43</v>
      </c>
      <c r="I58" s="3">
        <v>0.66784848053306234</v>
      </c>
      <c r="J58" s="128">
        <v>1.3490472305212639E-3</v>
      </c>
      <c r="K58" s="128"/>
      <c r="L58" s="128">
        <v>4.3799999999999999E-2</v>
      </c>
      <c r="O58" s="2"/>
    </row>
    <row r="59" spans="2:15" x14ac:dyDescent="0.2">
      <c r="B59" s="1">
        <v>44</v>
      </c>
      <c r="C59" s="5">
        <f ca="1">_xlfn.NORM.S.INV(RAND())</f>
        <v>-4.1529755584930959E-2</v>
      </c>
      <c r="D59" s="5">
        <f ca="1">S0*EXP((μ-0.5*σ*σ)*T+σ*SQRT(T)*$C59)</f>
        <v>0.66179056150891347</v>
      </c>
      <c r="E59" s="5">
        <f ca="1">MAX(0,CP*(D59-K))</f>
        <v>0</v>
      </c>
      <c r="F59" s="4">
        <f ca="1">(CP*(D59-K)&gt;0)*1</f>
        <v>0</v>
      </c>
      <c r="H59" s="4">
        <v>44</v>
      </c>
      <c r="I59" s="3">
        <v>0.66791413610693129</v>
      </c>
      <c r="J59" s="128">
        <v>1.4771048326435918E-3</v>
      </c>
      <c r="K59" s="128"/>
      <c r="L59" s="128">
        <v>4.8000000000000001E-2</v>
      </c>
      <c r="O59" s="2"/>
    </row>
    <row r="60" spans="2:15" x14ac:dyDescent="0.2">
      <c r="B60" s="1">
        <v>45</v>
      </c>
      <c r="C60" s="5">
        <f ca="1">_xlfn.NORM.S.INV(RAND())</f>
        <v>1.5380517217320529E-2</v>
      </c>
      <c r="D60" s="5">
        <f ca="1">S0*EXP((μ-0.5*σ*σ)*T+σ*SQRT(T)*$C60)</f>
        <v>0.66551406582421113</v>
      </c>
      <c r="E60" s="5">
        <f ca="1">MAX(0,CP*(D60-K))</f>
        <v>0</v>
      </c>
      <c r="F60" s="4">
        <f ca="1">(CP*(D60-K)&gt;0)*1</f>
        <v>0</v>
      </c>
      <c r="H60" s="4">
        <v>45</v>
      </c>
      <c r="I60" s="3">
        <v>0.66776072147155852</v>
      </c>
      <c r="J60" s="128">
        <v>1.4000103188757198E-3</v>
      </c>
      <c r="K60" s="128"/>
      <c r="L60" s="128">
        <v>4.1399999999999999E-2</v>
      </c>
      <c r="O60" s="2"/>
    </row>
    <row r="61" spans="2:15" x14ac:dyDescent="0.2">
      <c r="B61" s="1">
        <v>46</v>
      </c>
      <c r="C61" s="5">
        <f ca="1">_xlfn.NORM.S.INV(RAND())</f>
        <v>-0.94530395657590272</v>
      </c>
      <c r="D61" s="5">
        <f ca="1">S0*EXP((μ-0.5*σ*σ)*T+σ*SQRT(T)*$C61)</f>
        <v>0.6053751338603286</v>
      </c>
      <c r="E61" s="5">
        <f ca="1">MAX(0,CP*(D61-K))</f>
        <v>0</v>
      </c>
      <c r="F61" s="4">
        <f ca="1">(CP*(D61-K)&gt;0)*1</f>
        <v>0</v>
      </c>
      <c r="H61" s="4">
        <v>46</v>
      </c>
      <c r="I61" s="3">
        <v>0.66764480312051055</v>
      </c>
      <c r="J61" s="128">
        <v>1.172136339226665E-3</v>
      </c>
      <c r="K61" s="128"/>
      <c r="L61" s="128">
        <v>3.5400000000000001E-2</v>
      </c>
      <c r="O61" s="2"/>
    </row>
    <row r="62" spans="2:15" x14ac:dyDescent="0.2">
      <c r="B62" s="1">
        <v>47</v>
      </c>
      <c r="C62" s="5">
        <f ca="1">_xlfn.NORM.S.INV(RAND())</f>
        <v>-0.98825811275778086</v>
      </c>
      <c r="D62" s="5">
        <f ca="1">S0*EXP((μ-0.5*σ*σ)*T+σ*SQRT(T)*$C62)</f>
        <v>0.60281694706674849</v>
      </c>
      <c r="E62" s="5">
        <f ca="1">MAX(0,CP*(D62-K))</f>
        <v>0</v>
      </c>
      <c r="F62" s="4">
        <f ca="1">(CP*(D62-K)&gt;0)*1</f>
        <v>0</v>
      </c>
      <c r="H62" s="4">
        <v>47</v>
      </c>
      <c r="I62" s="3">
        <v>0.66760528595124602</v>
      </c>
      <c r="J62" s="128">
        <v>1.2518547098446919E-3</v>
      </c>
      <c r="K62" s="128"/>
      <c r="L62" s="128">
        <v>4.1799999999999997E-2</v>
      </c>
      <c r="O62" s="2"/>
    </row>
    <row r="63" spans="2:15" x14ac:dyDescent="0.2">
      <c r="B63" s="1">
        <v>48</v>
      </c>
      <c r="C63" s="5">
        <f ca="1">_xlfn.NORM.S.INV(RAND())</f>
        <v>-0.43553467622410164</v>
      </c>
      <c r="D63" s="5">
        <f ca="1">S0*EXP((μ-0.5*σ*σ)*T+σ*SQRT(T)*$C63)</f>
        <v>0.63657687305888122</v>
      </c>
      <c r="E63" s="5">
        <f ca="1">MAX(0,CP*(D63-K))</f>
        <v>0</v>
      </c>
      <c r="F63" s="4">
        <f ca="1">(CP*(D63-K)&gt;0)*1</f>
        <v>0</v>
      </c>
      <c r="H63" s="4">
        <v>48</v>
      </c>
      <c r="I63" s="3">
        <v>0.66756170512284563</v>
      </c>
      <c r="J63" s="128">
        <v>1.1571290078466229E-3</v>
      </c>
      <c r="K63" s="128"/>
      <c r="L63" s="128">
        <v>3.3599999999999998E-2</v>
      </c>
      <c r="O63" s="2"/>
    </row>
    <row r="64" spans="2:15" x14ac:dyDescent="0.2">
      <c r="B64" s="1">
        <v>49</v>
      </c>
      <c r="C64" s="5">
        <f ca="1">_xlfn.NORM.S.INV(RAND())</f>
        <v>-0.23594250102454115</v>
      </c>
      <c r="D64" s="5">
        <f ca="1">S0*EXP((μ-0.5*σ*σ)*T+σ*SQRT(T)*$C64)</f>
        <v>0.64922703145804395</v>
      </c>
      <c r="E64" s="5">
        <f ca="1">MAX(0,CP*(D64-K))</f>
        <v>0</v>
      </c>
      <c r="F64" s="4">
        <f ca="1">(CP*(D64-K)&gt;0)*1</f>
        <v>0</v>
      </c>
      <c r="H64" s="4">
        <v>49</v>
      </c>
      <c r="I64" s="3">
        <v>0.66769977589876139</v>
      </c>
      <c r="J64" s="128">
        <v>1.2462311491523645E-3</v>
      </c>
      <c r="K64" s="128"/>
      <c r="L64" s="128">
        <v>0.04</v>
      </c>
      <c r="O64" s="2"/>
    </row>
    <row r="65" spans="2:15" x14ac:dyDescent="0.2">
      <c r="B65" s="1">
        <v>50</v>
      </c>
      <c r="C65" s="5">
        <f ca="1">_xlfn.NORM.S.INV(RAND())</f>
        <v>0.32490895877595954</v>
      </c>
      <c r="D65" s="5">
        <f ca="1">S0*EXP((μ-0.5*σ*σ)*T+σ*SQRT(T)*$C65)</f>
        <v>0.68613568464971098</v>
      </c>
      <c r="E65" s="5">
        <f ca="1">MAX(0,CP*(D65-K))</f>
        <v>0</v>
      </c>
      <c r="F65" s="4">
        <f ca="1">(CP*(D65-K)&gt;0)*1</f>
        <v>0</v>
      </c>
      <c r="H65" s="4">
        <v>50</v>
      </c>
      <c r="I65" s="3">
        <v>0.66776294263430869</v>
      </c>
      <c r="J65" s="128">
        <v>1.4084437160357545E-3</v>
      </c>
      <c r="K65" s="128"/>
      <c r="L65" s="128">
        <v>4.4200000000000003E-2</v>
      </c>
      <c r="O65" s="2"/>
    </row>
    <row r="66" spans="2:15" x14ac:dyDescent="0.2">
      <c r="B66" s="1">
        <v>51</v>
      </c>
      <c r="C66" s="5">
        <f ca="1">_xlfn.NORM.S.INV(RAND())</f>
        <v>-2.3291897029918069</v>
      </c>
      <c r="D66" s="5">
        <f ca="1">S0*EXP((μ-0.5*σ*σ)*T+σ*SQRT(T)*$C66)</f>
        <v>0.52816805956428725</v>
      </c>
      <c r="E66" s="5">
        <f ca="1">MAX(0,CP*(D66-K))</f>
        <v>0</v>
      </c>
      <c r="F66" s="4">
        <f ca="1">(CP*(D66-K)&gt;0)*1</f>
        <v>0</v>
      </c>
      <c r="H66" s="4">
        <v>51</v>
      </c>
      <c r="I66" s="3">
        <v>0.66778632523173664</v>
      </c>
      <c r="J66" s="128">
        <v>1.4052712338555374E-3</v>
      </c>
      <c r="K66" s="128"/>
      <c r="L66" s="128">
        <v>4.48E-2</v>
      </c>
      <c r="O66" s="2"/>
    </row>
    <row r="67" spans="2:15" x14ac:dyDescent="0.2">
      <c r="B67" s="1">
        <v>52</v>
      </c>
      <c r="C67" s="5">
        <f ca="1">_xlfn.NORM.S.INV(RAND())</f>
        <v>-1.5342809660066299</v>
      </c>
      <c r="D67" s="5">
        <f ca="1">S0*EXP((μ-0.5*σ*σ)*T+σ*SQRT(T)*$C67)</f>
        <v>0.57122465222228136</v>
      </c>
      <c r="E67" s="5">
        <f ca="1">MAX(0,CP*(D67-K))</f>
        <v>0</v>
      </c>
      <c r="F67" s="4">
        <f ca="1">(CP*(D67-K)&gt;0)*1</f>
        <v>0</v>
      </c>
      <c r="H67" s="4">
        <v>52</v>
      </c>
      <c r="I67" s="3">
        <v>0.66767032433618445</v>
      </c>
      <c r="J67" s="128">
        <v>1.3155273947308298E-3</v>
      </c>
      <c r="K67" s="128"/>
      <c r="L67" s="128">
        <v>3.8800000000000001E-2</v>
      </c>
      <c r="O67" s="2"/>
    </row>
    <row r="68" spans="2:15" x14ac:dyDescent="0.2">
      <c r="B68" s="1">
        <v>53</v>
      </c>
      <c r="C68" s="5">
        <f ca="1">_xlfn.NORM.S.INV(RAND())</f>
        <v>-1.0838470551204542</v>
      </c>
      <c r="D68" s="5">
        <f ca="1">S0*EXP((μ-0.5*σ*σ)*T+σ*SQRT(T)*$C68)</f>
        <v>0.59716276134696489</v>
      </c>
      <c r="E68" s="5">
        <f ca="1">MAX(0,CP*(D68-K))</f>
        <v>0</v>
      </c>
      <c r="F68" s="4">
        <f ca="1">(CP*(D68-K)&gt;0)*1</f>
        <v>0</v>
      </c>
      <c r="H68" s="4">
        <v>53</v>
      </c>
      <c r="I68" s="3">
        <v>0.66785737562064251</v>
      </c>
      <c r="J68" s="128">
        <v>1.5570893771510426E-3</v>
      </c>
      <c r="K68" s="128"/>
      <c r="L68" s="128">
        <v>4.7199999999999999E-2</v>
      </c>
      <c r="O68" s="2"/>
    </row>
    <row r="69" spans="2:15" x14ac:dyDescent="0.2">
      <c r="B69" s="1">
        <v>54</v>
      </c>
      <c r="C69" s="5">
        <f ca="1">_xlfn.NORM.S.INV(RAND())</f>
        <v>0.65416667612754864</v>
      </c>
      <c r="D69" s="5">
        <f ca="1">S0*EXP((μ-0.5*σ*σ)*T+σ*SQRT(T)*$C69)</f>
        <v>0.70877355173382972</v>
      </c>
      <c r="E69" s="5">
        <f ca="1">MAX(0,CP*(D69-K))</f>
        <v>0</v>
      </c>
      <c r="F69" s="4">
        <f ca="1">(CP*(D69-K)&gt;0)*1</f>
        <v>0</v>
      </c>
      <c r="H69" s="4">
        <v>54</v>
      </c>
      <c r="I69" s="3">
        <v>0.66773477000908144</v>
      </c>
      <c r="J69" s="128">
        <v>1.290941733744048E-3</v>
      </c>
      <c r="K69" s="128"/>
      <c r="L69" s="128">
        <v>4.1000000000000002E-2</v>
      </c>
      <c r="O69" s="2"/>
    </row>
    <row r="70" spans="2:15" x14ac:dyDescent="0.2">
      <c r="B70" s="1">
        <v>55</v>
      </c>
      <c r="C70" s="5">
        <f ca="1">_xlfn.NORM.S.INV(RAND())</f>
        <v>0.80551394830604373</v>
      </c>
      <c r="D70" s="5">
        <f ca="1">S0*EXP((μ-0.5*σ*σ)*T+σ*SQRT(T)*$C70)</f>
        <v>0.71942841528169243</v>
      </c>
      <c r="E70" s="5">
        <f ca="1">MAX(0,CP*(D70-K))</f>
        <v>0</v>
      </c>
      <c r="F70" s="4">
        <f ca="1">(CP*(D70-K)&gt;0)*1</f>
        <v>0</v>
      </c>
      <c r="H70" s="4">
        <v>55</v>
      </c>
      <c r="I70" s="3">
        <v>0.66774821719211164</v>
      </c>
      <c r="J70" s="128">
        <v>1.3806555461859369E-3</v>
      </c>
      <c r="K70" s="128"/>
      <c r="L70" s="128">
        <v>4.24E-2</v>
      </c>
      <c r="O70" s="2"/>
    </row>
    <row r="71" spans="2:15" x14ac:dyDescent="0.2">
      <c r="B71" s="1">
        <v>56</v>
      </c>
      <c r="C71" s="5">
        <f ca="1">_xlfn.NORM.S.INV(RAND())</f>
        <v>9.6004825149609466E-2</v>
      </c>
      <c r="D71" s="5">
        <f ca="1">S0*EXP((μ-0.5*σ*σ)*T+σ*SQRT(T)*$C71)</f>
        <v>0.67082501453494014</v>
      </c>
      <c r="E71" s="5">
        <f ca="1">MAX(0,CP*(D71-K))</f>
        <v>0</v>
      </c>
      <c r="F71" s="4">
        <f ca="1">(CP*(D71-K)&gt;0)*1</f>
        <v>0</v>
      </c>
      <c r="H71" s="4">
        <v>56</v>
      </c>
      <c r="I71" s="3">
        <v>0.66764845242717974</v>
      </c>
      <c r="J71" s="128">
        <v>1.1274168370987061E-3</v>
      </c>
      <c r="K71" s="128"/>
      <c r="L71" s="128">
        <v>3.6799999999999999E-2</v>
      </c>
      <c r="O71" s="2"/>
    </row>
    <row r="72" spans="2:15" x14ac:dyDescent="0.2">
      <c r="B72" s="1">
        <v>57</v>
      </c>
      <c r="C72" s="5">
        <f ca="1">_xlfn.NORM.S.INV(RAND())</f>
        <v>-1.097906115421599</v>
      </c>
      <c r="D72" s="5">
        <f ca="1">S0*EXP((μ-0.5*σ*σ)*T+σ*SQRT(T)*$C72)</f>
        <v>0.59633563893213626</v>
      </c>
      <c r="E72" s="5">
        <f ca="1">MAX(0,CP*(D72-K))</f>
        <v>0</v>
      </c>
      <c r="F72" s="4">
        <f ca="1">(CP*(D72-K)&gt;0)*1</f>
        <v>0</v>
      </c>
      <c r="H72" s="4">
        <v>57</v>
      </c>
      <c r="I72" s="3">
        <v>0.66761498052610946</v>
      </c>
      <c r="J72" s="128">
        <v>1.1829149888519545E-3</v>
      </c>
      <c r="K72" s="128"/>
      <c r="L72" s="128">
        <v>3.78E-2</v>
      </c>
      <c r="O72" s="2"/>
    </row>
    <row r="73" spans="2:15" x14ac:dyDescent="0.2">
      <c r="B73" s="1">
        <v>58</v>
      </c>
      <c r="C73" s="5">
        <f ca="1">_xlfn.NORM.S.INV(RAND())</f>
        <v>-0.92850315732861222</v>
      </c>
      <c r="D73" s="5">
        <f ca="1">S0*EXP((μ-0.5*σ*σ)*T+σ*SQRT(T)*$C73)</f>
        <v>0.60637867680544766</v>
      </c>
      <c r="E73" s="5">
        <f ca="1">MAX(0,CP*(D73-K))</f>
        <v>0</v>
      </c>
      <c r="F73" s="4">
        <f ca="1">(CP*(D73-K)&gt;0)*1</f>
        <v>0</v>
      </c>
      <c r="H73" s="4">
        <v>58</v>
      </c>
      <c r="I73" s="3">
        <v>0.66773717149311174</v>
      </c>
      <c r="J73" s="128">
        <v>1.3073564219255563E-3</v>
      </c>
      <c r="K73" s="128"/>
      <c r="L73" s="128">
        <v>4.2200000000000001E-2</v>
      </c>
      <c r="O73" s="2"/>
    </row>
    <row r="74" spans="2:15" x14ac:dyDescent="0.2">
      <c r="B74" s="1">
        <v>59</v>
      </c>
      <c r="C74" s="5">
        <f ca="1">_xlfn.NORM.S.INV(RAND())</f>
        <v>0.85679197483643599</v>
      </c>
      <c r="D74" s="5">
        <f ca="1">S0*EXP((μ-0.5*σ*σ)*T+σ*SQRT(T)*$C74)</f>
        <v>0.72307460139523128</v>
      </c>
      <c r="E74" s="5">
        <f ca="1">MAX(0,CP*(D74-K))</f>
        <v>0</v>
      </c>
      <c r="F74" s="4">
        <f ca="1">(CP*(D74-K)&gt;0)*1</f>
        <v>0</v>
      </c>
      <c r="H74" s="4">
        <v>59</v>
      </c>
      <c r="I74" s="3">
        <v>0.6677676157413488</v>
      </c>
      <c r="J74" s="128">
        <v>1.3301389671808873E-3</v>
      </c>
      <c r="K74" s="128"/>
      <c r="L74" s="128">
        <v>4.2599999999999999E-2</v>
      </c>
      <c r="O74" s="2"/>
    </row>
    <row r="75" spans="2:15" x14ac:dyDescent="0.2">
      <c r="B75" s="1">
        <v>60</v>
      </c>
      <c r="C75" s="5">
        <f ca="1">_xlfn.NORM.S.INV(RAND())</f>
        <v>0.32535859246971877</v>
      </c>
      <c r="D75" s="5">
        <f ca="1">S0*EXP((μ-0.5*σ*σ)*T+σ*SQRT(T)*$C75)</f>
        <v>0.68616610051676052</v>
      </c>
      <c r="E75" s="5">
        <f ca="1">MAX(0,CP*(D75-K))</f>
        <v>0</v>
      </c>
      <c r="F75" s="4">
        <f ca="1">(CP*(D75-K)&gt;0)*1</f>
        <v>0</v>
      </c>
      <c r="H75" s="4">
        <v>60</v>
      </c>
      <c r="I75" s="3">
        <v>0.66777775312067988</v>
      </c>
      <c r="J75" s="128">
        <v>1.2683419099215462E-3</v>
      </c>
      <c r="K75" s="128"/>
      <c r="L75" s="128">
        <v>4.3200000000000002E-2</v>
      </c>
      <c r="O75" s="2"/>
    </row>
    <row r="76" spans="2:15" x14ac:dyDescent="0.2">
      <c r="B76" s="1">
        <v>61</v>
      </c>
      <c r="C76" s="5">
        <f ca="1">_xlfn.NORM.S.INV(RAND())</f>
        <v>1.007054721769671</v>
      </c>
      <c r="D76" s="5">
        <f ca="1">S0*EXP((μ-0.5*σ*σ)*T+σ*SQRT(T)*$C76)</f>
        <v>0.7338659804289106</v>
      </c>
      <c r="E76" s="5">
        <f ca="1">MAX(0,CP*(D76-K))</f>
        <v>0</v>
      </c>
      <c r="F76" s="4">
        <f ca="1">(CP*(D76-K)&gt;0)*1</f>
        <v>0</v>
      </c>
      <c r="H76" s="4">
        <v>61</v>
      </c>
      <c r="I76" s="3">
        <v>0.66771439819240774</v>
      </c>
      <c r="J76" s="128">
        <v>1.201019860489912E-3</v>
      </c>
      <c r="K76" s="128"/>
      <c r="L76" s="128">
        <v>3.9399999999999998E-2</v>
      </c>
      <c r="O76" s="2"/>
    </row>
    <row r="77" spans="2:15" x14ac:dyDescent="0.2">
      <c r="B77" s="1">
        <v>62</v>
      </c>
      <c r="C77" s="5">
        <f ca="1">_xlfn.NORM.S.INV(RAND())</f>
        <v>-0.21509295822112309</v>
      </c>
      <c r="D77" s="5">
        <f ca="1">S0*EXP((μ-0.5*σ*σ)*T+σ*SQRT(T)*$C77)</f>
        <v>0.65056289246731347</v>
      </c>
      <c r="E77" s="5">
        <f ca="1">MAX(0,CP*(D77-K))</f>
        <v>0</v>
      </c>
      <c r="F77" s="4">
        <f ca="1">(CP*(D77-K)&gt;0)*1</f>
        <v>0</v>
      </c>
      <c r="H77" s="4">
        <v>62</v>
      </c>
      <c r="I77" s="3">
        <v>0.66776408339432358</v>
      </c>
      <c r="J77" s="128">
        <v>1.453788944604562E-3</v>
      </c>
      <c r="K77" s="128"/>
      <c r="L77" s="128">
        <v>4.36E-2</v>
      </c>
      <c r="O77" s="2"/>
    </row>
    <row r="78" spans="2:15" x14ac:dyDescent="0.2">
      <c r="B78" s="1">
        <v>63</v>
      </c>
      <c r="C78" s="5">
        <f ca="1">_xlfn.NORM.S.INV(RAND())</f>
        <v>-0.3699818669017047</v>
      </c>
      <c r="D78" s="5">
        <f ca="1">S0*EXP((μ-0.5*σ*σ)*T+σ*SQRT(T)*$C78)</f>
        <v>0.6407041916693389</v>
      </c>
      <c r="E78" s="5">
        <f ca="1">MAX(0,CP*(D78-K))</f>
        <v>0</v>
      </c>
      <c r="F78" s="4">
        <f ca="1">(CP*(D78-K)&gt;0)*1</f>
        <v>0</v>
      </c>
      <c r="H78" s="4">
        <v>63</v>
      </c>
      <c r="I78" s="3">
        <v>0.66776593060499201</v>
      </c>
      <c r="J78" s="128">
        <v>1.3991206142226304E-3</v>
      </c>
      <c r="K78" s="128"/>
      <c r="L78" s="128">
        <v>4.3999999999999997E-2</v>
      </c>
      <c r="O78" s="2"/>
    </row>
    <row r="79" spans="2:15" x14ac:dyDescent="0.2">
      <c r="B79" s="1">
        <v>64</v>
      </c>
      <c r="C79" s="5">
        <f ca="1">_xlfn.NORM.S.INV(RAND())</f>
        <v>-1.2040115556430127</v>
      </c>
      <c r="D79" s="5">
        <f ca="1">S0*EXP((μ-0.5*σ*σ)*T+σ*SQRT(T)*$C79)</f>
        <v>0.59013008417379509</v>
      </c>
      <c r="E79" s="5">
        <f ca="1">MAX(0,CP*(D79-K))</f>
        <v>0</v>
      </c>
      <c r="F79" s="4">
        <f ca="1">(CP*(D79-K)&gt;0)*1</f>
        <v>0</v>
      </c>
      <c r="H79" s="4">
        <v>64</v>
      </c>
      <c r="I79" s="3">
        <v>0.66774142565178396</v>
      </c>
      <c r="J79" s="128">
        <v>1.2665612974980455E-3</v>
      </c>
      <c r="K79" s="128"/>
      <c r="L79" s="128">
        <v>4.1200000000000001E-2</v>
      </c>
      <c r="O79" s="2"/>
    </row>
    <row r="80" spans="2:15" x14ac:dyDescent="0.2">
      <c r="B80" s="1">
        <v>65</v>
      </c>
      <c r="C80" s="5">
        <f ca="1">_xlfn.NORM.S.INV(RAND())</f>
        <v>0.22080553602752434</v>
      </c>
      <c r="D80" s="5">
        <f ca="1">S0*EXP((μ-0.5*σ*σ)*T+σ*SQRT(T)*$C80)</f>
        <v>0.67912968685498021</v>
      </c>
      <c r="E80" s="5">
        <f ca="1">MAX(0,CP*(D80-K))</f>
        <v>0</v>
      </c>
      <c r="F80" s="4">
        <f ca="1">(CP*(D80-K)&gt;0)*1</f>
        <v>0</v>
      </c>
      <c r="H80" s="4">
        <v>65</v>
      </c>
      <c r="I80" s="3">
        <v>0.6678111256367284</v>
      </c>
      <c r="J80" s="128">
        <v>1.5198551092773728E-3</v>
      </c>
      <c r="K80" s="128"/>
      <c r="L80" s="128">
        <v>4.2999999999999997E-2</v>
      </c>
      <c r="O80" s="2"/>
    </row>
    <row r="81" spans="2:15" x14ac:dyDescent="0.2">
      <c r="B81" s="1">
        <v>66</v>
      </c>
      <c r="C81" s="5">
        <f ca="1">_xlfn.NORM.S.INV(RAND())</f>
        <v>-8.9025992764748388E-2</v>
      </c>
      <c r="D81" s="5">
        <f ca="1">S0*EXP((μ-0.5*σ*σ)*T+σ*SQRT(T)*$C81)</f>
        <v>0.65869894874539514</v>
      </c>
      <c r="E81" s="5">
        <f ca="1">MAX(0,CP*(D81-K))</f>
        <v>0</v>
      </c>
      <c r="F81" s="4">
        <f ca="1">(CP*(D81-K)&gt;0)*1</f>
        <v>0</v>
      </c>
      <c r="H81" s="4">
        <v>66</v>
      </c>
      <c r="I81" s="3">
        <v>0.66780479471430576</v>
      </c>
      <c r="J81" s="128">
        <v>1.3916604186682518E-3</v>
      </c>
      <c r="K81" s="128"/>
      <c r="L81" s="128">
        <v>4.2599999999999999E-2</v>
      </c>
      <c r="O81" s="2"/>
    </row>
    <row r="82" spans="2:15" x14ac:dyDescent="0.2">
      <c r="B82" s="1">
        <v>67</v>
      </c>
      <c r="C82" s="5">
        <f ca="1">_xlfn.NORM.S.INV(RAND())</f>
        <v>5.8840358924923841E-2</v>
      </c>
      <c r="D82" s="5">
        <f ca="1">S0*EXP((μ-0.5*σ*σ)*T+σ*SQRT(T)*$C82)</f>
        <v>0.66837164202301036</v>
      </c>
      <c r="E82" s="5">
        <f ca="1">MAX(0,CP*(D82-K))</f>
        <v>0</v>
      </c>
      <c r="F82" s="4">
        <f ca="1">(CP*(D82-K)&gt;0)*1</f>
        <v>0</v>
      </c>
      <c r="H82" s="4">
        <v>67</v>
      </c>
      <c r="I82" s="3">
        <v>0.66771588282059924</v>
      </c>
      <c r="J82" s="128">
        <v>1.3466469177036144E-3</v>
      </c>
      <c r="K82" s="128"/>
      <c r="L82" s="128">
        <v>4.1799999999999997E-2</v>
      </c>
      <c r="O82" s="2"/>
    </row>
    <row r="83" spans="2:15" x14ac:dyDescent="0.2">
      <c r="B83" s="1">
        <v>68</v>
      </c>
      <c r="C83" s="5">
        <f ca="1">_xlfn.NORM.S.INV(RAND())</f>
        <v>0.47058679384897723</v>
      </c>
      <c r="D83" s="5">
        <f ca="1">S0*EXP((μ-0.5*σ*σ)*T+σ*SQRT(T)*$C83)</f>
        <v>0.69606107530528472</v>
      </c>
      <c r="E83" s="5">
        <f ca="1">MAX(0,CP*(D83-K))</f>
        <v>0</v>
      </c>
      <c r="F83" s="4">
        <f ca="1">(CP*(D83-K)&gt;0)*1</f>
        <v>0</v>
      </c>
      <c r="H83" s="4">
        <v>68</v>
      </c>
      <c r="I83" s="3">
        <v>0.66775156184894235</v>
      </c>
      <c r="J83" s="128">
        <v>1.2965977364198019E-3</v>
      </c>
      <c r="K83" s="128"/>
      <c r="L83" s="128">
        <v>4.3799999999999999E-2</v>
      </c>
      <c r="O83" s="2"/>
    </row>
    <row r="84" spans="2:15" x14ac:dyDescent="0.2">
      <c r="B84" s="1">
        <v>69</v>
      </c>
      <c r="C84" s="5">
        <f ca="1">_xlfn.NORM.S.INV(RAND())</f>
        <v>-0.37817235130525279</v>
      </c>
      <c r="D84" s="5">
        <f ca="1">S0*EXP((μ-0.5*σ*σ)*T+σ*SQRT(T)*$C84)</f>
        <v>0.64018704522451941</v>
      </c>
      <c r="E84" s="5">
        <f ca="1">MAX(0,CP*(D84-K))</f>
        <v>0</v>
      </c>
      <c r="F84" s="4">
        <f ca="1">(CP*(D84-K)&gt;0)*1</f>
        <v>0</v>
      </c>
      <c r="H84" s="4">
        <v>69</v>
      </c>
      <c r="I84" s="3">
        <v>0.66774077741853421</v>
      </c>
      <c r="J84" s="128">
        <v>1.4265428409475267E-3</v>
      </c>
      <c r="K84" s="128"/>
      <c r="L84" s="128">
        <v>4.0599999999999997E-2</v>
      </c>
      <c r="O84" s="2"/>
    </row>
    <row r="85" spans="2:15" x14ac:dyDescent="0.2">
      <c r="B85" s="1">
        <v>70</v>
      </c>
      <c r="C85" s="5">
        <f ca="1">_xlfn.NORM.S.INV(RAND())</f>
        <v>0.59281303948464403</v>
      </c>
      <c r="D85" s="5">
        <f ca="1">S0*EXP((μ-0.5*σ*σ)*T+σ*SQRT(T)*$C85)</f>
        <v>0.70449933306039603</v>
      </c>
      <c r="E85" s="5">
        <f ca="1">MAX(0,CP*(D85-K))</f>
        <v>0</v>
      </c>
      <c r="F85" s="4">
        <f ca="1">(CP*(D85-K)&gt;0)*1</f>
        <v>0</v>
      </c>
      <c r="H85" s="4">
        <v>70</v>
      </c>
      <c r="I85" s="3">
        <v>0.66770613635422693</v>
      </c>
      <c r="J85" s="128">
        <v>1.3705452389679202E-3</v>
      </c>
      <c r="K85" s="128"/>
      <c r="L85" s="128">
        <v>4.3799999999999999E-2</v>
      </c>
      <c r="O85" s="2"/>
    </row>
    <row r="86" spans="2:15" x14ac:dyDescent="0.2">
      <c r="B86" s="1">
        <v>71</v>
      </c>
      <c r="C86" s="5">
        <f ca="1">_xlfn.NORM.S.INV(RAND())</f>
        <v>-0.85560071284595784</v>
      </c>
      <c r="D86" s="5">
        <f ca="1">S0*EXP((μ-0.5*σ*σ)*T+σ*SQRT(T)*$C86)</f>
        <v>0.6107525819707923</v>
      </c>
      <c r="E86" s="5">
        <f ca="1">MAX(0,CP*(D86-K))</f>
        <v>0</v>
      </c>
      <c r="F86" s="4">
        <f ca="1">(CP*(D86-K)&gt;0)*1</f>
        <v>0</v>
      </c>
      <c r="H86" s="4">
        <v>71</v>
      </c>
      <c r="I86" s="3">
        <v>0.66764087347808021</v>
      </c>
      <c r="J86" s="128">
        <v>1.2162241546312578E-3</v>
      </c>
      <c r="K86" s="128"/>
      <c r="L86" s="128">
        <v>4.0399999999999998E-2</v>
      </c>
      <c r="O86" s="2"/>
    </row>
    <row r="87" spans="2:15" x14ac:dyDescent="0.2">
      <c r="B87" s="1">
        <v>72</v>
      </c>
      <c r="C87" s="5">
        <f ca="1">_xlfn.NORM.S.INV(RAND())</f>
        <v>0.40158554311196254</v>
      </c>
      <c r="D87" s="5">
        <f ca="1">S0*EXP((μ-0.5*σ*σ)*T+σ*SQRT(T)*$C87)</f>
        <v>0.69134207842294193</v>
      </c>
      <c r="E87" s="5">
        <f ca="1">MAX(0,CP*(D87-K))</f>
        <v>0</v>
      </c>
      <c r="F87" s="4">
        <f ca="1">(CP*(D87-K)&gt;0)*1</f>
        <v>0</v>
      </c>
      <c r="H87" s="4">
        <v>72</v>
      </c>
      <c r="I87" s="3">
        <v>0.66760521602750711</v>
      </c>
      <c r="J87" s="128">
        <v>1.2304497762435278E-3</v>
      </c>
      <c r="K87" s="128"/>
      <c r="L87" s="128">
        <v>3.6799999999999999E-2</v>
      </c>
      <c r="O87" s="2"/>
    </row>
    <row r="88" spans="2:15" x14ac:dyDescent="0.2">
      <c r="B88" s="1">
        <v>73</v>
      </c>
      <c r="C88" s="5">
        <f ca="1">_xlfn.NORM.S.INV(RAND())</f>
        <v>-1.5641437694683059E-2</v>
      </c>
      <c r="D88" s="5">
        <f ca="1">S0*EXP((μ-0.5*σ*σ)*T+σ*SQRT(T)*$C88)</f>
        <v>0.66348178287702175</v>
      </c>
      <c r="E88" s="5">
        <f ca="1">MAX(0,CP*(D88-K))</f>
        <v>0</v>
      </c>
      <c r="F88" s="4">
        <f ca="1">(CP*(D88-K)&gt;0)*1</f>
        <v>0</v>
      </c>
      <c r="H88" s="4">
        <v>73</v>
      </c>
      <c r="I88" s="3">
        <v>0.66757878388969971</v>
      </c>
      <c r="J88" s="128">
        <v>1.2866965087940552E-3</v>
      </c>
      <c r="K88" s="128"/>
      <c r="L88" s="128">
        <v>3.7400000000000003E-2</v>
      </c>
      <c r="O88" s="2"/>
    </row>
    <row r="89" spans="2:15" x14ac:dyDescent="0.2">
      <c r="B89" s="1">
        <v>74</v>
      </c>
      <c r="C89" s="5">
        <f ca="1">_xlfn.NORM.S.INV(RAND())</f>
        <v>-0.82982118174153086</v>
      </c>
      <c r="D89" s="5">
        <f ca="1">S0*EXP((μ-0.5*σ*σ)*T+σ*SQRT(T)*$C89)</f>
        <v>0.61230680754574307</v>
      </c>
      <c r="E89" s="5">
        <f ca="1">MAX(0,CP*(D89-K))</f>
        <v>0</v>
      </c>
      <c r="F89" s="4">
        <f ca="1">(CP*(D89-K)&gt;0)*1</f>
        <v>0</v>
      </c>
      <c r="H89" s="4">
        <v>74</v>
      </c>
      <c r="I89" s="3">
        <v>0.66762494206024936</v>
      </c>
      <c r="J89" s="128">
        <v>1.2788262010443488E-3</v>
      </c>
      <c r="K89" s="128"/>
      <c r="L89" s="128">
        <v>4.0399999999999998E-2</v>
      </c>
      <c r="O89" s="2"/>
    </row>
    <row r="90" spans="2:15" x14ac:dyDescent="0.2">
      <c r="B90" s="1">
        <v>75</v>
      </c>
      <c r="C90" s="5">
        <f ca="1">_xlfn.NORM.S.INV(RAND())</f>
        <v>-0.60000473932250442</v>
      </c>
      <c r="D90" s="5">
        <f ca="1">S0*EXP((μ-0.5*σ*σ)*T+σ*SQRT(T)*$C90)</f>
        <v>0.62633821075462581</v>
      </c>
      <c r="E90" s="5">
        <f ca="1">MAX(0,CP*(D90-K))</f>
        <v>0</v>
      </c>
      <c r="F90" s="4">
        <f ca="1">(CP*(D90-K)&gt;0)*1</f>
        <v>0</v>
      </c>
      <c r="H90" s="4">
        <v>75</v>
      </c>
      <c r="I90" s="3">
        <v>0.66760274240602113</v>
      </c>
      <c r="J90" s="128">
        <v>1.2359718911892398E-3</v>
      </c>
      <c r="K90" s="128"/>
      <c r="L90" s="128">
        <v>3.9600000000000003E-2</v>
      </c>
      <c r="O90" s="2"/>
    </row>
    <row r="91" spans="2:15" x14ac:dyDescent="0.2">
      <c r="B91" s="1">
        <v>76</v>
      </c>
      <c r="C91" s="5">
        <f ca="1">_xlfn.NORM.S.INV(RAND())</f>
        <v>1.0513399458866863</v>
      </c>
      <c r="D91" s="5">
        <f ca="1">S0*EXP((μ-0.5*σ*σ)*T+σ*SQRT(T)*$C91)</f>
        <v>0.7370770205059356</v>
      </c>
      <c r="E91" s="5">
        <f ca="1">MAX(0,CP*(D91-K))</f>
        <v>0</v>
      </c>
      <c r="F91" s="4">
        <f ca="1">(CP*(D91-K)&gt;0)*1</f>
        <v>0</v>
      </c>
      <c r="H91" s="4">
        <v>76</v>
      </c>
      <c r="I91" s="3">
        <v>0.66770384502980495</v>
      </c>
      <c r="J91" s="128">
        <v>1.2726911651021603E-3</v>
      </c>
      <c r="K91" s="128"/>
      <c r="L91" s="128">
        <v>4.1200000000000001E-2</v>
      </c>
      <c r="O91" s="2"/>
    </row>
    <row r="92" spans="2:15" x14ac:dyDescent="0.2">
      <c r="B92" s="1">
        <v>77</v>
      </c>
      <c r="C92" s="5">
        <f ca="1">_xlfn.NORM.S.INV(RAND())</f>
        <v>-0.39910407811545107</v>
      </c>
      <c r="D92" s="5">
        <f ca="1">S0*EXP((μ-0.5*σ*σ)*T+σ*SQRT(T)*$C92)</f>
        <v>0.63886731357878845</v>
      </c>
      <c r="E92" s="5">
        <f ca="1">MAX(0,CP*(D92-K))</f>
        <v>0</v>
      </c>
      <c r="F92" s="4">
        <f ca="1">(CP*(D92-K)&gt;0)*1</f>
        <v>0</v>
      </c>
      <c r="H92" s="4">
        <v>77</v>
      </c>
      <c r="I92" s="3">
        <v>0.66763231754284658</v>
      </c>
      <c r="J92" s="128">
        <v>1.2093273462892083E-3</v>
      </c>
      <c r="K92" s="128"/>
      <c r="L92" s="128">
        <v>3.9199999999999999E-2</v>
      </c>
      <c r="O92" s="2"/>
    </row>
    <row r="93" spans="2:15" x14ac:dyDescent="0.2">
      <c r="B93" s="1">
        <v>78</v>
      </c>
      <c r="C93" s="5">
        <f ca="1">_xlfn.NORM.S.INV(RAND())</f>
        <v>0.86562750345263539</v>
      </c>
      <c r="D93" s="5">
        <f ca="1">S0*EXP((μ-0.5*σ*σ)*T+σ*SQRT(T)*$C93)</f>
        <v>0.72370472613325365</v>
      </c>
      <c r="E93" s="5">
        <f ca="1">MAX(0,CP*(D93-K))</f>
        <v>0</v>
      </c>
      <c r="F93" s="4">
        <f ca="1">(CP*(D93-K)&gt;0)*1</f>
        <v>0</v>
      </c>
      <c r="H93" s="4">
        <v>78</v>
      </c>
      <c r="I93" s="3">
        <v>0.66768257409362863</v>
      </c>
      <c r="J93" s="128">
        <v>1.2739589389776614E-3</v>
      </c>
      <c r="K93" s="128"/>
      <c r="L93" s="128">
        <v>3.7400000000000003E-2</v>
      </c>
      <c r="O93" s="2"/>
    </row>
    <row r="94" spans="2:15" x14ac:dyDescent="0.2">
      <c r="B94" s="1">
        <v>79</v>
      </c>
      <c r="C94" s="5">
        <f ca="1">_xlfn.NORM.S.INV(RAND())</f>
        <v>-1.6451312761121528</v>
      </c>
      <c r="D94" s="5">
        <f ca="1">S0*EXP((μ-0.5*σ*σ)*T+σ*SQRT(T)*$C94)</f>
        <v>0.5650160383213354</v>
      </c>
      <c r="E94" s="5">
        <f ca="1">MAX(0,CP*(D94-K))</f>
        <v>0</v>
      </c>
      <c r="F94" s="4">
        <f ca="1">(CP*(D94-K)&gt;0)*1</f>
        <v>0</v>
      </c>
      <c r="H94" s="4">
        <v>79</v>
      </c>
      <c r="I94" s="3">
        <v>0.66763996596462583</v>
      </c>
      <c r="J94" s="128">
        <v>1.3347588086913954E-3</v>
      </c>
      <c r="K94" s="128"/>
      <c r="L94" s="128">
        <v>3.9399999999999998E-2</v>
      </c>
      <c r="O94" s="2"/>
    </row>
    <row r="95" spans="2:15" x14ac:dyDescent="0.2">
      <c r="B95" s="1">
        <v>80</v>
      </c>
      <c r="C95" s="5">
        <f ca="1">_xlfn.NORM.S.INV(RAND())</f>
        <v>-0.51265261030418019</v>
      </c>
      <c r="D95" s="5">
        <f ca="1">S0*EXP((μ-0.5*σ*σ)*T+σ*SQRT(T)*$C95)</f>
        <v>0.63175541859640216</v>
      </c>
      <c r="E95" s="5">
        <f ca="1">MAX(0,CP*(D95-K))</f>
        <v>0</v>
      </c>
      <c r="F95" s="4">
        <f ca="1">(CP*(D95-K)&gt;0)*1</f>
        <v>0</v>
      </c>
      <c r="H95" s="4">
        <v>80</v>
      </c>
      <c r="I95" s="3">
        <v>0.6676342227615536</v>
      </c>
      <c r="J95" s="128">
        <v>1.2353607859935725E-3</v>
      </c>
      <c r="K95" s="128"/>
      <c r="L95" s="128">
        <v>3.9399999999999998E-2</v>
      </c>
      <c r="O95" s="2"/>
    </row>
    <row r="96" spans="2:15" x14ac:dyDescent="0.2">
      <c r="B96" s="1">
        <v>81</v>
      </c>
      <c r="C96" s="5">
        <f ca="1">_xlfn.NORM.S.INV(RAND())</f>
        <v>-0.1023835115199747</v>
      </c>
      <c r="D96" s="5">
        <f ca="1">S0*EXP((μ-0.5*σ*σ)*T+σ*SQRT(T)*$C96)</f>
        <v>0.65783208955646633</v>
      </c>
      <c r="E96" s="5">
        <f ca="1">MAX(0,CP*(D96-K))</f>
        <v>0</v>
      </c>
      <c r="F96" s="4">
        <f ca="1">(CP*(D96-K)&gt;0)*1</f>
        <v>0</v>
      </c>
      <c r="H96" s="4">
        <v>81</v>
      </c>
      <c r="I96" s="3">
        <v>0.66788564219630531</v>
      </c>
      <c r="J96" s="128">
        <v>1.5809387958012481E-3</v>
      </c>
      <c r="K96" s="128"/>
      <c r="L96" s="128">
        <v>4.9799999999999997E-2</v>
      </c>
      <c r="O96" s="2"/>
    </row>
    <row r="97" spans="2:15" x14ac:dyDescent="0.2">
      <c r="B97" s="1">
        <v>82</v>
      </c>
      <c r="C97" s="5">
        <f ca="1">_xlfn.NORM.S.INV(RAND())</f>
        <v>0.79874094405121776</v>
      </c>
      <c r="D97" s="5">
        <f ca="1">S0*EXP((μ-0.5*σ*σ)*T+σ*SQRT(T)*$C97)</f>
        <v>0.71894818928370341</v>
      </c>
      <c r="E97" s="5">
        <f ca="1">MAX(0,CP*(D97-K))</f>
        <v>0</v>
      </c>
      <c r="F97" s="4">
        <f ca="1">(CP*(D97-K)&gt;0)*1</f>
        <v>0</v>
      </c>
      <c r="H97" s="4">
        <v>82</v>
      </c>
      <c r="I97" s="3">
        <v>0.66758313033787275</v>
      </c>
      <c r="J97" s="128">
        <v>1.2606322221958022E-3</v>
      </c>
      <c r="K97" s="128"/>
      <c r="L97" s="128">
        <v>3.6799999999999999E-2</v>
      </c>
      <c r="O97" s="2"/>
    </row>
    <row r="98" spans="2:15" x14ac:dyDescent="0.2">
      <c r="B98" s="1">
        <v>83</v>
      </c>
      <c r="C98" s="5">
        <f ca="1">_xlfn.NORM.S.INV(RAND())</f>
        <v>2.6428447039734761E-2</v>
      </c>
      <c r="D98" s="5">
        <f ca="1">S0*EXP((μ-0.5*σ*σ)*T+σ*SQRT(T)*$C98)</f>
        <v>0.6662393302933457</v>
      </c>
      <c r="E98" s="5">
        <f ca="1">MAX(0,CP*(D98-K))</f>
        <v>0</v>
      </c>
      <c r="F98" s="4">
        <f ca="1">(CP*(D98-K)&gt;0)*1</f>
        <v>0</v>
      </c>
      <c r="H98" s="4">
        <v>83</v>
      </c>
      <c r="I98" s="3">
        <v>0.66767141943797736</v>
      </c>
      <c r="J98" s="128">
        <v>1.256490566680429E-3</v>
      </c>
      <c r="K98" s="128"/>
      <c r="L98" s="128">
        <v>4.1000000000000002E-2</v>
      </c>
      <c r="O98" s="2"/>
    </row>
    <row r="99" spans="2:15" x14ac:dyDescent="0.2">
      <c r="B99" s="1">
        <v>84</v>
      </c>
      <c r="C99" s="5">
        <f ca="1">_xlfn.NORM.S.INV(RAND())</f>
        <v>0.7115190280794047</v>
      </c>
      <c r="D99" s="5">
        <f ca="1">S0*EXP((μ-0.5*σ*σ)*T+σ*SQRT(T)*$C99)</f>
        <v>0.71279246685260089</v>
      </c>
      <c r="E99" s="5">
        <f ca="1">MAX(0,CP*(D99-K))</f>
        <v>0</v>
      </c>
      <c r="F99" s="4">
        <f ca="1">(CP*(D99-K)&gt;0)*1</f>
        <v>0</v>
      </c>
      <c r="H99" s="4">
        <v>84</v>
      </c>
      <c r="I99" s="3">
        <v>0.66775771462451128</v>
      </c>
      <c r="J99" s="128">
        <v>1.3774471164904037E-3</v>
      </c>
      <c r="K99" s="128"/>
      <c r="L99" s="128">
        <v>4.2599999999999999E-2</v>
      </c>
      <c r="O99" s="2"/>
    </row>
    <row r="100" spans="2:15" x14ac:dyDescent="0.2">
      <c r="B100" s="1">
        <v>85</v>
      </c>
      <c r="C100" s="5">
        <f ca="1">_xlfn.NORM.S.INV(RAND())</f>
        <v>-1.2929766483431471</v>
      </c>
      <c r="D100" s="5">
        <f ca="1">S0*EXP((μ-0.5*σ*σ)*T+σ*SQRT(T)*$C100)</f>
        <v>0.58497677808513882</v>
      </c>
      <c r="E100" s="5">
        <f ca="1">MAX(0,CP*(D100-K))</f>
        <v>0</v>
      </c>
      <c r="F100" s="4">
        <f ca="1">(CP*(D100-K)&gt;0)*1</f>
        <v>0</v>
      </c>
      <c r="H100" s="4">
        <v>85</v>
      </c>
      <c r="I100" s="3">
        <v>0.66767421632929158</v>
      </c>
      <c r="J100" s="128">
        <v>1.3004335203912732E-3</v>
      </c>
      <c r="K100" s="128"/>
      <c r="L100" s="128">
        <v>4.2000000000000003E-2</v>
      </c>
      <c r="O100" s="2"/>
    </row>
    <row r="101" spans="2:15" x14ac:dyDescent="0.2">
      <c r="B101" s="1">
        <v>86</v>
      </c>
      <c r="C101" s="5">
        <f ca="1">_xlfn.NORM.S.INV(RAND())</f>
        <v>1.3848177489115381</v>
      </c>
      <c r="D101" s="5">
        <f ca="1">S0*EXP((μ-0.5*σ*σ)*T+σ*SQRT(T)*$C101)</f>
        <v>0.7617124520697629</v>
      </c>
      <c r="E101" s="5">
        <f ca="1">MAX(0,CP*(D101-K))</f>
        <v>0</v>
      </c>
      <c r="F101" s="4">
        <f ca="1">(CP*(D101-K)&gt;0)*1</f>
        <v>0</v>
      </c>
      <c r="H101" s="4">
        <v>86</v>
      </c>
      <c r="I101" s="3">
        <v>0.66769002580027559</v>
      </c>
      <c r="J101" s="128">
        <v>1.2374861964364525E-3</v>
      </c>
      <c r="K101" s="128"/>
      <c r="L101" s="128">
        <v>3.7600000000000001E-2</v>
      </c>
      <c r="O101" s="2"/>
    </row>
    <row r="102" spans="2:15" x14ac:dyDescent="0.2">
      <c r="B102" s="1">
        <v>87</v>
      </c>
      <c r="C102" s="5">
        <f ca="1">_xlfn.NORM.S.INV(RAND())</f>
        <v>-2.0113137905726526</v>
      </c>
      <c r="D102" s="5">
        <f ca="1">S0*EXP((μ-0.5*σ*σ)*T+σ*SQRT(T)*$C102)</f>
        <v>0.5449821869252317</v>
      </c>
      <c r="E102" s="5">
        <f ca="1">MAX(0,CP*(D102-K))</f>
        <v>0</v>
      </c>
      <c r="F102" s="4">
        <f ca="1">(CP*(D102-K)&gt;0)*1</f>
        <v>0</v>
      </c>
      <c r="H102" s="4">
        <v>87</v>
      </c>
      <c r="I102" s="3">
        <v>0.66787650554714806</v>
      </c>
      <c r="J102" s="128">
        <v>1.4205111996649831E-3</v>
      </c>
      <c r="K102" s="128"/>
      <c r="L102" s="128">
        <v>4.6399999999999997E-2</v>
      </c>
      <c r="O102" s="2"/>
    </row>
    <row r="103" spans="2:15" x14ac:dyDescent="0.2">
      <c r="B103" s="1">
        <v>88</v>
      </c>
      <c r="C103" s="5">
        <f ca="1">_xlfn.NORM.S.INV(RAND())</f>
        <v>0.82903381219548289</v>
      </c>
      <c r="D103" s="5">
        <f ca="1">S0*EXP((μ-0.5*σ*σ)*T+σ*SQRT(T)*$C103)</f>
        <v>0.72109853545663416</v>
      </c>
      <c r="E103" s="5">
        <f ca="1">MAX(0,CP*(D103-K))</f>
        <v>0</v>
      </c>
      <c r="F103" s="4">
        <f ca="1">(CP*(D103-K)&gt;0)*1</f>
        <v>0</v>
      </c>
      <c r="H103" s="4">
        <v>88</v>
      </c>
      <c r="I103" s="3">
        <v>0.66760084823265575</v>
      </c>
      <c r="J103" s="128">
        <v>1.1371444493512549E-3</v>
      </c>
      <c r="K103" s="128"/>
      <c r="L103" s="128">
        <v>0.04</v>
      </c>
      <c r="O103" s="2"/>
    </row>
    <row r="104" spans="2:15" x14ac:dyDescent="0.2">
      <c r="B104" s="1">
        <v>89</v>
      </c>
      <c r="C104" s="5">
        <f ca="1">_xlfn.NORM.S.INV(RAND())</f>
        <v>1.0903739711213301</v>
      </c>
      <c r="D104" s="5">
        <f ca="1">S0*EXP((μ-0.5*σ*σ)*T+σ*SQRT(T)*$C104)</f>
        <v>0.73991895353206671</v>
      </c>
      <c r="E104" s="5">
        <f ca="1">MAX(0,CP*(D104-K))</f>
        <v>0</v>
      </c>
      <c r="F104" s="4">
        <f ca="1">(CP*(D104-K)&gt;0)*1</f>
        <v>0</v>
      </c>
      <c r="H104" s="4">
        <v>89</v>
      </c>
      <c r="I104" s="3">
        <v>0.66774004838889689</v>
      </c>
      <c r="J104" s="128">
        <v>1.4018134709044853E-3</v>
      </c>
      <c r="K104" s="128"/>
      <c r="L104" s="128">
        <v>0.04</v>
      </c>
      <c r="O104" s="2"/>
    </row>
    <row r="105" spans="2:15" x14ac:dyDescent="0.2">
      <c r="B105" s="1">
        <v>90</v>
      </c>
      <c r="C105" s="5">
        <f ca="1">_xlfn.NORM.S.INV(RAND())</f>
        <v>-1.0568517845789158</v>
      </c>
      <c r="D105" s="5">
        <f ca="1">S0*EXP((μ-0.5*σ*σ)*T+σ*SQRT(T)*$C105)</f>
        <v>0.59875416432060635</v>
      </c>
      <c r="E105" s="5">
        <f ca="1">MAX(0,CP*(D105-K))</f>
        <v>0</v>
      </c>
      <c r="F105" s="4">
        <f ca="1">(CP*(D105-K)&gt;0)*1</f>
        <v>0</v>
      </c>
      <c r="H105" s="4">
        <v>90</v>
      </c>
      <c r="I105" s="3">
        <v>0.6679178113646107</v>
      </c>
      <c r="J105" s="128">
        <v>1.5096421219281729E-3</v>
      </c>
      <c r="K105" s="128"/>
      <c r="L105" s="128">
        <v>4.2799999999999998E-2</v>
      </c>
      <c r="O105" s="2"/>
    </row>
    <row r="106" spans="2:15" x14ac:dyDescent="0.2">
      <c r="B106" s="1">
        <v>91</v>
      </c>
      <c r="C106" s="5">
        <f ca="1">_xlfn.NORM.S.INV(RAND())</f>
        <v>-0.57519592816291298</v>
      </c>
      <c r="D106" s="5">
        <f ca="1">S0*EXP((μ-0.5*σ*σ)*T+σ*SQRT(T)*$C106)</f>
        <v>0.62787200744539551</v>
      </c>
      <c r="E106" s="5">
        <f ca="1">MAX(0,CP*(D106-K))</f>
        <v>0</v>
      </c>
      <c r="F106" s="4">
        <f ca="1">(CP*(D106-K)&gt;0)*1</f>
        <v>0</v>
      </c>
      <c r="H106" s="4">
        <v>91</v>
      </c>
      <c r="I106" s="3">
        <v>0.66784034980771689</v>
      </c>
      <c r="J106" s="128">
        <v>1.4341123193702986E-3</v>
      </c>
      <c r="K106" s="128"/>
      <c r="L106" s="128">
        <v>4.2999999999999997E-2</v>
      </c>
      <c r="O106" s="2"/>
    </row>
    <row r="107" spans="2:15" x14ac:dyDescent="0.2">
      <c r="B107" s="1">
        <v>92</v>
      </c>
      <c r="C107" s="5">
        <f ca="1">_xlfn.NORM.S.INV(RAND())</f>
        <v>-1.0976039609389143</v>
      </c>
      <c r="D107" s="5">
        <f ca="1">S0*EXP((μ-0.5*σ*σ)*T+σ*SQRT(T)*$C107)</f>
        <v>0.5963534032279193</v>
      </c>
      <c r="E107" s="5">
        <f ca="1">MAX(0,CP*(D107-K))</f>
        <v>0</v>
      </c>
      <c r="F107" s="4">
        <f ca="1">(CP*(D107-K)&gt;0)*1</f>
        <v>0</v>
      </c>
      <c r="H107" s="4">
        <v>92</v>
      </c>
      <c r="I107" s="3">
        <v>0.66769419766677507</v>
      </c>
      <c r="J107" s="128">
        <v>1.4284671155889472E-3</v>
      </c>
      <c r="K107" s="128"/>
      <c r="L107" s="128">
        <v>4.02E-2</v>
      </c>
      <c r="O107" s="2"/>
    </row>
    <row r="108" spans="2:15" x14ac:dyDescent="0.2">
      <c r="B108" s="1">
        <v>93</v>
      </c>
      <c r="C108" s="5">
        <f ca="1">_xlfn.NORM.S.INV(RAND())</f>
        <v>0.43214080626354373</v>
      </c>
      <c r="D108" s="5">
        <f ca="1">S0*EXP((μ-0.5*σ*σ)*T+σ*SQRT(T)*$C108)</f>
        <v>0.69342779374249131</v>
      </c>
      <c r="E108" s="5">
        <f ca="1">MAX(0,CP*(D108-K))</f>
        <v>0</v>
      </c>
      <c r="F108" s="4">
        <f ca="1">(CP*(D108-K)&gt;0)*1</f>
        <v>0</v>
      </c>
      <c r="H108" s="4">
        <v>93</v>
      </c>
      <c r="I108" s="3">
        <v>0.66778140797567453</v>
      </c>
      <c r="J108" s="128">
        <v>1.4118859414350611E-3</v>
      </c>
      <c r="K108" s="128"/>
      <c r="L108" s="128">
        <v>4.4999999999999998E-2</v>
      </c>
      <c r="O108" s="2"/>
    </row>
    <row r="109" spans="2:15" x14ac:dyDescent="0.2">
      <c r="B109" s="1">
        <v>94</v>
      </c>
      <c r="C109" s="5">
        <f ca="1">_xlfn.NORM.S.INV(RAND())</f>
        <v>1.3893440847796896</v>
      </c>
      <c r="D109" s="5">
        <f ca="1">S0*EXP((μ-0.5*σ*σ)*T+σ*SQRT(T)*$C109)</f>
        <v>0.7620524344859505</v>
      </c>
      <c r="E109" s="5">
        <f ca="1">MAX(0,CP*(D109-K))</f>
        <v>0</v>
      </c>
      <c r="F109" s="4">
        <f ca="1">(CP*(D109-K)&gt;0)*1</f>
        <v>0</v>
      </c>
      <c r="H109" s="4">
        <v>94</v>
      </c>
      <c r="I109" s="3">
        <v>0.6678697300172256</v>
      </c>
      <c r="J109" s="128">
        <v>1.3540204368870281E-3</v>
      </c>
      <c r="K109" s="128"/>
      <c r="L109" s="128">
        <v>4.3200000000000002E-2</v>
      </c>
      <c r="O109" s="2"/>
    </row>
    <row r="110" spans="2:15" x14ac:dyDescent="0.2">
      <c r="B110" s="1">
        <v>95</v>
      </c>
      <c r="C110" s="5">
        <f ca="1">_xlfn.NORM.S.INV(RAND())</f>
        <v>2.6946329243924172</v>
      </c>
      <c r="D110" s="5">
        <f ca="1">S0*EXP((μ-0.5*σ*σ)*T+σ*SQRT(T)*$C110)</f>
        <v>0.86670658072328</v>
      </c>
      <c r="E110" s="5">
        <f ca="1">MAX(0,CP*(D110-K))</f>
        <v>7.8506580723279984E-2</v>
      </c>
      <c r="F110" s="4">
        <f ca="1">(CP*(D110-K)&gt;0)*1</f>
        <v>1</v>
      </c>
      <c r="H110" s="4">
        <v>95</v>
      </c>
      <c r="I110" s="3">
        <v>0.66770013182625498</v>
      </c>
      <c r="J110" s="128">
        <v>1.2536796495079318E-3</v>
      </c>
      <c r="K110" s="128"/>
      <c r="L110" s="128">
        <v>3.78E-2</v>
      </c>
      <c r="O110" s="2"/>
    </row>
    <row r="111" spans="2:15" x14ac:dyDescent="0.2">
      <c r="B111" s="1">
        <v>96</v>
      </c>
      <c r="C111" s="5">
        <f ca="1">_xlfn.NORM.S.INV(RAND())</f>
        <v>-0.43168013083089574</v>
      </c>
      <c r="D111" s="5">
        <f ca="1">S0*EXP((μ-0.5*σ*σ)*T+σ*SQRT(T)*$C111)</f>
        <v>0.63681882452738281</v>
      </c>
      <c r="E111" s="5">
        <f ca="1">MAX(0,CP*(D111-K))</f>
        <v>0</v>
      </c>
      <c r="F111" s="4">
        <f ca="1">(CP*(D111-K)&gt;0)*1</f>
        <v>0</v>
      </c>
      <c r="H111" s="4">
        <v>96</v>
      </c>
      <c r="I111" s="3">
        <v>0.66759327261247392</v>
      </c>
      <c r="J111" s="128">
        <v>1.181098221627139E-3</v>
      </c>
      <c r="K111" s="128"/>
      <c r="L111" s="128">
        <v>3.6999999999999998E-2</v>
      </c>
      <c r="O111" s="2"/>
    </row>
    <row r="112" spans="2:15" x14ac:dyDescent="0.2">
      <c r="B112" s="1">
        <v>97</v>
      </c>
      <c r="C112" s="5">
        <f ca="1">_xlfn.NORM.S.INV(RAND())</f>
        <v>-1.6353473736862687</v>
      </c>
      <c r="D112" s="5">
        <f ca="1">S0*EXP((μ-0.5*σ*σ)*T+σ*SQRT(T)*$C112)</f>
        <v>0.56556129887435691</v>
      </c>
      <c r="E112" s="5">
        <f ca="1">MAX(0,CP*(D112-K))</f>
        <v>0</v>
      </c>
      <c r="F112" s="4">
        <f ca="1">(CP*(D112-K)&gt;0)*1</f>
        <v>0</v>
      </c>
      <c r="H112" s="4">
        <v>97</v>
      </c>
      <c r="I112" s="3">
        <v>0.66762714029136117</v>
      </c>
      <c r="J112" s="128">
        <v>1.1169156854303035E-3</v>
      </c>
      <c r="K112" s="128"/>
      <c r="L112" s="128">
        <v>3.8199999999999998E-2</v>
      </c>
      <c r="O112" s="2"/>
    </row>
    <row r="113" spans="2:15" x14ac:dyDescent="0.2">
      <c r="B113" s="1">
        <v>98</v>
      </c>
      <c r="C113" s="5">
        <f ca="1">_xlfn.NORM.S.INV(RAND())</f>
        <v>0.29112956698321318</v>
      </c>
      <c r="D113" s="5">
        <f ca="1">S0*EXP((μ-0.5*σ*σ)*T+σ*SQRT(T)*$C113)</f>
        <v>0.68385449913816121</v>
      </c>
      <c r="E113" s="5">
        <f ca="1">MAX(0,CP*(D113-K))</f>
        <v>0</v>
      </c>
      <c r="F113" s="4">
        <f ca="1">(CP*(D113-K)&gt;0)*1</f>
        <v>0</v>
      </c>
      <c r="H113" s="4">
        <v>98</v>
      </c>
      <c r="I113" s="3">
        <v>0.66770711927656001</v>
      </c>
      <c r="J113" s="128">
        <v>1.1854280532887526E-3</v>
      </c>
      <c r="K113" s="128"/>
      <c r="L113" s="128">
        <v>4.1399999999999999E-2</v>
      </c>
      <c r="O113" s="2"/>
    </row>
    <row r="114" spans="2:15" x14ac:dyDescent="0.2">
      <c r="B114" s="1">
        <v>99</v>
      </c>
      <c r="C114" s="5">
        <f ca="1">_xlfn.NORM.S.INV(RAND())</f>
        <v>0.30836332714407982</v>
      </c>
      <c r="D114" s="5">
        <f ca="1">S0*EXP((μ-0.5*σ*σ)*T+σ*SQRT(T)*$C114)</f>
        <v>0.68501737797328532</v>
      </c>
      <c r="E114" s="5">
        <f ca="1">MAX(0,CP*(D114-K))</f>
        <v>0</v>
      </c>
      <c r="F114" s="4">
        <f ca="1">(CP*(D114-K)&gt;0)*1</f>
        <v>0</v>
      </c>
      <c r="H114" s="4">
        <v>99</v>
      </c>
      <c r="I114" s="3">
        <v>0.66778304341553718</v>
      </c>
      <c r="J114" s="128">
        <v>1.3352393922129091E-3</v>
      </c>
      <c r="K114" s="128"/>
      <c r="L114" s="128">
        <v>4.4600000000000001E-2</v>
      </c>
      <c r="O114" s="2"/>
    </row>
    <row r="115" spans="2:15" x14ac:dyDescent="0.2">
      <c r="B115" s="1">
        <v>100</v>
      </c>
      <c r="C115" s="5">
        <f ca="1">_xlfn.NORM.S.INV(RAND())</f>
        <v>0.200603773468334</v>
      </c>
      <c r="D115" s="5">
        <f ca="1">S0*EXP((μ-0.5*σ*σ)*T+σ*SQRT(T)*$C115)</f>
        <v>0.6777784505957718</v>
      </c>
      <c r="E115" s="5">
        <f ca="1">MAX(0,CP*(D115-K))</f>
        <v>0</v>
      </c>
      <c r="F115" s="4">
        <f ca="1">(CP*(D115-K)&gt;0)*1</f>
        <v>0</v>
      </c>
      <c r="H115" s="4">
        <v>100</v>
      </c>
      <c r="I115" s="3">
        <v>0.66776728860467538</v>
      </c>
      <c r="J115" s="128">
        <v>1.3561495740647309E-3</v>
      </c>
      <c r="K115" s="128"/>
      <c r="L115" s="128">
        <v>4.3200000000000002E-2</v>
      </c>
      <c r="O115" s="2"/>
    </row>
    <row r="116" spans="2:15" x14ac:dyDescent="0.2">
      <c r="B116" s="1">
        <v>101</v>
      </c>
      <c r="C116" s="5">
        <f ca="1">_xlfn.NORM.S.INV(RAND())</f>
        <v>-0.47250249812129985</v>
      </c>
      <c r="D116" s="5">
        <f ca="1">S0*EXP((μ-0.5*σ*σ)*T+σ*SQRT(T)*$C116)</f>
        <v>0.63426105053473458</v>
      </c>
      <c r="E116" s="5">
        <f ca="1">MAX(0,CP*(D116-K))</f>
        <v>0</v>
      </c>
      <c r="F116" s="4">
        <f ca="1">(CP*(D116-K)&gt;0)*1</f>
        <v>0</v>
      </c>
      <c r="H116" s="4">
        <v>101</v>
      </c>
      <c r="I116" s="3">
        <v>0.66792555261687958</v>
      </c>
      <c r="J116" s="128">
        <v>1.6418615593192616E-3</v>
      </c>
      <c r="K116" s="128"/>
      <c r="L116" s="128">
        <v>4.6600000000000003E-2</v>
      </c>
      <c r="M116" s="7"/>
      <c r="N116" s="7"/>
      <c r="O116" s="2"/>
    </row>
    <row r="117" spans="2:15" x14ac:dyDescent="0.2">
      <c r="B117" s="1">
        <v>102</v>
      </c>
      <c r="C117" s="5">
        <f ca="1">_xlfn.NORM.S.INV(RAND())</f>
        <v>-0.53665235775147246</v>
      </c>
      <c r="D117" s="5">
        <f ca="1">S0*EXP((μ-0.5*σ*σ)*T+σ*SQRT(T)*$C117)</f>
        <v>0.63026240527581456</v>
      </c>
      <c r="E117" s="5">
        <f ca="1">MAX(0,CP*(D117-K))</f>
        <v>0</v>
      </c>
      <c r="F117" s="4">
        <f ca="1">(CP*(D117-K)&gt;0)*1</f>
        <v>0</v>
      </c>
      <c r="H117" s="4">
        <v>102</v>
      </c>
      <c r="I117" s="3">
        <v>0.66771628315461451</v>
      </c>
      <c r="J117" s="128">
        <v>1.3842569362776239E-3</v>
      </c>
      <c r="K117" s="128"/>
      <c r="L117" s="128">
        <v>3.9E-2</v>
      </c>
      <c r="O117" s="2"/>
    </row>
    <row r="118" spans="2:15" x14ac:dyDescent="0.2">
      <c r="B118" s="1">
        <v>103</v>
      </c>
      <c r="C118" s="5">
        <f ca="1">_xlfn.NORM.S.INV(RAND())</f>
        <v>-2.1219200099224751</v>
      </c>
      <c r="D118" s="5">
        <f ca="1">S0*EXP((μ-0.5*σ*σ)*T+σ*SQRT(T)*$C118)</f>
        <v>0.53907177336976098</v>
      </c>
      <c r="E118" s="5">
        <f ca="1">MAX(0,CP*(D118-K))</f>
        <v>0</v>
      </c>
      <c r="F118" s="4">
        <f ca="1">(CP*(D118-K)&gt;0)*1</f>
        <v>0</v>
      </c>
      <c r="H118" s="4">
        <v>103</v>
      </c>
      <c r="I118" s="3">
        <v>0.66757681699387073</v>
      </c>
      <c r="J118" s="128">
        <v>1.259706177089972E-3</v>
      </c>
      <c r="K118" s="128"/>
      <c r="L118" s="128">
        <v>3.78E-2</v>
      </c>
      <c r="O118" s="2"/>
    </row>
    <row r="119" spans="2:15" x14ac:dyDescent="0.2">
      <c r="B119" s="1">
        <v>104</v>
      </c>
      <c r="C119" s="5">
        <f ca="1">_xlfn.NORM.S.INV(RAND())</f>
        <v>0.90956556468727656</v>
      </c>
      <c r="D119" s="5">
        <f ca="1">S0*EXP((μ-0.5*σ*σ)*T+σ*SQRT(T)*$C119)</f>
        <v>0.72684642810457745</v>
      </c>
      <c r="E119" s="5">
        <f ca="1">MAX(0,CP*(D119-K))</f>
        <v>0</v>
      </c>
      <c r="F119" s="4">
        <f ca="1">(CP*(D119-K)&gt;0)*1</f>
        <v>0</v>
      </c>
      <c r="H119" s="4">
        <v>104</v>
      </c>
      <c r="I119" s="3">
        <v>0.66779225147896537</v>
      </c>
      <c r="J119" s="128">
        <v>1.3727516575094147E-3</v>
      </c>
      <c r="K119" s="128"/>
      <c r="L119" s="128">
        <v>4.5600000000000002E-2</v>
      </c>
      <c r="O119" s="2"/>
    </row>
    <row r="120" spans="2:15" x14ac:dyDescent="0.2">
      <c r="B120" s="1">
        <v>105</v>
      </c>
      <c r="C120" s="5">
        <f ca="1">_xlfn.NORM.S.INV(RAND())</f>
        <v>-0.7387546533648458</v>
      </c>
      <c r="D120" s="5">
        <f ca="1">S0*EXP((μ-0.5*σ*σ)*T+σ*SQRT(T)*$C120)</f>
        <v>0.61782886091649536</v>
      </c>
      <c r="E120" s="5">
        <f ca="1">MAX(0,CP*(D120-K))</f>
        <v>0</v>
      </c>
      <c r="F120" s="4">
        <f ca="1">(CP*(D120-K)&gt;0)*1</f>
        <v>0</v>
      </c>
      <c r="H120" s="4">
        <v>105</v>
      </c>
      <c r="I120" s="3">
        <v>0.66769310502041412</v>
      </c>
      <c r="J120" s="128">
        <v>1.3333485714797299E-3</v>
      </c>
      <c r="K120" s="128"/>
      <c r="L120" s="128">
        <v>4.0399999999999998E-2</v>
      </c>
      <c r="O120" s="2"/>
    </row>
    <row r="121" spans="2:15" x14ac:dyDescent="0.2">
      <c r="B121" s="1">
        <v>106</v>
      </c>
      <c r="C121" s="5">
        <f ca="1">_xlfn.NORM.S.INV(RAND())</f>
        <v>1.2125492142220744</v>
      </c>
      <c r="D121" s="5">
        <f ca="1">S0*EXP((μ-0.5*σ*σ)*T+σ*SQRT(T)*$C121)</f>
        <v>0.74888512907069216</v>
      </c>
      <c r="E121" s="5">
        <f ca="1">MAX(0,CP*(D121-K))</f>
        <v>0</v>
      </c>
      <c r="F121" s="4">
        <f ca="1">(CP*(D121-K)&gt;0)*1</f>
        <v>0</v>
      </c>
      <c r="H121" s="4">
        <v>106</v>
      </c>
      <c r="I121" s="3">
        <v>0.66784074109255709</v>
      </c>
      <c r="J121" s="128">
        <v>1.5425248593498987E-3</v>
      </c>
      <c r="K121" s="128"/>
      <c r="L121" s="128">
        <v>4.3999999999999997E-2</v>
      </c>
      <c r="O121" s="2"/>
    </row>
    <row r="122" spans="2:15" x14ac:dyDescent="0.2">
      <c r="B122" s="1">
        <v>107</v>
      </c>
      <c r="C122" s="5">
        <f ca="1">_xlfn.NORM.S.INV(RAND())</f>
        <v>-4.5632872560446881E-2</v>
      </c>
      <c r="D122" s="5">
        <f ca="1">S0*EXP((μ-0.5*σ*σ)*T+σ*SQRT(T)*$C122)</f>
        <v>0.6615229108287608</v>
      </c>
      <c r="E122" s="5">
        <f ca="1">MAX(0,CP*(D122-K))</f>
        <v>0</v>
      </c>
      <c r="F122" s="4">
        <f ca="1">(CP*(D122-K)&gt;0)*1</f>
        <v>0</v>
      </c>
      <c r="H122" s="4">
        <v>107</v>
      </c>
      <c r="I122" s="3">
        <v>0.66768325870910716</v>
      </c>
      <c r="J122" s="128">
        <v>1.2931059222526312E-3</v>
      </c>
      <c r="K122" s="128"/>
      <c r="L122" s="128">
        <v>3.8199999999999998E-2</v>
      </c>
      <c r="O122" s="2"/>
    </row>
    <row r="123" spans="2:15" x14ac:dyDescent="0.2">
      <c r="B123" s="1">
        <v>108</v>
      </c>
      <c r="C123" s="5">
        <f ca="1">_xlfn.NORM.S.INV(RAND())</f>
        <v>-0.92373641725236144</v>
      </c>
      <c r="D123" s="5">
        <f ca="1">S0*EXP((μ-0.5*σ*σ)*T+σ*SQRT(T)*$C123)</f>
        <v>0.60666370588018315</v>
      </c>
      <c r="E123" s="5">
        <f ca="1">MAX(0,CP*(D123-K))</f>
        <v>0</v>
      </c>
      <c r="F123" s="4">
        <f ca="1">(CP*(D123-K)&gt;0)*1</f>
        <v>0</v>
      </c>
      <c r="H123" s="4">
        <v>108</v>
      </c>
      <c r="I123" s="3">
        <v>0.66752547606196821</v>
      </c>
      <c r="J123" s="128">
        <v>1.1557322926540568E-3</v>
      </c>
      <c r="K123" s="128"/>
      <c r="L123" s="128">
        <v>3.9E-2</v>
      </c>
      <c r="O123" s="2"/>
    </row>
    <row r="124" spans="2:15" x14ac:dyDescent="0.2">
      <c r="B124" s="1">
        <v>109</v>
      </c>
      <c r="C124" s="5">
        <f ca="1">_xlfn.NORM.S.INV(RAND())</f>
        <v>0.55586897542351565</v>
      </c>
      <c r="D124" s="5">
        <f ca="1">S0*EXP((μ-0.5*σ*σ)*T+σ*SQRT(T)*$C124)</f>
        <v>0.70193805743138826</v>
      </c>
      <c r="E124" s="5">
        <f ca="1">MAX(0,CP*(D124-K))</f>
        <v>0</v>
      </c>
      <c r="F124" s="4">
        <f ca="1">(CP*(D124-K)&gt;0)*1</f>
        <v>0</v>
      </c>
      <c r="H124" s="4">
        <v>109</v>
      </c>
      <c r="I124" s="3">
        <v>0.66780658136523929</v>
      </c>
      <c r="J124" s="128">
        <v>1.4740051809790365E-3</v>
      </c>
      <c r="K124" s="128"/>
      <c r="L124" s="128">
        <v>4.6399999999999997E-2</v>
      </c>
      <c r="O124" s="2"/>
    </row>
    <row r="125" spans="2:15" x14ac:dyDescent="0.2">
      <c r="B125" s="1">
        <v>110</v>
      </c>
      <c r="C125" s="5">
        <f ca="1">_xlfn.NORM.S.INV(RAND())</f>
        <v>-0.89247273073008782</v>
      </c>
      <c r="D125" s="5">
        <f ca="1">S0*EXP((μ-0.5*σ*σ)*T+σ*SQRT(T)*$C125)</f>
        <v>0.60853645407242718</v>
      </c>
      <c r="E125" s="5">
        <f ca="1">MAX(0,CP*(D125-K))</f>
        <v>0</v>
      </c>
      <c r="F125" s="4">
        <f ca="1">(CP*(D125-K)&gt;0)*1</f>
        <v>0</v>
      </c>
      <c r="H125" s="4">
        <v>110</v>
      </c>
      <c r="I125" s="3">
        <v>0.6676777861115083</v>
      </c>
      <c r="J125" s="128">
        <v>1.3681881857697256E-3</v>
      </c>
      <c r="K125" s="128"/>
      <c r="L125" s="128">
        <v>3.8800000000000001E-2</v>
      </c>
      <c r="O125" s="2"/>
    </row>
    <row r="126" spans="2:15" x14ac:dyDescent="0.2">
      <c r="B126" s="1">
        <v>111</v>
      </c>
      <c r="C126" s="5">
        <f ca="1">_xlfn.NORM.S.INV(RAND())</f>
        <v>-1.087016246203917</v>
      </c>
      <c r="D126" s="5">
        <f ca="1">S0*EXP((μ-0.5*σ*σ)*T+σ*SQRT(T)*$C126)</f>
        <v>0.59697621144753654</v>
      </c>
      <c r="E126" s="5">
        <f ca="1">MAX(0,CP*(D126-K))</f>
        <v>0</v>
      </c>
      <c r="F126" s="4">
        <f ca="1">(CP*(D126-K)&gt;0)*1</f>
        <v>0</v>
      </c>
      <c r="H126" s="4">
        <v>111</v>
      </c>
      <c r="I126" s="3">
        <v>0.66795278738148622</v>
      </c>
      <c r="J126" s="128">
        <v>1.6441412682249002E-3</v>
      </c>
      <c r="K126" s="128"/>
      <c r="L126" s="128">
        <v>4.8000000000000001E-2</v>
      </c>
      <c r="O126" s="2"/>
    </row>
    <row r="127" spans="2:15" x14ac:dyDescent="0.2">
      <c r="B127" s="1">
        <v>112</v>
      </c>
      <c r="C127" s="5">
        <f ca="1">_xlfn.NORM.S.INV(RAND())</f>
        <v>1.0589621402376659</v>
      </c>
      <c r="D127" s="5">
        <f ca="1">S0*EXP((μ-0.5*σ*σ)*T+σ*SQRT(T)*$C127)</f>
        <v>0.73763110729629111</v>
      </c>
      <c r="E127" s="5">
        <f ca="1">MAX(0,CP*(D127-K))</f>
        <v>0</v>
      </c>
      <c r="F127" s="4">
        <f ca="1">(CP*(D127-K)&gt;0)*1</f>
        <v>0</v>
      </c>
      <c r="H127" s="4">
        <v>112</v>
      </c>
      <c r="I127" s="3">
        <v>0.66772153663483591</v>
      </c>
      <c r="J127" s="128">
        <v>1.2526752038757752E-3</v>
      </c>
      <c r="K127" s="128"/>
      <c r="L127" s="128">
        <v>4.0399999999999998E-2</v>
      </c>
      <c r="O127" s="2"/>
    </row>
    <row r="128" spans="2:15" x14ac:dyDescent="0.2">
      <c r="B128" s="1">
        <v>113</v>
      </c>
      <c r="C128" s="5">
        <f ca="1">_xlfn.NORM.S.INV(RAND())</f>
        <v>0.60381983666033123</v>
      </c>
      <c r="D128" s="5">
        <f ca="1">S0*EXP((μ-0.5*σ*σ)*T+σ*SQRT(T)*$C128)</f>
        <v>0.70526422295872671</v>
      </c>
      <c r="E128" s="5">
        <f ca="1">MAX(0,CP*(D128-K))</f>
        <v>0</v>
      </c>
      <c r="F128" s="4">
        <f ca="1">(CP*(D128-K)&gt;0)*1</f>
        <v>0</v>
      </c>
      <c r="H128" s="4">
        <v>113</v>
      </c>
      <c r="I128" s="3">
        <v>0.66780703036740496</v>
      </c>
      <c r="J128" s="128">
        <v>1.280669512406946E-3</v>
      </c>
      <c r="K128" s="128"/>
      <c r="L128" s="128">
        <v>4.3400000000000001E-2</v>
      </c>
      <c r="O128" s="2"/>
    </row>
    <row r="129" spans="2:15" x14ac:dyDescent="0.2">
      <c r="B129" s="1">
        <v>114</v>
      </c>
      <c r="C129" s="5">
        <f ca="1">_xlfn.NORM.S.INV(RAND())</f>
        <v>0.4191942875427892</v>
      </c>
      <c r="D129" s="5">
        <f ca="1">S0*EXP((μ-0.5*σ*σ)*T+σ*SQRT(T)*$C129)</f>
        <v>0.69254329170112461</v>
      </c>
      <c r="E129" s="5">
        <f ca="1">MAX(0,CP*(D129-K))</f>
        <v>0</v>
      </c>
      <c r="F129" s="4">
        <f ca="1">(CP*(D129-K)&gt;0)*1</f>
        <v>0</v>
      </c>
      <c r="H129" s="4">
        <v>114</v>
      </c>
      <c r="I129" s="3">
        <v>0.66755790339818954</v>
      </c>
      <c r="J129" s="128">
        <v>1.1354247237680716E-3</v>
      </c>
      <c r="K129" s="128"/>
      <c r="L129" s="128">
        <v>3.3000000000000002E-2</v>
      </c>
      <c r="O129" s="2"/>
    </row>
    <row r="130" spans="2:15" x14ac:dyDescent="0.2">
      <c r="B130" s="1">
        <v>115</v>
      </c>
      <c r="C130" s="5">
        <f ca="1">_xlfn.NORM.S.INV(RAND())</f>
        <v>2.174431747813987</v>
      </c>
      <c r="D130" s="5">
        <f ca="1">S0*EXP((μ-0.5*σ*σ)*T+σ*SQRT(T)*$C130)</f>
        <v>0.82337781944228094</v>
      </c>
      <c r="E130" s="5">
        <f ca="1">MAX(0,CP*(D130-K))</f>
        <v>3.5177819442280933E-2</v>
      </c>
      <c r="F130" s="4">
        <f ca="1">(CP*(D130-K)&gt;0)*1</f>
        <v>1</v>
      </c>
      <c r="H130" s="4">
        <v>115</v>
      </c>
      <c r="I130" s="3">
        <v>0.66760043109205358</v>
      </c>
      <c r="J130" s="128">
        <v>1.2063060005476564E-3</v>
      </c>
      <c r="K130" s="128"/>
      <c r="L130" s="128">
        <v>3.9E-2</v>
      </c>
      <c r="O130" s="2"/>
    </row>
    <row r="131" spans="2:15" x14ac:dyDescent="0.2">
      <c r="B131" s="1">
        <v>116</v>
      </c>
      <c r="C131" s="5">
        <f ca="1">_xlfn.NORM.S.INV(RAND())</f>
        <v>0.30276261027269474</v>
      </c>
      <c r="D131" s="5">
        <f ca="1">S0*EXP((μ-0.5*σ*σ)*T+σ*SQRT(T)*$C131)</f>
        <v>0.68463924283711486</v>
      </c>
      <c r="E131" s="5">
        <f ca="1">MAX(0,CP*(D131-K))</f>
        <v>0</v>
      </c>
      <c r="F131" s="4">
        <f ca="1">(CP*(D131-K)&gt;0)*1</f>
        <v>0</v>
      </c>
      <c r="H131" s="4">
        <v>116</v>
      </c>
      <c r="I131" s="3">
        <v>0.66783014546156139</v>
      </c>
      <c r="J131" s="128">
        <v>1.5072744248098339E-3</v>
      </c>
      <c r="K131" s="128"/>
      <c r="L131" s="128">
        <v>4.4200000000000003E-2</v>
      </c>
      <c r="O131" s="2"/>
    </row>
    <row r="132" spans="2:15" x14ac:dyDescent="0.2">
      <c r="B132" s="1">
        <v>117</v>
      </c>
      <c r="C132" s="5">
        <f ca="1">_xlfn.NORM.S.INV(RAND())</f>
        <v>4.6238380229940763E-2</v>
      </c>
      <c r="D132" s="5">
        <f ca="1">S0*EXP((μ-0.5*σ*σ)*T+σ*SQRT(T)*$C132)</f>
        <v>0.66754177459011443</v>
      </c>
      <c r="E132" s="5">
        <f ca="1">MAX(0,CP*(D132-K))</f>
        <v>0</v>
      </c>
      <c r="F132" s="4">
        <f ca="1">(CP*(D132-K)&gt;0)*1</f>
        <v>0</v>
      </c>
      <c r="H132" s="4">
        <v>117</v>
      </c>
      <c r="I132" s="3">
        <v>0.66777631454497477</v>
      </c>
      <c r="J132" s="128">
        <v>1.3721769764115732E-3</v>
      </c>
      <c r="K132" s="128"/>
      <c r="L132" s="128">
        <v>4.1399999999999999E-2</v>
      </c>
      <c r="O132" s="2"/>
    </row>
    <row r="133" spans="2:15" x14ac:dyDescent="0.2">
      <c r="B133" s="1">
        <v>118</v>
      </c>
      <c r="C133" s="5">
        <f ca="1">_xlfn.NORM.S.INV(RAND())</f>
        <v>-0.20823867776121163</v>
      </c>
      <c r="D133" s="5">
        <f ca="1">S0*EXP((μ-0.5*σ*σ)*T+σ*SQRT(T)*$C133)</f>
        <v>0.65100265641625155</v>
      </c>
      <c r="E133" s="5">
        <f ca="1">MAX(0,CP*(D133-K))</f>
        <v>0</v>
      </c>
      <c r="F133" s="4">
        <f ca="1">(CP*(D133-K)&gt;0)*1</f>
        <v>0</v>
      </c>
      <c r="H133" s="4">
        <v>118</v>
      </c>
      <c r="I133" s="3">
        <v>0.66775192197487887</v>
      </c>
      <c r="J133" s="128">
        <v>1.3541243761702349E-3</v>
      </c>
      <c r="K133" s="128"/>
      <c r="L133" s="128">
        <v>4.2599999999999999E-2</v>
      </c>
      <c r="O133" s="2"/>
    </row>
    <row r="134" spans="2:15" x14ac:dyDescent="0.2">
      <c r="B134" s="1">
        <v>119</v>
      </c>
      <c r="C134" s="5">
        <f ca="1">_xlfn.NORM.S.INV(RAND())</f>
        <v>0.14012845448024799</v>
      </c>
      <c r="D134" s="5">
        <f ca="1">S0*EXP((μ-0.5*σ*σ)*T+σ*SQRT(T)*$C134)</f>
        <v>0.67374948431385961</v>
      </c>
      <c r="E134" s="5">
        <f ca="1">MAX(0,CP*(D134-K))</f>
        <v>0</v>
      </c>
      <c r="F134" s="4">
        <f ca="1">(CP*(D134-K)&gt;0)*1</f>
        <v>0</v>
      </c>
      <c r="H134" s="4">
        <v>119</v>
      </c>
      <c r="I134" s="3">
        <v>0.66764215764548185</v>
      </c>
      <c r="J134" s="128">
        <v>1.2755404583874043E-3</v>
      </c>
      <c r="K134" s="128"/>
      <c r="L134" s="128">
        <v>3.9199999999999999E-2</v>
      </c>
      <c r="O134" s="2"/>
    </row>
    <row r="135" spans="2:15" x14ac:dyDescent="0.2">
      <c r="B135" s="1">
        <v>120</v>
      </c>
      <c r="C135" s="5">
        <f ca="1">_xlfn.NORM.S.INV(RAND())</f>
        <v>6.0233565162522609E-2</v>
      </c>
      <c r="D135" s="5">
        <f ca="1">S0*EXP((μ-0.5*σ*σ)*T+σ*SQRT(T)*$C135)</f>
        <v>0.66846345096276183</v>
      </c>
      <c r="E135" s="5">
        <f ca="1">MAX(0,CP*(D135-K))</f>
        <v>0</v>
      </c>
      <c r="F135" s="4">
        <f ca="1">(CP*(D135-K)&gt;0)*1</f>
        <v>0</v>
      </c>
      <c r="H135" s="4">
        <v>120</v>
      </c>
      <c r="I135" s="3">
        <v>0.66766791580627283</v>
      </c>
      <c r="J135" s="128">
        <v>1.1674290115521041E-3</v>
      </c>
      <c r="K135" s="128"/>
      <c r="L135" s="128">
        <v>4.1399999999999999E-2</v>
      </c>
      <c r="O135" s="2"/>
    </row>
    <row r="136" spans="2:15" x14ac:dyDescent="0.2">
      <c r="B136" s="1">
        <v>121</v>
      </c>
      <c r="C136" s="5">
        <f ca="1">_xlfn.NORM.S.INV(RAND())</f>
        <v>0.27100453060288349</v>
      </c>
      <c r="D136" s="5">
        <f ca="1">S0*EXP((μ-0.5*σ*σ)*T+σ*SQRT(T)*$C136)</f>
        <v>0.68249902468208701</v>
      </c>
      <c r="E136" s="5">
        <f ca="1">MAX(0,CP*(D136-K))</f>
        <v>0</v>
      </c>
      <c r="F136" s="4">
        <f ca="1">(CP*(D136-K)&gt;0)*1</f>
        <v>0</v>
      </c>
      <c r="H136" s="4">
        <v>121</v>
      </c>
      <c r="I136" s="3">
        <v>0.6677601193332896</v>
      </c>
      <c r="J136" s="128">
        <v>1.3942329031154149E-3</v>
      </c>
      <c r="K136" s="128"/>
      <c r="L136" s="128">
        <v>4.0399999999999998E-2</v>
      </c>
      <c r="O136" s="2"/>
    </row>
    <row r="137" spans="2:15" x14ac:dyDescent="0.2">
      <c r="B137" s="1">
        <v>122</v>
      </c>
      <c r="C137" s="5">
        <f ca="1">_xlfn.NORM.S.INV(RAND())</f>
        <v>0.8174660231557993</v>
      </c>
      <c r="D137" s="5">
        <f ca="1">S0*EXP((μ-0.5*σ*σ)*T+σ*SQRT(T)*$C137)</f>
        <v>0.7202766352791109</v>
      </c>
      <c r="E137" s="5">
        <f ca="1">MAX(0,CP*(D137-K))</f>
        <v>0</v>
      </c>
      <c r="F137" s="4">
        <f ca="1">(CP*(D137-K)&gt;0)*1</f>
        <v>0</v>
      </c>
      <c r="H137" s="4">
        <v>122</v>
      </c>
      <c r="I137" s="3">
        <v>0.66772384799692974</v>
      </c>
      <c r="J137" s="128">
        <v>1.3138287427205974E-3</v>
      </c>
      <c r="K137" s="128"/>
      <c r="L137" s="128">
        <v>4.1200000000000001E-2</v>
      </c>
      <c r="O137" s="2"/>
    </row>
    <row r="138" spans="2:15" x14ac:dyDescent="0.2">
      <c r="B138" s="1">
        <v>123</v>
      </c>
      <c r="C138" s="5">
        <f ca="1">_xlfn.NORM.S.INV(RAND())</f>
        <v>0.82942078082671877</v>
      </c>
      <c r="D138" s="5">
        <f ca="1">S0*EXP((μ-0.5*σ*σ)*T+σ*SQRT(T)*$C138)</f>
        <v>0.7211260460767317</v>
      </c>
      <c r="E138" s="5">
        <f ca="1">MAX(0,CP*(D138-K))</f>
        <v>0</v>
      </c>
      <c r="F138" s="4">
        <f ca="1">(CP*(D138-K)&gt;0)*1</f>
        <v>0</v>
      </c>
      <c r="H138" s="4">
        <v>123</v>
      </c>
      <c r="I138" s="3">
        <v>0.66769767433876437</v>
      </c>
      <c r="J138" s="128">
        <v>1.3840798837514948E-3</v>
      </c>
      <c r="K138" s="128"/>
      <c r="L138" s="128">
        <v>3.7199999999999997E-2</v>
      </c>
      <c r="O138" s="2"/>
    </row>
    <row r="139" spans="2:15" x14ac:dyDescent="0.2">
      <c r="B139" s="1">
        <v>124</v>
      </c>
      <c r="C139" s="5">
        <f ca="1">_xlfn.NORM.S.INV(RAND())</f>
        <v>0.13886743955444952</v>
      </c>
      <c r="D139" s="5">
        <f ca="1">S0*EXP((μ-0.5*σ*σ)*T+σ*SQRT(T)*$C139)</f>
        <v>0.67366572880185138</v>
      </c>
      <c r="E139" s="5">
        <f ca="1">MAX(0,CP*(D139-K))</f>
        <v>0</v>
      </c>
      <c r="F139" s="4">
        <f ca="1">(CP*(D139-K)&gt;0)*1</f>
        <v>0</v>
      </c>
      <c r="H139" s="4">
        <v>124</v>
      </c>
      <c r="I139" s="3">
        <v>0.66761770176009738</v>
      </c>
      <c r="J139" s="128">
        <v>1.3109992798454734E-3</v>
      </c>
      <c r="K139" s="128"/>
      <c r="L139" s="128">
        <v>3.9600000000000003E-2</v>
      </c>
      <c r="O139" s="2"/>
    </row>
    <row r="140" spans="2:15" x14ac:dyDescent="0.2">
      <c r="B140" s="1">
        <v>125</v>
      </c>
      <c r="C140" s="5">
        <f ca="1">_xlfn.NORM.S.INV(RAND())</f>
        <v>-0.81827718138782324</v>
      </c>
      <c r="D140" s="5">
        <f ca="1">S0*EXP((μ-0.5*σ*σ)*T+σ*SQRT(T)*$C140)</f>
        <v>0.61300406681624187</v>
      </c>
      <c r="E140" s="5">
        <f ca="1">MAX(0,CP*(D140-K))</f>
        <v>0</v>
      </c>
      <c r="F140" s="4">
        <f ca="1">(CP*(D140-K)&gt;0)*1</f>
        <v>0</v>
      </c>
      <c r="H140" s="4">
        <v>125</v>
      </c>
      <c r="I140" s="3">
        <v>0.66773907155724799</v>
      </c>
      <c r="J140" s="128">
        <v>1.3228084077558182E-3</v>
      </c>
      <c r="K140" s="128"/>
      <c r="L140" s="128">
        <v>4.2999999999999997E-2</v>
      </c>
      <c r="O140" s="2"/>
    </row>
    <row r="141" spans="2:15" x14ac:dyDescent="0.2">
      <c r="B141" s="1">
        <v>126</v>
      </c>
      <c r="C141" s="5">
        <f ca="1">_xlfn.NORM.S.INV(RAND())</f>
        <v>-1.7039584777001908</v>
      </c>
      <c r="D141" s="5">
        <f ca="1">S0*EXP((μ-0.5*σ*σ)*T+σ*SQRT(T)*$C141)</f>
        <v>0.56174864120194734</v>
      </c>
      <c r="E141" s="5">
        <f ca="1">MAX(0,CP*(D141-K))</f>
        <v>0</v>
      </c>
      <c r="F141" s="4">
        <f ca="1">(CP*(D141-K)&gt;0)*1</f>
        <v>0</v>
      </c>
      <c r="H141" s="4">
        <v>126</v>
      </c>
      <c r="I141" s="3">
        <v>0.66770110646299285</v>
      </c>
      <c r="J141" s="128">
        <v>1.272480206095241E-3</v>
      </c>
      <c r="K141" s="128"/>
      <c r="L141" s="128">
        <v>3.9600000000000003E-2</v>
      </c>
      <c r="O141" s="2"/>
    </row>
    <row r="142" spans="2:15" x14ac:dyDescent="0.2">
      <c r="B142" s="1">
        <v>127</v>
      </c>
      <c r="C142" s="5">
        <f ca="1">_xlfn.NORM.S.INV(RAND())</f>
        <v>0.17045902420083175</v>
      </c>
      <c r="D142" s="5">
        <f ca="1">S0*EXP((μ-0.5*σ*σ)*T+σ*SQRT(T)*$C142)</f>
        <v>0.67576715466810588</v>
      </c>
      <c r="E142" s="5">
        <f ca="1">MAX(0,CP*(D142-K))</f>
        <v>0</v>
      </c>
      <c r="F142" s="4">
        <f ca="1">(CP*(D142-K)&gt;0)*1</f>
        <v>0</v>
      </c>
      <c r="H142" s="4">
        <v>127</v>
      </c>
      <c r="I142" s="3">
        <v>0.66783283914280644</v>
      </c>
      <c r="J142" s="128">
        <v>1.5344647466618523E-3</v>
      </c>
      <c r="K142" s="128"/>
      <c r="L142" s="128">
        <v>4.4600000000000001E-2</v>
      </c>
      <c r="O142" s="2"/>
    </row>
    <row r="143" spans="2:15" x14ac:dyDescent="0.2">
      <c r="B143" s="1">
        <v>128</v>
      </c>
      <c r="C143" s="5">
        <f ca="1">_xlfn.NORM.S.INV(RAND())</f>
        <v>0.53580086015483985</v>
      </c>
      <c r="D143" s="5">
        <f ca="1">S0*EXP((μ-0.5*σ*σ)*T+σ*SQRT(T)*$C143)</f>
        <v>0.7005506706588055</v>
      </c>
      <c r="E143" s="5">
        <f ca="1">MAX(0,CP*(D143-K))</f>
        <v>0</v>
      </c>
      <c r="F143" s="4">
        <f ca="1">(CP*(D143-K)&gt;0)*1</f>
        <v>0</v>
      </c>
      <c r="H143" s="4">
        <v>128</v>
      </c>
      <c r="I143" s="3">
        <v>0.66794211954958593</v>
      </c>
      <c r="J143" s="128">
        <v>1.6177487657508631E-3</v>
      </c>
      <c r="K143" s="128"/>
      <c r="L143" s="128">
        <v>4.5199999999999997E-2</v>
      </c>
      <c r="O143" s="2"/>
    </row>
    <row r="144" spans="2:15" x14ac:dyDescent="0.2">
      <c r="B144" s="1">
        <v>129</v>
      </c>
      <c r="C144" s="5">
        <f ca="1">_xlfn.NORM.S.INV(RAND())</f>
        <v>4.2017490853471437E-2</v>
      </c>
      <c r="D144" s="5">
        <f ca="1">S0*EXP((μ-0.5*σ*σ)*T+σ*SQRT(T)*$C144)</f>
        <v>0.6672640503533811</v>
      </c>
      <c r="E144" s="5">
        <f ca="1">MAX(0,CP*(D144-K))</f>
        <v>0</v>
      </c>
      <c r="F144" s="4">
        <f ca="1">(CP*(D144-K)&gt;0)*1</f>
        <v>0</v>
      </c>
      <c r="H144" s="4">
        <v>129</v>
      </c>
      <c r="I144" s="3">
        <v>0.66783669886444408</v>
      </c>
      <c r="J144" s="128">
        <v>1.4978765012018623E-3</v>
      </c>
      <c r="K144" s="128"/>
      <c r="L144" s="128">
        <v>4.7199999999999999E-2</v>
      </c>
      <c r="O144" s="2"/>
    </row>
    <row r="145" spans="2:15" x14ac:dyDescent="0.2">
      <c r="B145" s="1">
        <v>130</v>
      </c>
      <c r="C145" s="5">
        <f ca="1">_xlfn.NORM.S.INV(RAND())</f>
        <v>-1.387990068057106</v>
      </c>
      <c r="D145" s="5">
        <f ca="1">S0*EXP((μ-0.5*σ*σ)*T+σ*SQRT(T)*$C145)</f>
        <v>0.57952280692741187</v>
      </c>
      <c r="E145" s="5">
        <f ca="1">MAX(0,CP*(D145-K))</f>
        <v>0</v>
      </c>
      <c r="F145" s="4">
        <f ca="1">(CP*(D145-K)&gt;0)*1</f>
        <v>0</v>
      </c>
      <c r="H145" s="4">
        <v>130</v>
      </c>
      <c r="I145" s="3">
        <v>0.66780398063245661</v>
      </c>
      <c r="J145" s="128">
        <v>1.3721704915923621E-3</v>
      </c>
      <c r="K145" s="128"/>
      <c r="L145" s="128">
        <v>4.4200000000000003E-2</v>
      </c>
      <c r="O145" s="2"/>
    </row>
    <row r="146" spans="2:15" x14ac:dyDescent="0.2">
      <c r="B146" s="1">
        <v>131</v>
      </c>
      <c r="C146" s="5">
        <f ca="1">_xlfn.NORM.S.INV(RAND())</f>
        <v>1.0471404418944006</v>
      </c>
      <c r="D146" s="5">
        <f ca="1">S0*EXP((μ-0.5*σ*σ)*T+σ*SQRT(T)*$C146)</f>
        <v>0.73677192016653481</v>
      </c>
      <c r="E146" s="5">
        <f ca="1">MAX(0,CP*(D146-K))</f>
        <v>0</v>
      </c>
      <c r="F146" s="4">
        <f ca="1">(CP*(D146-K)&gt;0)*1</f>
        <v>0</v>
      </c>
      <c r="H146" s="4">
        <v>131</v>
      </c>
      <c r="I146" s="3">
        <v>0.6678311130576301</v>
      </c>
      <c r="J146" s="128">
        <v>1.340194374147246E-3</v>
      </c>
      <c r="K146" s="128"/>
      <c r="L146" s="128">
        <v>4.5400000000000003E-2</v>
      </c>
      <c r="O146" s="2"/>
    </row>
    <row r="147" spans="2:15" x14ac:dyDescent="0.2">
      <c r="B147" s="1">
        <v>132</v>
      </c>
      <c r="C147" s="5">
        <f ca="1">_xlfn.NORM.S.INV(RAND())</f>
        <v>0.82497641925263332</v>
      </c>
      <c r="D147" s="5">
        <f ca="1">S0*EXP((μ-0.5*σ*σ)*T+σ*SQRT(T)*$C147)</f>
        <v>0.72081014788120634</v>
      </c>
      <c r="E147" s="5">
        <f ca="1">MAX(0,CP*(D147-K))</f>
        <v>0</v>
      </c>
      <c r="F147" s="4">
        <f ca="1">(CP*(D147-K)&gt;0)*1</f>
        <v>0</v>
      </c>
      <c r="H147" s="4">
        <v>132</v>
      </c>
      <c r="I147" s="3">
        <v>0.66780273456935024</v>
      </c>
      <c r="J147" s="128">
        <v>1.3317304013382625E-3</v>
      </c>
      <c r="K147" s="128"/>
      <c r="L147" s="128">
        <v>4.4999999999999998E-2</v>
      </c>
      <c r="O147" s="2"/>
    </row>
    <row r="148" spans="2:15" x14ac:dyDescent="0.2">
      <c r="B148" s="1">
        <v>133</v>
      </c>
      <c r="C148" s="5">
        <f ca="1">_xlfn.NORM.S.INV(RAND())</f>
        <v>0.25262216851574826</v>
      </c>
      <c r="D148" s="5">
        <f ca="1">S0*EXP((μ-0.5*σ*σ)*T+σ*SQRT(T)*$C148)</f>
        <v>0.68126327188571256</v>
      </c>
      <c r="E148" s="5">
        <f ca="1">MAX(0,CP*(D148-K))</f>
        <v>0</v>
      </c>
      <c r="F148" s="4">
        <f ca="1">(CP*(D148-K)&gt;0)*1</f>
        <v>0</v>
      </c>
      <c r="H148" s="4">
        <v>133</v>
      </c>
      <c r="I148" s="3">
        <v>0.66780070802230684</v>
      </c>
      <c r="J148" s="128">
        <v>1.4543650493060983E-3</v>
      </c>
      <c r="K148" s="128"/>
      <c r="L148" s="128">
        <v>4.3400000000000001E-2</v>
      </c>
      <c r="O148" s="2"/>
    </row>
    <row r="149" spans="2:15" x14ac:dyDescent="0.2">
      <c r="B149" s="1">
        <v>134</v>
      </c>
      <c r="C149" s="5">
        <f ca="1">_xlfn.NORM.S.INV(RAND())</f>
        <v>-1.0640114673573997</v>
      </c>
      <c r="D149" s="5">
        <f ca="1">S0*EXP((μ-0.5*σ*σ)*T+σ*SQRT(T)*$C149)</f>
        <v>0.59833167981832813</v>
      </c>
      <c r="E149" s="5">
        <f ca="1">MAX(0,CP*(D149-K))</f>
        <v>0</v>
      </c>
      <c r="F149" s="4">
        <f ca="1">(CP*(D149-K)&gt;0)*1</f>
        <v>0</v>
      </c>
      <c r="H149" s="4">
        <v>134</v>
      </c>
      <c r="I149" s="3">
        <v>0.66768743876479397</v>
      </c>
      <c r="J149" s="128">
        <v>1.3513502728738018E-3</v>
      </c>
      <c r="K149" s="128"/>
      <c r="L149" s="128">
        <v>3.9199999999999999E-2</v>
      </c>
      <c r="O149" s="2"/>
    </row>
    <row r="150" spans="2:15" x14ac:dyDescent="0.2">
      <c r="B150" s="1">
        <v>135</v>
      </c>
      <c r="C150" s="5">
        <f ca="1">_xlfn.NORM.S.INV(RAND())</f>
        <v>1.4816827190584192</v>
      </c>
      <c r="D150" s="5">
        <f ca="1">S0*EXP((μ-0.5*σ*σ)*T+σ*SQRT(T)*$C150)</f>
        <v>0.76902139986672491</v>
      </c>
      <c r="E150" s="5">
        <f ca="1">MAX(0,CP*(D150-K))</f>
        <v>0</v>
      </c>
      <c r="F150" s="4">
        <f ca="1">(CP*(D150-K)&gt;0)*1</f>
        <v>0</v>
      </c>
      <c r="H150" s="4">
        <v>135</v>
      </c>
      <c r="I150" s="3">
        <v>0.6679324376642729</v>
      </c>
      <c r="J150" s="128">
        <v>1.4837075892982969E-3</v>
      </c>
      <c r="K150" s="128"/>
      <c r="L150" s="128">
        <v>4.4600000000000001E-2</v>
      </c>
      <c r="O150" s="2"/>
    </row>
    <row r="151" spans="2:15" x14ac:dyDescent="0.2">
      <c r="B151" s="1">
        <v>136</v>
      </c>
      <c r="C151" s="5">
        <f ca="1">_xlfn.NORM.S.INV(RAND())</f>
        <v>-0.42771358185632524</v>
      </c>
      <c r="D151" s="5">
        <f ca="1">S0*EXP((μ-0.5*σ*σ)*T+σ*SQRT(T)*$C151)</f>
        <v>0.63706790251760759</v>
      </c>
      <c r="E151" s="5">
        <f ca="1">MAX(0,CP*(D151-K))</f>
        <v>0</v>
      </c>
      <c r="F151" s="4">
        <f ca="1">(CP*(D151-K)&gt;0)*1</f>
        <v>0</v>
      </c>
      <c r="H151" s="4">
        <v>136</v>
      </c>
      <c r="I151" s="3">
        <v>0.66770666870134343</v>
      </c>
      <c r="J151" s="128">
        <v>1.4116785637556389E-3</v>
      </c>
      <c r="K151" s="128"/>
      <c r="L151" s="128">
        <v>4.0599999999999997E-2</v>
      </c>
      <c r="O151" s="2"/>
    </row>
    <row r="152" spans="2:15" x14ac:dyDescent="0.2">
      <c r="B152" s="1">
        <v>137</v>
      </c>
      <c r="C152" s="5">
        <f ca="1">_xlfn.NORM.S.INV(RAND())</f>
        <v>2.1662222542912382</v>
      </c>
      <c r="D152" s="5">
        <f ca="1">S0*EXP((μ-0.5*σ*σ)*T+σ*SQRT(T)*$C152)</f>
        <v>0.82271168557916485</v>
      </c>
      <c r="E152" s="5">
        <f ca="1">MAX(0,CP*(D152-K))</f>
        <v>3.4511685579164841E-2</v>
      </c>
      <c r="F152" s="4">
        <f ca="1">(CP*(D152-K)&gt;0)*1</f>
        <v>1</v>
      </c>
      <c r="H152" s="4">
        <v>137</v>
      </c>
      <c r="I152" s="3">
        <v>0.66761467349002801</v>
      </c>
      <c r="J152" s="128">
        <v>1.2400791770463048E-3</v>
      </c>
      <c r="K152" s="128"/>
      <c r="L152" s="128">
        <v>3.7199999999999997E-2</v>
      </c>
      <c r="O152" s="2"/>
    </row>
    <row r="153" spans="2:15" x14ac:dyDescent="0.2">
      <c r="B153" s="1">
        <v>138</v>
      </c>
      <c r="C153" s="5">
        <f ca="1">_xlfn.NORM.S.INV(RAND())</f>
        <v>0.16693430169622725</v>
      </c>
      <c r="D153" s="5">
        <f ca="1">S0*EXP((μ-0.5*σ*σ)*T+σ*SQRT(T)*$C153)</f>
        <v>0.67553237078770079</v>
      </c>
      <c r="E153" s="5">
        <f ca="1">MAX(0,CP*(D153-K))</f>
        <v>0</v>
      </c>
      <c r="F153" s="4">
        <f ca="1">(CP*(D153-K)&gt;0)*1</f>
        <v>0</v>
      </c>
      <c r="H153" s="4">
        <v>138</v>
      </c>
      <c r="I153" s="3">
        <v>0.66779492121142503</v>
      </c>
      <c r="J153" s="128">
        <v>1.3482517551198032E-3</v>
      </c>
      <c r="K153" s="128"/>
      <c r="L153" s="128">
        <v>4.3200000000000002E-2</v>
      </c>
      <c r="O153" s="2"/>
    </row>
    <row r="154" spans="2:15" x14ac:dyDescent="0.2">
      <c r="B154" s="1">
        <v>139</v>
      </c>
      <c r="C154" s="5">
        <f ca="1">_xlfn.NORM.S.INV(RAND())</f>
        <v>-5.2763149848645441E-2</v>
      </c>
      <c r="D154" s="5">
        <f ca="1">S0*EXP((μ-0.5*σ*σ)*T+σ*SQRT(T)*$C154)</f>
        <v>0.66105805273836526</v>
      </c>
      <c r="E154" s="5">
        <f ca="1">MAX(0,CP*(D154-K))</f>
        <v>0</v>
      </c>
      <c r="F154" s="4">
        <f ca="1">(CP*(D154-K)&gt;0)*1</f>
        <v>0</v>
      </c>
      <c r="H154" s="4">
        <v>139</v>
      </c>
      <c r="I154" s="3">
        <v>0.66776569785885054</v>
      </c>
      <c r="J154" s="128">
        <v>1.4378120142971621E-3</v>
      </c>
      <c r="K154" s="128"/>
      <c r="L154" s="128">
        <v>4.3200000000000002E-2</v>
      </c>
      <c r="O154" s="2"/>
    </row>
    <row r="155" spans="2:15" x14ac:dyDescent="0.2">
      <c r="B155" s="1">
        <v>140</v>
      </c>
      <c r="C155" s="5">
        <f ca="1">_xlfn.NORM.S.INV(RAND())</f>
        <v>-0.51052840449431436</v>
      </c>
      <c r="D155" s="5">
        <f ca="1">S0*EXP((μ-0.5*σ*σ)*T+σ*SQRT(T)*$C155)</f>
        <v>0.63188773471852566</v>
      </c>
      <c r="E155" s="5">
        <f ca="1">MAX(0,CP*(D155-K))</f>
        <v>0</v>
      </c>
      <c r="F155" s="4">
        <f ca="1">(CP*(D155-K)&gt;0)*1</f>
        <v>0</v>
      </c>
      <c r="H155" s="4">
        <v>140</v>
      </c>
      <c r="I155" s="3">
        <v>0.66775902852803137</v>
      </c>
      <c r="J155" s="128">
        <v>1.5299629714001449E-3</v>
      </c>
      <c r="K155" s="128"/>
      <c r="L155" s="128">
        <v>4.4200000000000003E-2</v>
      </c>
      <c r="O155" s="2"/>
    </row>
    <row r="156" spans="2:15" x14ac:dyDescent="0.2">
      <c r="B156" s="1">
        <v>141</v>
      </c>
      <c r="C156" s="5">
        <f ca="1">_xlfn.NORM.S.INV(RAND())</f>
        <v>0.56336537124689556</v>
      </c>
      <c r="D156" s="5">
        <f ca="1">S0*EXP((μ-0.5*σ*σ)*T+σ*SQRT(T)*$C156)</f>
        <v>0.70245701698666485</v>
      </c>
      <c r="E156" s="5">
        <f ca="1">MAX(0,CP*(D156-K))</f>
        <v>0</v>
      </c>
      <c r="F156" s="4">
        <f ca="1">(CP*(D156-K)&gt;0)*1</f>
        <v>0</v>
      </c>
      <c r="H156" s="4">
        <v>141</v>
      </c>
      <c r="I156" s="3">
        <v>0.66757094919178661</v>
      </c>
      <c r="J156" s="128">
        <v>1.1926398835649292E-3</v>
      </c>
      <c r="K156" s="128"/>
      <c r="L156" s="128">
        <v>3.7400000000000003E-2</v>
      </c>
      <c r="O156" s="2"/>
    </row>
    <row r="157" spans="2:15" x14ac:dyDescent="0.2">
      <c r="B157" s="1">
        <v>142</v>
      </c>
      <c r="C157" s="5">
        <f ca="1">_xlfn.NORM.S.INV(RAND())</f>
        <v>0.71954358281976738</v>
      </c>
      <c r="D157" s="5">
        <f ca="1">S0*EXP((μ-0.5*σ*σ)*T+σ*SQRT(T)*$C157)</f>
        <v>0.71335659473650703</v>
      </c>
      <c r="E157" s="5">
        <f ca="1">MAX(0,CP*(D157-K))</f>
        <v>0</v>
      </c>
      <c r="F157" s="4">
        <f ca="1">(CP*(D157-K)&gt;0)*1</f>
        <v>0</v>
      </c>
      <c r="H157" s="4">
        <v>142</v>
      </c>
      <c r="I157" s="3">
        <v>0.66776710830109232</v>
      </c>
      <c r="J157" s="128">
        <v>1.2322578076018359E-3</v>
      </c>
      <c r="K157" s="128"/>
      <c r="L157" s="128">
        <v>4.0800000000000003E-2</v>
      </c>
      <c r="O157" s="2"/>
    </row>
    <row r="158" spans="2:15" x14ac:dyDescent="0.2">
      <c r="B158" s="1">
        <v>143</v>
      </c>
      <c r="C158" s="5">
        <f ca="1">_xlfn.NORM.S.INV(RAND())</f>
        <v>-0.69438605979993839</v>
      </c>
      <c r="D158" s="5">
        <f ca="1">S0*EXP((μ-0.5*σ*σ)*T+σ*SQRT(T)*$C158)</f>
        <v>0.62053727936664171</v>
      </c>
      <c r="E158" s="5">
        <f ca="1">MAX(0,CP*(D158-K))</f>
        <v>0</v>
      </c>
      <c r="F158" s="4">
        <f ca="1">(CP*(D158-K)&gt;0)*1</f>
        <v>0</v>
      </c>
      <c r="H158" s="4">
        <v>143</v>
      </c>
      <c r="I158" s="3">
        <v>0.66791456834926732</v>
      </c>
      <c r="J158" s="128">
        <v>1.5782462851572244E-3</v>
      </c>
      <c r="K158" s="128"/>
      <c r="L158" s="128">
        <v>4.7600000000000003E-2</v>
      </c>
      <c r="O158" s="2"/>
    </row>
    <row r="159" spans="2:15" x14ac:dyDescent="0.2">
      <c r="B159" s="1">
        <v>144</v>
      </c>
      <c r="C159" s="5">
        <f ca="1">_xlfn.NORM.S.INV(RAND())</f>
        <v>-0.97918842265857675</v>
      </c>
      <c r="D159" s="5">
        <f ca="1">S0*EXP((μ-0.5*σ*σ)*T+σ*SQRT(T)*$C159)</f>
        <v>0.60335620159426717</v>
      </c>
      <c r="E159" s="5">
        <f ca="1">MAX(0,CP*(D159-K))</f>
        <v>0</v>
      </c>
      <c r="F159" s="4">
        <f ca="1">(CP*(D159-K)&gt;0)*1</f>
        <v>0</v>
      </c>
      <c r="H159" s="4">
        <v>144</v>
      </c>
      <c r="I159" s="3">
        <v>0.66778531459674439</v>
      </c>
      <c r="J159" s="128">
        <v>1.360723490452437E-3</v>
      </c>
      <c r="K159" s="128"/>
      <c r="L159" s="128">
        <v>4.2799999999999998E-2</v>
      </c>
      <c r="O159" s="2"/>
    </row>
    <row r="160" spans="2:15" x14ac:dyDescent="0.2">
      <c r="B160" s="1">
        <v>145</v>
      </c>
      <c r="C160" s="5">
        <f ca="1">_xlfn.NORM.S.INV(RAND())</f>
        <v>-0.4166501187360066</v>
      </c>
      <c r="D160" s="5">
        <f ca="1">S0*EXP((μ-0.5*σ*σ)*T+σ*SQRT(T)*$C160)</f>
        <v>0.63776314356578423</v>
      </c>
      <c r="E160" s="5">
        <f ca="1">MAX(0,CP*(D160-K))</f>
        <v>0</v>
      </c>
      <c r="F160" s="4">
        <f ca="1">(CP*(D160-K)&gt;0)*1</f>
        <v>0</v>
      </c>
      <c r="H160" s="4">
        <v>145</v>
      </c>
      <c r="I160" s="3">
        <v>0.66766396526522398</v>
      </c>
      <c r="J160" s="128">
        <v>1.2494083883875162E-3</v>
      </c>
      <c r="K160" s="128"/>
      <c r="L160" s="128">
        <v>3.8199999999999998E-2</v>
      </c>
      <c r="O160" s="2"/>
    </row>
    <row r="161" spans="2:15" x14ac:dyDescent="0.2">
      <c r="B161" s="1">
        <v>146</v>
      </c>
      <c r="C161" s="5">
        <f ca="1">_xlfn.NORM.S.INV(RAND())</f>
        <v>0.62171392502301148</v>
      </c>
      <c r="D161" s="5">
        <f ca="1">S0*EXP((μ-0.5*σ*σ)*T+σ*SQRT(T)*$C161)</f>
        <v>0.70650950086904141</v>
      </c>
      <c r="E161" s="5">
        <f ca="1">MAX(0,CP*(D161-K))</f>
        <v>0</v>
      </c>
      <c r="F161" s="4">
        <f ca="1">(CP*(D161-K)&gt;0)*1</f>
        <v>0</v>
      </c>
      <c r="H161" s="4">
        <v>146</v>
      </c>
      <c r="I161" s="3">
        <v>0.66791888203464456</v>
      </c>
      <c r="J161" s="128">
        <v>1.4994844157621646E-3</v>
      </c>
      <c r="K161" s="128"/>
      <c r="L161" s="128">
        <v>4.6399999999999997E-2</v>
      </c>
      <c r="O161" s="2"/>
    </row>
    <row r="162" spans="2:15" x14ac:dyDescent="0.2">
      <c r="B162" s="1">
        <v>147</v>
      </c>
      <c r="C162" s="5">
        <f ca="1">_xlfn.NORM.S.INV(RAND())</f>
        <v>-1.1771486623218854</v>
      </c>
      <c r="D162" s="5">
        <f ca="1">S0*EXP((μ-0.5*σ*σ)*T+σ*SQRT(T)*$C162)</f>
        <v>0.59169502337874169</v>
      </c>
      <c r="E162" s="5">
        <f ca="1">MAX(0,CP*(D162-K))</f>
        <v>0</v>
      </c>
      <c r="F162" s="4">
        <f ca="1">(CP*(D162-K)&gt;0)*1</f>
        <v>0</v>
      </c>
      <c r="H162" s="4">
        <v>147</v>
      </c>
      <c r="I162" s="3">
        <v>0.66768614239766688</v>
      </c>
      <c r="J162" s="128">
        <v>1.2635724528611478E-3</v>
      </c>
      <c r="K162" s="128"/>
      <c r="L162" s="128">
        <v>4.2000000000000003E-2</v>
      </c>
      <c r="O162" s="2"/>
    </row>
    <row r="163" spans="2:15" x14ac:dyDescent="0.2">
      <c r="B163" s="1">
        <v>148</v>
      </c>
      <c r="C163" s="5">
        <f ca="1">_xlfn.NORM.S.INV(RAND())</f>
        <v>-0.88243882517587624</v>
      </c>
      <c r="D163" s="5">
        <f ca="1">S0*EXP((μ-0.5*σ*σ)*T+σ*SQRT(T)*$C163)</f>
        <v>0.60913872673730296</v>
      </c>
      <c r="E163" s="5">
        <f ca="1">MAX(0,CP*(D163-K))</f>
        <v>0</v>
      </c>
      <c r="F163" s="4">
        <f ca="1">(CP*(D163-K)&gt;0)*1</f>
        <v>0</v>
      </c>
      <c r="H163" s="4">
        <v>148</v>
      </c>
      <c r="I163" s="3">
        <v>0.66777839116693971</v>
      </c>
      <c r="J163" s="128">
        <v>1.3792195340675449E-3</v>
      </c>
      <c r="K163" s="128"/>
      <c r="L163" s="128">
        <v>4.5600000000000002E-2</v>
      </c>
      <c r="O163" s="2"/>
    </row>
    <row r="164" spans="2:15" x14ac:dyDescent="0.2">
      <c r="B164" s="1">
        <v>149</v>
      </c>
      <c r="C164" s="5">
        <f ca="1">_xlfn.NORM.S.INV(RAND())</f>
        <v>0.55324875472263413</v>
      </c>
      <c r="D164" s="5">
        <f ca="1">S0*EXP((μ-0.5*σ*σ)*T+σ*SQRT(T)*$C164)</f>
        <v>0.70175675555828676</v>
      </c>
      <c r="E164" s="5">
        <f ca="1">MAX(0,CP*(D164-K))</f>
        <v>0</v>
      </c>
      <c r="F164" s="4">
        <f ca="1">(CP*(D164-K)&gt;0)*1</f>
        <v>0</v>
      </c>
      <c r="H164" s="4">
        <v>149</v>
      </c>
      <c r="I164" s="3">
        <v>0.66772853031482537</v>
      </c>
      <c r="J164" s="128">
        <v>1.340639685058727E-3</v>
      </c>
      <c r="K164" s="128"/>
      <c r="L164" s="128">
        <v>4.2200000000000001E-2</v>
      </c>
      <c r="O164" s="2"/>
    </row>
    <row r="165" spans="2:15" x14ac:dyDescent="0.2">
      <c r="B165" s="1">
        <v>150</v>
      </c>
      <c r="C165" s="5">
        <f ca="1">_xlfn.NORM.S.INV(RAND())</f>
        <v>-9.7068865672173418E-2</v>
      </c>
      <c r="D165" s="5">
        <f ca="1">S0*EXP((μ-0.5*σ*σ)*T+σ*SQRT(T)*$C165)</f>
        <v>0.65817685591836128</v>
      </c>
      <c r="E165" s="5">
        <f ca="1">MAX(0,CP*(D165-K))</f>
        <v>0</v>
      </c>
      <c r="F165" s="4">
        <f ca="1">(CP*(D165-K)&gt;0)*1</f>
        <v>0</v>
      </c>
      <c r="H165" s="4">
        <v>150</v>
      </c>
      <c r="I165" s="3">
        <v>0.66775581737598033</v>
      </c>
      <c r="J165" s="128">
        <v>1.3924178976014556E-3</v>
      </c>
      <c r="K165" s="128"/>
      <c r="L165" s="128">
        <v>4.2200000000000001E-2</v>
      </c>
      <c r="O165" s="2"/>
    </row>
    <row r="166" spans="2:15" x14ac:dyDescent="0.2">
      <c r="B166" s="1">
        <v>151</v>
      </c>
      <c r="C166" s="5">
        <f ca="1">_xlfn.NORM.S.INV(RAND())</f>
        <v>-1.134712391150112</v>
      </c>
      <c r="D166" s="5">
        <f ca="1">S0*EXP((μ-0.5*σ*σ)*T+σ*SQRT(T)*$C166)</f>
        <v>0.5941756742481773</v>
      </c>
      <c r="E166" s="5">
        <f ca="1">MAX(0,CP*(D166-K))</f>
        <v>0</v>
      </c>
      <c r="F166" s="4">
        <f ca="1">(CP*(D166-K)&gt;0)*1</f>
        <v>0</v>
      </c>
      <c r="H166" s="4">
        <v>151</v>
      </c>
      <c r="I166" s="3">
        <v>0.6678056774806802</v>
      </c>
      <c r="J166" s="128">
        <v>1.3160470603192922E-3</v>
      </c>
      <c r="K166" s="128"/>
      <c r="L166" s="128">
        <v>4.4200000000000003E-2</v>
      </c>
      <c r="O166" s="2"/>
    </row>
    <row r="167" spans="2:15" x14ac:dyDescent="0.2">
      <c r="B167" s="1">
        <v>152</v>
      </c>
      <c r="C167" s="5">
        <f ca="1">_xlfn.NORM.S.INV(RAND())</f>
        <v>-0.89082640132339352</v>
      </c>
      <c r="D167" s="5">
        <f ca="1">S0*EXP((μ-0.5*σ*σ)*T+σ*SQRT(T)*$C167)</f>
        <v>0.60863523208885328</v>
      </c>
      <c r="E167" s="5">
        <f ca="1">MAX(0,CP*(D167-K))</f>
        <v>0</v>
      </c>
      <c r="F167" s="4">
        <f ca="1">(CP*(D167-K)&gt;0)*1</f>
        <v>0</v>
      </c>
      <c r="H167" s="4">
        <v>152</v>
      </c>
      <c r="I167" s="3">
        <v>0.66776196970849988</v>
      </c>
      <c r="J167" s="128">
        <v>1.3949919679339766E-3</v>
      </c>
      <c r="K167" s="128"/>
      <c r="L167" s="128">
        <v>4.1799999999999997E-2</v>
      </c>
      <c r="O167" s="2"/>
    </row>
    <row r="168" spans="2:15" x14ac:dyDescent="0.2">
      <c r="B168" s="1">
        <v>153</v>
      </c>
      <c r="C168" s="5">
        <f ca="1">_xlfn.NORM.S.INV(RAND())</f>
        <v>3.3043326414790961</v>
      </c>
      <c r="D168" s="5">
        <f ca="1">S0*EXP((μ-0.5*σ*σ)*T+σ*SQRT(T)*$C168)</f>
        <v>0.92040081290779241</v>
      </c>
      <c r="E168" s="5">
        <f ca="1">MAX(0,CP*(D168-K))</f>
        <v>0.1322008129077924</v>
      </c>
      <c r="F168" s="4">
        <f ca="1">(CP*(D168-K)&gt;0)*1</f>
        <v>1</v>
      </c>
      <c r="H168" s="4">
        <v>153</v>
      </c>
      <c r="I168" s="3">
        <v>0.6677143100820051</v>
      </c>
      <c r="J168" s="128">
        <v>1.301002039888289E-3</v>
      </c>
      <c r="K168" s="128"/>
      <c r="L168" s="128">
        <v>3.9E-2</v>
      </c>
      <c r="O168" s="2"/>
    </row>
    <row r="169" spans="2:15" x14ac:dyDescent="0.2">
      <c r="B169" s="1">
        <v>154</v>
      </c>
      <c r="C169" s="5">
        <f ca="1">_xlfn.NORM.S.INV(RAND())</f>
        <v>0.63449729417076872</v>
      </c>
      <c r="D169" s="5">
        <f ca="1">S0*EXP((μ-0.5*σ*σ)*T+σ*SQRT(T)*$C169)</f>
        <v>0.70740046198858963</v>
      </c>
      <c r="E169" s="5">
        <f ca="1">MAX(0,CP*(D169-K))</f>
        <v>0</v>
      </c>
      <c r="F169" s="4">
        <f ca="1">(CP*(D169-K)&gt;0)*1</f>
        <v>0</v>
      </c>
      <c r="H169" s="4">
        <v>154</v>
      </c>
      <c r="I169" s="3">
        <v>0.66775508546382178</v>
      </c>
      <c r="J169" s="128">
        <v>1.3585909249421069E-3</v>
      </c>
      <c r="K169" s="128"/>
      <c r="L169" s="128">
        <v>4.1200000000000001E-2</v>
      </c>
      <c r="O169" s="2"/>
    </row>
    <row r="170" spans="2:15" x14ac:dyDescent="0.2">
      <c r="B170" s="1">
        <v>155</v>
      </c>
      <c r="C170" s="5">
        <f ca="1">_xlfn.NORM.S.INV(RAND())</f>
        <v>-1.1926117854765759</v>
      </c>
      <c r="D170" s="5">
        <f ca="1">S0*EXP((μ-0.5*σ*σ)*T+σ*SQRT(T)*$C170)</f>
        <v>0.59079368915944264</v>
      </c>
      <c r="E170" s="5">
        <f ca="1">MAX(0,CP*(D170-K))</f>
        <v>0</v>
      </c>
      <c r="F170" s="4">
        <f ca="1">(CP*(D170-K)&gt;0)*1</f>
        <v>0</v>
      </c>
      <c r="H170" s="4">
        <v>155</v>
      </c>
      <c r="I170" s="3">
        <v>0.66775853019880682</v>
      </c>
      <c r="J170" s="128">
        <v>1.3509484949669086E-3</v>
      </c>
      <c r="K170" s="128"/>
      <c r="L170" s="128">
        <v>4.0599999999999997E-2</v>
      </c>
      <c r="O170" s="2"/>
    </row>
    <row r="171" spans="2:15" x14ac:dyDescent="0.2">
      <c r="B171" s="1">
        <v>156</v>
      </c>
      <c r="C171" s="5">
        <f ca="1">_xlfn.NORM.S.INV(RAND())</f>
        <v>-1.1381445491102469</v>
      </c>
      <c r="D171" s="5">
        <f ca="1">S0*EXP((μ-0.5*σ*σ)*T+σ*SQRT(T)*$C171)</f>
        <v>0.59397465836142604</v>
      </c>
      <c r="E171" s="5">
        <f ca="1">MAX(0,CP*(D171-K))</f>
        <v>0</v>
      </c>
      <c r="F171" s="4">
        <f ca="1">(CP*(D171-K)&gt;0)*1</f>
        <v>0</v>
      </c>
      <c r="H171" s="4">
        <v>156</v>
      </c>
      <c r="I171" s="3">
        <v>0.66784209859035959</v>
      </c>
      <c r="J171" s="128">
        <v>1.4210093149391095E-3</v>
      </c>
      <c r="K171" s="128"/>
      <c r="L171" s="128">
        <v>4.3799999999999999E-2</v>
      </c>
      <c r="O171" s="2"/>
    </row>
    <row r="172" spans="2:15" x14ac:dyDescent="0.2">
      <c r="B172" s="1">
        <v>157</v>
      </c>
      <c r="C172" s="5">
        <f ca="1">_xlfn.NORM.S.INV(RAND())</f>
        <v>-1.0810971161742808</v>
      </c>
      <c r="D172" s="5">
        <f ca="1">S0*EXP((μ-0.5*σ*σ)*T+σ*SQRT(T)*$C172)</f>
        <v>0.59732467980596482</v>
      </c>
      <c r="E172" s="5">
        <f ca="1">MAX(0,CP*(D172-K))</f>
        <v>0</v>
      </c>
      <c r="F172" s="4">
        <f ca="1">(CP*(D172-K)&gt;0)*1</f>
        <v>0</v>
      </c>
      <c r="H172" s="4">
        <v>157</v>
      </c>
      <c r="I172" s="3">
        <v>0.66769498279179063</v>
      </c>
      <c r="J172" s="128">
        <v>1.3038724803889061E-3</v>
      </c>
      <c r="K172" s="128"/>
      <c r="L172" s="128">
        <v>4.2000000000000003E-2</v>
      </c>
      <c r="O172" s="2"/>
    </row>
    <row r="173" spans="2:15" x14ac:dyDescent="0.2">
      <c r="B173" s="1">
        <v>158</v>
      </c>
      <c r="C173" s="5">
        <f ca="1">_xlfn.NORM.S.INV(RAND())</f>
        <v>1.726413451624051</v>
      </c>
      <c r="D173" s="5">
        <f ca="1">S0*EXP((μ-0.5*σ*σ)*T+σ*SQRT(T)*$C173)</f>
        <v>0.78780152080904509</v>
      </c>
      <c r="E173" s="5">
        <f ca="1">MAX(0,CP*(D173-K))</f>
        <v>0</v>
      </c>
      <c r="F173" s="4">
        <f ca="1">(CP*(D173-K)&gt;0)*1</f>
        <v>0</v>
      </c>
      <c r="H173" s="4">
        <v>158</v>
      </c>
      <c r="I173" s="3">
        <v>0.66774127479605383</v>
      </c>
      <c r="J173" s="128">
        <v>1.2554775072390687E-3</v>
      </c>
      <c r="K173" s="128"/>
      <c r="L173" s="128">
        <v>3.9399999999999998E-2</v>
      </c>
      <c r="O173" s="2"/>
    </row>
    <row r="174" spans="2:15" x14ac:dyDescent="0.2">
      <c r="B174" s="1">
        <v>159</v>
      </c>
      <c r="C174" s="5">
        <f ca="1">_xlfn.NORM.S.INV(RAND())</f>
        <v>-0.26066506165366243</v>
      </c>
      <c r="D174" s="5">
        <f ca="1">S0*EXP((μ-0.5*σ*σ)*T+σ*SQRT(T)*$C174)</f>
        <v>0.64764657472082454</v>
      </c>
      <c r="E174" s="5">
        <f ca="1">MAX(0,CP*(D174-K))</f>
        <v>0</v>
      </c>
      <c r="F174" s="4">
        <f ca="1">(CP*(D174-K)&gt;0)*1</f>
        <v>0</v>
      </c>
      <c r="H174" s="4">
        <v>159</v>
      </c>
      <c r="I174" s="3">
        <v>0.6677919249918457</v>
      </c>
      <c r="J174" s="128">
        <v>1.3576514431284767E-3</v>
      </c>
      <c r="K174" s="128"/>
      <c r="L174" s="128">
        <v>4.3400000000000001E-2</v>
      </c>
      <c r="O174" s="2"/>
    </row>
    <row r="175" spans="2:15" x14ac:dyDescent="0.2">
      <c r="B175" s="1">
        <v>160</v>
      </c>
      <c r="C175" s="5">
        <f ca="1">_xlfn.NORM.S.INV(RAND())</f>
        <v>-1.1944192276980645</v>
      </c>
      <c r="D175" s="5">
        <f ca="1">S0*EXP((μ-0.5*σ*σ)*T+σ*SQRT(T)*$C175)</f>
        <v>0.59068842432832314</v>
      </c>
      <c r="E175" s="5">
        <f ca="1">MAX(0,CP*(D175-K))</f>
        <v>0</v>
      </c>
      <c r="F175" s="4">
        <f ca="1">(CP*(D175-K)&gt;0)*1</f>
        <v>0</v>
      </c>
      <c r="H175" s="4">
        <v>160</v>
      </c>
      <c r="I175" s="3">
        <v>0.66761946013805806</v>
      </c>
      <c r="J175" s="128">
        <v>1.2974346140731509E-3</v>
      </c>
      <c r="K175" s="128"/>
      <c r="L175" s="128">
        <v>3.6200000000000003E-2</v>
      </c>
      <c r="O175" s="2"/>
    </row>
    <row r="176" spans="2:15" x14ac:dyDescent="0.2">
      <c r="B176" s="1">
        <v>161</v>
      </c>
      <c r="C176" s="5">
        <f ca="1">_xlfn.NORM.S.INV(RAND())</f>
        <v>0.25926362210600523</v>
      </c>
      <c r="D176" s="5">
        <f ca="1">S0*EXP((μ-0.5*σ*σ)*T+σ*SQRT(T)*$C176)</f>
        <v>0.68170948468823689</v>
      </c>
      <c r="E176" s="5">
        <f ca="1">MAX(0,CP*(D176-K))</f>
        <v>0</v>
      </c>
      <c r="F176" s="4">
        <f ca="1">(CP*(D176-K)&gt;0)*1</f>
        <v>0</v>
      </c>
      <c r="H176" s="4">
        <v>161</v>
      </c>
      <c r="I176" s="3">
        <v>0.66776285997001228</v>
      </c>
      <c r="J176" s="128">
        <v>1.3597266354152364E-3</v>
      </c>
      <c r="K176" s="128"/>
      <c r="L176" s="128">
        <v>4.24E-2</v>
      </c>
      <c r="O176" s="2"/>
    </row>
    <row r="177" spans="2:15" x14ac:dyDescent="0.2">
      <c r="B177" s="1">
        <v>162</v>
      </c>
      <c r="C177" s="5">
        <f ca="1">_xlfn.NORM.S.INV(RAND())</f>
        <v>0.49998118025923299</v>
      </c>
      <c r="D177" s="5">
        <f ca="1">S0*EXP((μ-0.5*σ*σ)*T+σ*SQRT(T)*$C177)</f>
        <v>0.69808112891172946</v>
      </c>
      <c r="E177" s="5">
        <f ca="1">MAX(0,CP*(D177-K))</f>
        <v>0</v>
      </c>
      <c r="F177" s="4">
        <f ca="1">(CP*(D177-K)&gt;0)*1</f>
        <v>0</v>
      </c>
      <c r="H177" s="4">
        <v>162</v>
      </c>
      <c r="I177" s="3">
        <v>0.66772662113733772</v>
      </c>
      <c r="J177" s="128">
        <v>1.3571867992558438E-3</v>
      </c>
      <c r="K177" s="128"/>
      <c r="L177" s="128">
        <v>4.2000000000000003E-2</v>
      </c>
      <c r="O177" s="2"/>
    </row>
    <row r="178" spans="2:15" x14ac:dyDescent="0.2">
      <c r="B178" s="1">
        <v>163</v>
      </c>
      <c r="C178" s="5">
        <f ca="1">_xlfn.NORM.S.INV(RAND())</f>
        <v>1.1588109162691327</v>
      </c>
      <c r="D178" s="5">
        <f ca="1">S0*EXP((μ-0.5*σ*σ)*T+σ*SQRT(T)*$C178)</f>
        <v>0.74492808476641392</v>
      </c>
      <c r="E178" s="5">
        <f ca="1">MAX(0,CP*(D178-K))</f>
        <v>0</v>
      </c>
      <c r="F178" s="4">
        <f ca="1">(CP*(D178-K)&gt;0)*1</f>
        <v>0</v>
      </c>
      <c r="H178" s="4">
        <v>163</v>
      </c>
      <c r="I178" s="3">
        <v>0.66786902183887664</v>
      </c>
      <c r="J178" s="128">
        <v>1.4714080029708252E-3</v>
      </c>
      <c r="K178" s="128"/>
      <c r="L178" s="128">
        <v>4.82E-2</v>
      </c>
      <c r="O178" s="2"/>
    </row>
    <row r="179" spans="2:15" x14ac:dyDescent="0.2">
      <c r="B179" s="1">
        <v>164</v>
      </c>
      <c r="C179" s="5">
        <f ca="1">_xlfn.NORM.S.INV(RAND())</f>
        <v>-0.37506534067486036</v>
      </c>
      <c r="D179" s="5">
        <f ca="1">S0*EXP((μ-0.5*σ*σ)*T+σ*SQRT(T)*$C179)</f>
        <v>0.64038317243790188</v>
      </c>
      <c r="E179" s="5">
        <f ca="1">MAX(0,CP*(D179-K))</f>
        <v>0</v>
      </c>
      <c r="F179" s="4">
        <f ca="1">(CP*(D179-K)&gt;0)*1</f>
        <v>0</v>
      </c>
      <c r="H179" s="4">
        <v>164</v>
      </c>
      <c r="I179" s="3">
        <v>0.66772296895185745</v>
      </c>
      <c r="J179" s="128">
        <v>1.4816279484291264E-3</v>
      </c>
      <c r="K179" s="128"/>
      <c r="L179" s="128">
        <v>3.8399999999999997E-2</v>
      </c>
      <c r="O179" s="2"/>
    </row>
    <row r="180" spans="2:15" x14ac:dyDescent="0.2">
      <c r="B180" s="1">
        <v>165</v>
      </c>
      <c r="C180" s="5">
        <f ca="1">_xlfn.NORM.S.INV(RAND())</f>
        <v>0.62894945738294372</v>
      </c>
      <c r="D180" s="5">
        <f ca="1">S0*EXP((μ-0.5*σ*σ)*T+σ*SQRT(T)*$C180)</f>
        <v>0.70701365708323971</v>
      </c>
      <c r="E180" s="5">
        <f ca="1">MAX(0,CP*(D180-K))</f>
        <v>0</v>
      </c>
      <c r="F180" s="4">
        <f ca="1">(CP*(D180-K)&gt;0)*1</f>
        <v>0</v>
      </c>
      <c r="H180" s="4">
        <v>165</v>
      </c>
      <c r="I180" s="3">
        <v>0.66772433205108728</v>
      </c>
      <c r="J180" s="128">
        <v>1.2423738483662205E-3</v>
      </c>
      <c r="K180" s="128"/>
      <c r="L180" s="128">
        <v>4.2999999999999997E-2</v>
      </c>
      <c r="O180" s="2"/>
    </row>
    <row r="181" spans="2:15" x14ac:dyDescent="0.2">
      <c r="B181" s="1">
        <v>166</v>
      </c>
      <c r="C181" s="5">
        <f ca="1">_xlfn.NORM.S.INV(RAND())</f>
        <v>-7.5164648241078713E-2</v>
      </c>
      <c r="D181" s="5">
        <f ca="1">S0*EXP((μ-0.5*σ*σ)*T+σ*SQRT(T)*$C181)</f>
        <v>0.6595997123420394</v>
      </c>
      <c r="E181" s="5">
        <f ca="1">MAX(0,CP*(D181-K))</f>
        <v>0</v>
      </c>
      <c r="F181" s="4">
        <f ca="1">(CP*(D181-K)&gt;0)*1</f>
        <v>0</v>
      </c>
      <c r="H181" s="4">
        <v>166</v>
      </c>
      <c r="I181" s="3">
        <v>0.66789204279461023</v>
      </c>
      <c r="J181" s="128">
        <v>1.4609929230356665E-3</v>
      </c>
      <c r="K181" s="128"/>
      <c r="L181" s="128">
        <v>4.4999999999999998E-2</v>
      </c>
      <c r="O181" s="2"/>
    </row>
    <row r="182" spans="2:15" x14ac:dyDescent="0.2">
      <c r="B182" s="1">
        <v>167</v>
      </c>
      <c r="C182" s="5">
        <f ca="1">_xlfn.NORM.S.INV(RAND())</f>
        <v>-0.70533611335269641</v>
      </c>
      <c r="D182" s="5">
        <f ca="1">S0*EXP((μ-0.5*σ*σ)*T+σ*SQRT(T)*$C182)</f>
        <v>0.61986774720540605</v>
      </c>
      <c r="E182" s="5">
        <f ca="1">MAX(0,CP*(D182-K))</f>
        <v>0</v>
      </c>
      <c r="F182" s="4">
        <f ca="1">(CP*(D182-K)&gt;0)*1</f>
        <v>0</v>
      </c>
      <c r="H182" s="4">
        <v>167</v>
      </c>
      <c r="I182" s="3">
        <v>0.66782192318019462</v>
      </c>
      <c r="J182" s="128">
        <v>1.4485259409830376E-3</v>
      </c>
      <c r="K182" s="128"/>
      <c r="L182" s="128">
        <v>4.48E-2</v>
      </c>
      <c r="O182" s="2"/>
    </row>
    <row r="183" spans="2:15" x14ac:dyDescent="0.2">
      <c r="B183" s="1">
        <v>168</v>
      </c>
      <c r="C183" s="5">
        <f ca="1">_xlfn.NORM.S.INV(RAND())</f>
        <v>-3.0041466669620971</v>
      </c>
      <c r="D183" s="5">
        <f ca="1">S0*EXP((μ-0.5*σ*σ)*T+σ*SQRT(T)*$C183)</f>
        <v>0.49416636335893865</v>
      </c>
      <c r="E183" s="5">
        <f ca="1">MAX(0,CP*(D183-K))</f>
        <v>0</v>
      </c>
      <c r="F183" s="4">
        <f ca="1">(CP*(D183-K)&gt;0)*1</f>
        <v>0</v>
      </c>
      <c r="H183" s="4">
        <v>168</v>
      </c>
      <c r="I183" s="3">
        <v>0.66781433869190021</v>
      </c>
      <c r="J183" s="128">
        <v>1.5083888062960051E-3</v>
      </c>
      <c r="K183" s="128"/>
      <c r="L183" s="128">
        <v>4.5600000000000002E-2</v>
      </c>
      <c r="O183" s="2"/>
    </row>
    <row r="184" spans="2:15" x14ac:dyDescent="0.2">
      <c r="B184" s="1">
        <v>169</v>
      </c>
      <c r="C184" s="5">
        <f ca="1">_xlfn.NORM.S.INV(RAND())</f>
        <v>-8.3659264416029222E-2</v>
      </c>
      <c r="D184" s="5">
        <f ca="1">S0*EXP((μ-0.5*σ*σ)*T+σ*SQRT(T)*$C184)</f>
        <v>0.65904755341457366</v>
      </c>
      <c r="E184" s="5">
        <f ca="1">MAX(0,CP*(D184-K))</f>
        <v>0</v>
      </c>
      <c r="F184" s="4">
        <f ca="1">(CP*(D184-K)&gt;0)*1</f>
        <v>0</v>
      </c>
      <c r="H184" s="4">
        <v>169</v>
      </c>
      <c r="I184" s="3">
        <v>0.66771731960080738</v>
      </c>
      <c r="J184" s="128">
        <v>1.3986915512486911E-3</v>
      </c>
      <c r="K184" s="128"/>
      <c r="L184" s="128">
        <v>4.4200000000000003E-2</v>
      </c>
      <c r="O184" s="2"/>
    </row>
    <row r="185" spans="2:15" x14ac:dyDescent="0.2">
      <c r="B185" s="1">
        <v>170</v>
      </c>
      <c r="C185" s="5">
        <f ca="1">_xlfn.NORM.S.INV(RAND())</f>
        <v>-0.83198834896343477</v>
      </c>
      <c r="D185" s="5">
        <f ca="1">S0*EXP((μ-0.5*σ*σ)*T+σ*SQRT(T)*$C185)</f>
        <v>0.61217599878297368</v>
      </c>
      <c r="E185" s="5">
        <f ca="1">MAX(0,CP*(D185-K))</f>
        <v>0</v>
      </c>
      <c r="F185" s="4">
        <f ca="1">(CP*(D185-K)&gt;0)*1</f>
        <v>0</v>
      </c>
      <c r="H185" s="4">
        <v>170</v>
      </c>
      <c r="I185" s="3">
        <v>0.66775201757448188</v>
      </c>
      <c r="J185" s="128">
        <v>1.302181073708055E-3</v>
      </c>
      <c r="K185" s="128"/>
      <c r="L185" s="128">
        <v>4.24E-2</v>
      </c>
      <c r="O185" s="2"/>
    </row>
    <row r="186" spans="2:15" x14ac:dyDescent="0.2">
      <c r="B186" s="1">
        <v>171</v>
      </c>
      <c r="C186" s="5">
        <f ca="1">_xlfn.NORM.S.INV(RAND())</f>
        <v>1.239329029177487</v>
      </c>
      <c r="D186" s="5">
        <f ca="1">S0*EXP((μ-0.5*σ*σ)*T+σ*SQRT(T)*$C186)</f>
        <v>0.75086491360523844</v>
      </c>
      <c r="E186" s="5">
        <f ca="1">MAX(0,CP*(D186-K))</f>
        <v>0</v>
      </c>
      <c r="F186" s="4">
        <f ca="1">(CP*(D186-K)&gt;0)*1</f>
        <v>0</v>
      </c>
      <c r="H186" s="4">
        <v>171</v>
      </c>
      <c r="I186" s="3">
        <v>0.66759732048427389</v>
      </c>
      <c r="J186" s="128">
        <v>1.2963388071153975E-3</v>
      </c>
      <c r="K186" s="128"/>
      <c r="L186" s="128">
        <v>3.8399999999999997E-2</v>
      </c>
      <c r="O186" s="2"/>
    </row>
    <row r="187" spans="2:15" x14ac:dyDescent="0.2">
      <c r="B187" s="1">
        <v>172</v>
      </c>
      <c r="C187" s="5">
        <f ca="1">_xlfn.NORM.S.INV(RAND())</f>
        <v>7.5745690844659944E-2</v>
      </c>
      <c r="D187" s="5">
        <f ca="1">S0*EXP((μ-0.5*σ*σ)*T+σ*SQRT(T)*$C187)</f>
        <v>0.66948651502190348</v>
      </c>
      <c r="E187" s="5">
        <f ca="1">MAX(0,CP*(D187-K))</f>
        <v>0</v>
      </c>
      <c r="F187" s="4">
        <f ca="1">(CP*(D187-K)&gt;0)*1</f>
        <v>0</v>
      </c>
      <c r="H187" s="4">
        <v>172</v>
      </c>
      <c r="I187" s="3">
        <v>0.66771020401399672</v>
      </c>
      <c r="J187" s="128">
        <v>1.2255676331359921E-3</v>
      </c>
      <c r="K187" s="128"/>
      <c r="L187" s="128">
        <v>4.1200000000000001E-2</v>
      </c>
      <c r="O187" s="2"/>
    </row>
    <row r="188" spans="2:15" x14ac:dyDescent="0.2">
      <c r="B188" s="1">
        <v>173</v>
      </c>
      <c r="C188" s="5">
        <f ca="1">_xlfn.NORM.S.INV(RAND())</f>
        <v>-0.16069060903514207</v>
      </c>
      <c r="D188" s="5">
        <f ca="1">S0*EXP((μ-0.5*σ*σ)*T+σ*SQRT(T)*$C188)</f>
        <v>0.65406148873075076</v>
      </c>
      <c r="E188" s="5">
        <f ca="1">MAX(0,CP*(D188-K))</f>
        <v>0</v>
      </c>
      <c r="F188" s="4">
        <f ca="1">(CP*(D188-K)&gt;0)*1</f>
        <v>0</v>
      </c>
      <c r="H188" s="4">
        <v>173</v>
      </c>
      <c r="I188" s="3">
        <v>0.66761805220763415</v>
      </c>
      <c r="J188" s="128">
        <v>1.1724626090988124E-3</v>
      </c>
      <c r="K188" s="128"/>
      <c r="L188" s="128">
        <v>3.9800000000000002E-2</v>
      </c>
      <c r="O188" s="2"/>
    </row>
    <row r="189" spans="2:15" x14ac:dyDescent="0.2">
      <c r="B189" s="1">
        <v>174</v>
      </c>
      <c r="C189" s="5">
        <f ca="1">_xlfn.NORM.S.INV(RAND())</f>
        <v>-1.0423071348834725</v>
      </c>
      <c r="D189" s="5">
        <f ca="1">S0*EXP((μ-0.5*σ*σ)*T+σ*SQRT(T)*$C189)</f>
        <v>0.59961334587038717</v>
      </c>
      <c r="E189" s="5">
        <f ca="1">MAX(0,CP*(D189-K))</f>
        <v>0</v>
      </c>
      <c r="F189" s="4">
        <f ca="1">(CP*(D189-K)&gt;0)*1</f>
        <v>0</v>
      </c>
      <c r="H189" s="4">
        <v>174</v>
      </c>
      <c r="I189" s="3">
        <v>0.66759002909062926</v>
      </c>
      <c r="J189" s="128">
        <v>1.1940806970579016E-3</v>
      </c>
      <c r="K189" s="128"/>
      <c r="L189" s="128">
        <v>3.56E-2</v>
      </c>
      <c r="O189" s="2"/>
    </row>
    <row r="190" spans="2:15" x14ac:dyDescent="0.2">
      <c r="B190" s="1">
        <v>175</v>
      </c>
      <c r="C190" s="5">
        <f ca="1">_xlfn.NORM.S.INV(RAND())</f>
        <v>-0.60990529999694743</v>
      </c>
      <c r="D190" s="5">
        <f ca="1">S0*EXP((μ-0.5*σ*σ)*T+σ*SQRT(T)*$C190)</f>
        <v>0.62572715831327397</v>
      </c>
      <c r="E190" s="5">
        <f ca="1">MAX(0,CP*(D190-K))</f>
        <v>0</v>
      </c>
      <c r="F190" s="4">
        <f ca="1">(CP*(D190-K)&gt;0)*1</f>
        <v>0</v>
      </c>
      <c r="H190" s="4">
        <v>175</v>
      </c>
      <c r="I190" s="3">
        <v>0.66779835464316506</v>
      </c>
      <c r="J190" s="128">
        <v>1.4467855594437467E-3</v>
      </c>
      <c r="K190" s="128"/>
      <c r="L190" s="128">
        <v>4.1200000000000001E-2</v>
      </c>
      <c r="O190" s="2"/>
    </row>
    <row r="191" spans="2:15" x14ac:dyDescent="0.2">
      <c r="B191" s="1">
        <v>176</v>
      </c>
      <c r="C191" s="5">
        <f ca="1">_xlfn.NORM.S.INV(RAND())</f>
        <v>0.74055087119011542</v>
      </c>
      <c r="D191" s="5">
        <f ca="1">S0*EXP((μ-0.5*σ*σ)*T+σ*SQRT(T)*$C191)</f>
        <v>0.71483552671527162</v>
      </c>
      <c r="E191" s="5">
        <f ca="1">MAX(0,CP*(D191-K))</f>
        <v>0</v>
      </c>
      <c r="F191" s="4">
        <f ca="1">(CP*(D191-K)&gt;0)*1</f>
        <v>0</v>
      </c>
      <c r="H191" s="4">
        <v>176</v>
      </c>
      <c r="I191" s="3">
        <v>0.66777671699967833</v>
      </c>
      <c r="J191" s="128">
        <v>1.4271002983043358E-3</v>
      </c>
      <c r="K191" s="128"/>
      <c r="L191" s="128">
        <v>4.2999999999999997E-2</v>
      </c>
      <c r="O191" s="2"/>
    </row>
    <row r="192" spans="2:15" x14ac:dyDescent="0.2">
      <c r="B192" s="1">
        <v>177</v>
      </c>
      <c r="C192" s="5">
        <f ca="1">_xlfn.NORM.S.INV(RAND())</f>
        <v>0.80927989628150787</v>
      </c>
      <c r="D192" s="5">
        <f ca="1">S0*EXP((μ-0.5*σ*σ)*T+σ*SQRT(T)*$C192)</f>
        <v>0.71969557086057845</v>
      </c>
      <c r="E192" s="5">
        <f ca="1">MAX(0,CP*(D192-K))</f>
        <v>0</v>
      </c>
      <c r="F192" s="4">
        <f ca="1">(CP*(D192-K)&gt;0)*1</f>
        <v>0</v>
      </c>
      <c r="H192" s="4">
        <v>177</v>
      </c>
      <c r="I192" s="3">
        <v>0.66773862179004906</v>
      </c>
      <c r="J192" s="128">
        <v>1.5385431870930985E-3</v>
      </c>
      <c r="K192" s="128"/>
      <c r="L192" s="128">
        <v>4.1399999999999999E-2</v>
      </c>
      <c r="O192" s="2"/>
    </row>
    <row r="193" spans="2:15" x14ac:dyDescent="0.2">
      <c r="B193" s="1">
        <v>178</v>
      </c>
      <c r="C193" s="5">
        <f ca="1">_xlfn.NORM.S.INV(RAND())</f>
        <v>0.33300944565126095</v>
      </c>
      <c r="D193" s="5">
        <f ca="1">S0*EXP((μ-0.5*σ*σ)*T+σ*SQRT(T)*$C193)</f>
        <v>0.68668385592803427</v>
      </c>
      <c r="E193" s="5">
        <f ca="1">MAX(0,CP*(D193-K))</f>
        <v>0</v>
      </c>
      <c r="F193" s="4">
        <f ca="1">(CP*(D193-K)&gt;0)*1</f>
        <v>0</v>
      </c>
      <c r="H193" s="4">
        <v>178</v>
      </c>
      <c r="I193" s="3">
        <v>0.66773955109475136</v>
      </c>
      <c r="J193" s="128">
        <v>1.5010882960499608E-3</v>
      </c>
      <c r="K193" s="128"/>
      <c r="L193" s="128">
        <v>3.8800000000000001E-2</v>
      </c>
      <c r="O193" s="2"/>
    </row>
    <row r="194" spans="2:15" x14ac:dyDescent="0.2">
      <c r="B194" s="1">
        <v>179</v>
      </c>
      <c r="C194" s="5">
        <f ca="1">_xlfn.NORM.S.INV(RAND())</f>
        <v>1.5166133098993286</v>
      </c>
      <c r="D194" s="5">
        <f ca="1">S0*EXP((μ-0.5*σ*σ)*T+σ*SQRT(T)*$C194)</f>
        <v>0.77167425836765935</v>
      </c>
      <c r="E194" s="5">
        <f ca="1">MAX(0,CP*(D194-K))</f>
        <v>0</v>
      </c>
      <c r="F194" s="4">
        <f ca="1">(CP*(D194-K)&gt;0)*1</f>
        <v>0</v>
      </c>
      <c r="H194" s="4">
        <v>179</v>
      </c>
      <c r="I194" s="3">
        <v>0.6677215206607402</v>
      </c>
      <c r="J194" s="128">
        <v>1.3048903715102416E-3</v>
      </c>
      <c r="K194" s="128"/>
      <c r="L194" s="128">
        <v>4.1799999999999997E-2</v>
      </c>
      <c r="O194" s="2"/>
    </row>
    <row r="195" spans="2:15" x14ac:dyDescent="0.2">
      <c r="B195" s="1">
        <v>180</v>
      </c>
      <c r="C195" s="5">
        <f ca="1">_xlfn.NORM.S.INV(RAND())</f>
        <v>-0.1709321237263868</v>
      </c>
      <c r="D195" s="5">
        <f ca="1">S0*EXP((μ-0.5*σ*σ)*T+σ*SQRT(T)*$C195)</f>
        <v>0.65340142592742534</v>
      </c>
      <c r="E195" s="5">
        <f ca="1">MAX(0,CP*(D195-K))</f>
        <v>0</v>
      </c>
      <c r="F195" s="4">
        <f ca="1">(CP*(D195-K)&gt;0)*1</f>
        <v>0</v>
      </c>
      <c r="H195" s="4">
        <v>180</v>
      </c>
      <c r="I195" s="3">
        <v>0.66783424064213481</v>
      </c>
      <c r="J195" s="128">
        <v>1.4401389370986323E-3</v>
      </c>
      <c r="K195" s="128"/>
      <c r="L195" s="128">
        <v>4.2799999999999998E-2</v>
      </c>
      <c r="O195" s="2"/>
    </row>
    <row r="196" spans="2:15" x14ac:dyDescent="0.2">
      <c r="B196" s="1">
        <v>181</v>
      </c>
      <c r="C196" s="5">
        <f ca="1">_xlfn.NORM.S.INV(RAND())</f>
        <v>0.49418644053969746</v>
      </c>
      <c r="D196" s="5">
        <f ca="1">S0*EXP((μ-0.5*σ*σ)*T+σ*SQRT(T)*$C196)</f>
        <v>0.69768243692737431</v>
      </c>
      <c r="E196" s="5">
        <f ca="1">MAX(0,CP*(D196-K))</f>
        <v>0</v>
      </c>
      <c r="F196" s="4">
        <f ca="1">(CP*(D196-K)&gt;0)*1</f>
        <v>0</v>
      </c>
      <c r="H196" s="4">
        <v>181</v>
      </c>
      <c r="I196" s="3">
        <v>0.66767531967305449</v>
      </c>
      <c r="J196" s="128">
        <v>1.2653043708109382E-3</v>
      </c>
      <c r="K196" s="128"/>
      <c r="L196" s="128">
        <v>3.9800000000000002E-2</v>
      </c>
      <c r="O196" s="2"/>
    </row>
    <row r="197" spans="2:15" x14ac:dyDescent="0.2">
      <c r="B197" s="1">
        <v>182</v>
      </c>
      <c r="C197" s="5">
        <f ca="1">_xlfn.NORM.S.INV(RAND())</f>
        <v>1.0910457404111593</v>
      </c>
      <c r="D197" s="5">
        <f ca="1">S0*EXP((μ-0.5*σ*σ)*T+σ*SQRT(T)*$C197)</f>
        <v>0.73996795853280894</v>
      </c>
      <c r="E197" s="5">
        <f ca="1">MAX(0,CP*(D197-K))</f>
        <v>0</v>
      </c>
      <c r="F197" s="4">
        <f ca="1">(CP*(D197-K)&gt;0)*1</f>
        <v>0</v>
      </c>
      <c r="H197" s="4">
        <v>182</v>
      </c>
      <c r="I197" s="3">
        <v>0.66762766307573351</v>
      </c>
      <c r="J197" s="128">
        <v>1.1412775462593054E-3</v>
      </c>
      <c r="K197" s="128"/>
      <c r="L197" s="128">
        <v>3.7400000000000003E-2</v>
      </c>
      <c r="O197" s="2"/>
    </row>
    <row r="198" spans="2:15" x14ac:dyDescent="0.2">
      <c r="B198" s="1">
        <v>183</v>
      </c>
      <c r="C198" s="5">
        <f ca="1">_xlfn.NORM.S.INV(RAND())</f>
        <v>1.1108124502665808</v>
      </c>
      <c r="D198" s="5">
        <f ca="1">S0*EXP((μ-0.5*σ*σ)*T+σ*SQRT(T)*$C198)</f>
        <v>0.7414113769992523</v>
      </c>
      <c r="E198" s="5">
        <f ca="1">MAX(0,CP*(D198-K))</f>
        <v>0</v>
      </c>
      <c r="F198" s="4">
        <f ca="1">(CP*(D198-K)&gt;0)*1</f>
        <v>0</v>
      </c>
      <c r="H198" s="4">
        <v>183</v>
      </c>
      <c r="I198" s="3">
        <v>0.66776437790055621</v>
      </c>
      <c r="J198" s="128">
        <v>1.3578059690229076E-3</v>
      </c>
      <c r="K198" s="128"/>
      <c r="L198" s="128">
        <v>4.1599999999999998E-2</v>
      </c>
      <c r="O198" s="2"/>
    </row>
    <row r="199" spans="2:15" x14ac:dyDescent="0.2">
      <c r="B199" s="1">
        <v>184</v>
      </c>
      <c r="C199" s="5">
        <f ca="1">_xlfn.NORM.S.INV(RAND())</f>
        <v>-1.0331830146477277</v>
      </c>
      <c r="D199" s="5">
        <f ca="1">S0*EXP((μ-0.5*σ*σ)*T+σ*SQRT(T)*$C199)</f>
        <v>0.60015295508166266</v>
      </c>
      <c r="E199" s="5">
        <f ca="1">MAX(0,CP*(D199-K))</f>
        <v>0</v>
      </c>
      <c r="F199" s="4">
        <f ca="1">(CP*(D199-K)&gt;0)*1</f>
        <v>0</v>
      </c>
      <c r="H199" s="4">
        <v>184</v>
      </c>
      <c r="I199" s="3">
        <v>0.66771372694402953</v>
      </c>
      <c r="J199" s="128">
        <v>1.2940122573963974E-3</v>
      </c>
      <c r="K199" s="128"/>
      <c r="L199" s="128">
        <v>3.7999999999999999E-2</v>
      </c>
      <c r="O199" s="2"/>
    </row>
    <row r="200" spans="2:15" x14ac:dyDescent="0.2">
      <c r="B200" s="1">
        <v>185</v>
      </c>
      <c r="C200" s="5">
        <f ca="1">_xlfn.NORM.S.INV(RAND())</f>
        <v>-0.28430632900822944</v>
      </c>
      <c r="D200" s="5">
        <f ca="1">S0*EXP((μ-0.5*σ*σ)*T+σ*SQRT(T)*$C200)</f>
        <v>0.64613884139589295</v>
      </c>
      <c r="E200" s="5">
        <f ca="1">MAX(0,CP*(D200-K))</f>
        <v>0</v>
      </c>
      <c r="F200" s="4">
        <f ca="1">(CP*(D200-K)&gt;0)*1</f>
        <v>0</v>
      </c>
      <c r="H200" s="4">
        <v>185</v>
      </c>
      <c r="I200" s="3">
        <v>0.66762334676109281</v>
      </c>
      <c r="J200" s="128">
        <v>1.2836892234044225E-3</v>
      </c>
      <c r="K200" s="128"/>
      <c r="L200" s="128">
        <v>4.02E-2</v>
      </c>
      <c r="O200" s="2"/>
    </row>
    <row r="201" spans="2:15" x14ac:dyDescent="0.2">
      <c r="B201" s="1">
        <v>186</v>
      </c>
      <c r="C201" s="5">
        <f ca="1">_xlfn.NORM.S.INV(RAND())</f>
        <v>1.8990197925045291</v>
      </c>
      <c r="D201" s="5">
        <f ca="1">S0*EXP((μ-0.5*σ*σ)*T+σ*SQRT(T)*$C201)</f>
        <v>0.80132211186654734</v>
      </c>
      <c r="E201" s="5">
        <f ca="1">MAX(0,CP*(D201-K))</f>
        <v>1.3122111866547326E-2</v>
      </c>
      <c r="F201" s="4">
        <f ca="1">(CP*(D201-K)&gt;0)*1</f>
        <v>1</v>
      </c>
      <c r="H201" s="4">
        <v>186</v>
      </c>
      <c r="I201" s="3">
        <v>0.66781467327513233</v>
      </c>
      <c r="J201" s="128">
        <v>1.5588550969303715E-3</v>
      </c>
      <c r="K201" s="128"/>
      <c r="L201" s="128">
        <v>4.3200000000000002E-2</v>
      </c>
      <c r="O201" s="2"/>
    </row>
    <row r="202" spans="2:15" x14ac:dyDescent="0.2">
      <c r="B202" s="1">
        <v>187</v>
      </c>
      <c r="C202" s="5">
        <f ca="1">_xlfn.NORM.S.INV(RAND())</f>
        <v>-1.4344009768889814</v>
      </c>
      <c r="D202" s="5">
        <f ca="1">S0*EXP((μ-0.5*σ*σ)*T+σ*SQRT(T)*$C202)</f>
        <v>0.5768772376415835</v>
      </c>
      <c r="E202" s="5">
        <f ca="1">MAX(0,CP*(D202-K))</f>
        <v>0</v>
      </c>
      <c r="F202" s="4">
        <f ca="1">(CP*(D202-K)&gt;0)*1</f>
        <v>0</v>
      </c>
      <c r="H202" s="4">
        <v>187</v>
      </c>
      <c r="I202" s="3">
        <v>0.66768914092332765</v>
      </c>
      <c r="J202" s="128">
        <v>1.4150558772968503E-3</v>
      </c>
      <c r="K202" s="128"/>
      <c r="L202" s="128">
        <v>4.0800000000000003E-2</v>
      </c>
      <c r="O202" s="2"/>
    </row>
    <row r="203" spans="2:15" x14ac:dyDescent="0.2">
      <c r="B203" s="1">
        <v>188</v>
      </c>
      <c r="C203" s="5">
        <f ca="1">_xlfn.NORM.S.INV(RAND())</f>
        <v>-0.2153886768542092</v>
      </c>
      <c r="D203" s="5">
        <f ca="1">S0*EXP((μ-0.5*σ*σ)*T+σ*SQRT(T)*$C203)</f>
        <v>0.65054392613447143</v>
      </c>
      <c r="E203" s="5">
        <f ca="1">MAX(0,CP*(D203-K))</f>
        <v>0</v>
      </c>
      <c r="F203" s="4">
        <f ca="1">(CP*(D203-K)&gt;0)*1</f>
        <v>0</v>
      </c>
      <c r="H203" s="4">
        <v>188</v>
      </c>
      <c r="I203" s="3">
        <v>0.66759654132439017</v>
      </c>
      <c r="J203" s="128">
        <v>1.2576871160069711E-3</v>
      </c>
      <c r="K203" s="128"/>
      <c r="L203" s="128">
        <v>3.8199999999999998E-2</v>
      </c>
      <c r="O203" s="2"/>
    </row>
    <row r="204" spans="2:15" x14ac:dyDescent="0.2">
      <c r="B204" s="1">
        <v>189</v>
      </c>
      <c r="C204" s="5">
        <f ca="1">_xlfn.NORM.S.INV(RAND())</f>
        <v>8.0757598092192295E-2</v>
      </c>
      <c r="D204" s="5">
        <f ca="1">S0*EXP((μ-0.5*σ*σ)*T+σ*SQRT(T)*$C204)</f>
        <v>0.66981739758312442</v>
      </c>
      <c r="E204" s="5">
        <f ca="1">MAX(0,CP*(D204-K))</f>
        <v>0</v>
      </c>
      <c r="F204" s="4">
        <f ca="1">(CP*(D204-K)&gt;0)*1</f>
        <v>0</v>
      </c>
      <c r="H204" s="4">
        <v>189</v>
      </c>
      <c r="I204" s="3">
        <v>0.66788160903726268</v>
      </c>
      <c r="J204" s="128">
        <v>1.5193096681814303E-3</v>
      </c>
      <c r="K204" s="128"/>
      <c r="L204" s="128">
        <v>4.36E-2</v>
      </c>
      <c r="O204" s="2"/>
    </row>
    <row r="205" spans="2:15" x14ac:dyDescent="0.2">
      <c r="B205" s="1">
        <v>190</v>
      </c>
      <c r="C205" s="5">
        <f ca="1">_xlfn.NORM.S.INV(RAND())</f>
        <v>-0.64908444958739653</v>
      </c>
      <c r="D205" s="5">
        <f ca="1">S0*EXP((μ-0.5*σ*σ)*T+σ*SQRT(T)*$C205)</f>
        <v>0.62331490310086946</v>
      </c>
      <c r="E205" s="5">
        <f ca="1">MAX(0,CP*(D205-K))</f>
        <v>0</v>
      </c>
      <c r="F205" s="4">
        <f ca="1">(CP*(D205-K)&gt;0)*1</f>
        <v>0</v>
      </c>
      <c r="H205" s="4">
        <v>190</v>
      </c>
      <c r="I205" s="3">
        <v>0.66762469663813728</v>
      </c>
      <c r="J205" s="128">
        <v>1.2675347299437448E-3</v>
      </c>
      <c r="K205" s="128"/>
      <c r="L205" s="128">
        <v>4.1000000000000002E-2</v>
      </c>
      <c r="O205" s="2"/>
    </row>
    <row r="206" spans="2:15" x14ac:dyDescent="0.2">
      <c r="B206" s="1">
        <v>191</v>
      </c>
      <c r="C206" s="5">
        <f ca="1">_xlfn.NORM.S.INV(RAND())</f>
        <v>-0.52997037648956591</v>
      </c>
      <c r="D206" s="5">
        <f ca="1">S0*EXP((μ-0.5*σ*σ)*T+σ*SQRT(T)*$C206)</f>
        <v>0.63067773348757761</v>
      </c>
      <c r="E206" s="5">
        <f ca="1">MAX(0,CP*(D206-K))</f>
        <v>0</v>
      </c>
      <c r="F206" s="4">
        <f ca="1">(CP*(D206-K)&gt;0)*1</f>
        <v>0</v>
      </c>
      <c r="H206" s="4">
        <v>191</v>
      </c>
      <c r="I206" s="3">
        <v>0.66762038012977598</v>
      </c>
      <c r="J206" s="128">
        <v>1.2953981050111368E-3</v>
      </c>
      <c r="K206" s="128"/>
      <c r="L206" s="128">
        <v>3.7999999999999999E-2</v>
      </c>
      <c r="O206" s="2"/>
    </row>
    <row r="207" spans="2:15" x14ac:dyDescent="0.2">
      <c r="B207" s="1">
        <v>192</v>
      </c>
      <c r="C207" s="5">
        <f ca="1">_xlfn.NORM.S.INV(RAND())</f>
        <v>-0.13591202111738132</v>
      </c>
      <c r="D207" s="5">
        <f ca="1">S0*EXP((μ-0.5*σ*σ)*T+σ*SQRT(T)*$C207)</f>
        <v>0.65566122142304284</v>
      </c>
      <c r="E207" s="5">
        <f ca="1">MAX(0,CP*(D207-K))</f>
        <v>0</v>
      </c>
      <c r="F207" s="4">
        <f ca="1">(CP*(D207-K)&gt;0)*1</f>
        <v>0</v>
      </c>
      <c r="H207" s="4">
        <v>192</v>
      </c>
      <c r="I207" s="3">
        <v>0.66780433441859921</v>
      </c>
      <c r="J207" s="128">
        <v>1.3725273229687062E-3</v>
      </c>
      <c r="K207" s="128"/>
      <c r="L207" s="128">
        <v>4.0800000000000003E-2</v>
      </c>
      <c r="O207" s="2"/>
    </row>
    <row r="208" spans="2:15" x14ac:dyDescent="0.2">
      <c r="B208" s="1">
        <v>193</v>
      </c>
      <c r="C208" s="5">
        <f ca="1">_xlfn.NORM.S.INV(RAND())</f>
        <v>-6.9649684713906672E-3</v>
      </c>
      <c r="D208" s="5">
        <f ca="1">S0*EXP((μ-0.5*σ*σ)*T+σ*SQRT(T)*$C208)</f>
        <v>0.66404956212235822</v>
      </c>
      <c r="E208" s="5">
        <f ca="1">MAX(0,CP*(D208-K))</f>
        <v>0</v>
      </c>
      <c r="F208" s="4">
        <f ca="1">(CP*(D208-K)&gt;0)*1</f>
        <v>0</v>
      </c>
      <c r="H208" s="4">
        <v>193</v>
      </c>
      <c r="I208" s="3">
        <v>0.66769719085281276</v>
      </c>
      <c r="J208" s="128">
        <v>1.3895563108701642E-3</v>
      </c>
      <c r="K208" s="128"/>
      <c r="L208" s="128">
        <v>4.1799999999999997E-2</v>
      </c>
      <c r="O208" s="2"/>
    </row>
    <row r="209" spans="2:15" x14ac:dyDescent="0.2">
      <c r="B209" s="1">
        <v>194</v>
      </c>
      <c r="C209" s="5">
        <f ca="1">_xlfn.NORM.S.INV(RAND())</f>
        <v>1.2190211996811726</v>
      </c>
      <c r="D209" s="5">
        <f ca="1">S0*EXP((μ-0.5*σ*σ)*T+σ*SQRT(T)*$C209)</f>
        <v>0.74936311269693223</v>
      </c>
      <c r="E209" s="5">
        <f ca="1">MAX(0,CP*(D209-K))</f>
        <v>0</v>
      </c>
      <c r="F209" s="4">
        <f ca="1">(CP*(D209-K)&gt;0)*1</f>
        <v>0</v>
      </c>
      <c r="H209" s="4">
        <v>194</v>
      </c>
      <c r="I209" s="3">
        <v>0.66777440341844863</v>
      </c>
      <c r="J209" s="128">
        <v>1.435657104769196E-3</v>
      </c>
      <c r="K209" s="128"/>
      <c r="L209" s="128">
        <v>4.0399999999999998E-2</v>
      </c>
      <c r="O209" s="2"/>
    </row>
    <row r="210" spans="2:15" x14ac:dyDescent="0.2">
      <c r="B210" s="1">
        <v>195</v>
      </c>
      <c r="C210" s="5">
        <f ca="1">_xlfn.NORM.S.INV(RAND())</f>
        <v>-1.5183079092038922</v>
      </c>
      <c r="D210" s="5">
        <f ca="1">S0*EXP((μ-0.5*σ*σ)*T+σ*SQRT(T)*$C210)</f>
        <v>0.57212489302805714</v>
      </c>
      <c r="E210" s="5">
        <f ca="1">MAX(0,CP*(D210-K))</f>
        <v>0</v>
      </c>
      <c r="F210" s="4">
        <f ca="1">(CP*(D210-K)&gt;0)*1</f>
        <v>0</v>
      </c>
      <c r="H210" s="4">
        <v>195</v>
      </c>
      <c r="I210" s="3">
        <v>0.66781714629277356</v>
      </c>
      <c r="J210" s="128">
        <v>1.4349089386040794E-3</v>
      </c>
      <c r="K210" s="128"/>
      <c r="L210" s="128">
        <v>4.4200000000000003E-2</v>
      </c>
      <c r="O210" s="2"/>
    </row>
    <row r="211" spans="2:15" x14ac:dyDescent="0.2">
      <c r="B211" s="1">
        <v>196</v>
      </c>
      <c r="C211" s="5">
        <f ca="1">_xlfn.NORM.S.INV(RAND())</f>
        <v>3.7394373530502047E-2</v>
      </c>
      <c r="D211" s="5">
        <f ca="1">S0*EXP((μ-0.5*σ*σ)*T+σ*SQRT(T)*$C211)</f>
        <v>0.6669599930812814</v>
      </c>
      <c r="E211" s="5">
        <f ca="1">MAX(0,CP*(D211-K))</f>
        <v>0</v>
      </c>
      <c r="F211" s="4">
        <f ca="1">(CP*(D211-K)&gt;0)*1</f>
        <v>0</v>
      </c>
      <c r="H211" s="4">
        <v>196</v>
      </c>
      <c r="I211" s="3">
        <v>0.66786203112448417</v>
      </c>
      <c r="J211" s="128">
        <v>1.4465852445026944E-3</v>
      </c>
      <c r="K211" s="128"/>
      <c r="L211" s="128">
        <v>4.1799999999999997E-2</v>
      </c>
      <c r="O211" s="2"/>
    </row>
    <row r="212" spans="2:15" x14ac:dyDescent="0.2">
      <c r="B212" s="1">
        <v>197</v>
      </c>
      <c r="C212" s="5">
        <f ca="1">_xlfn.NORM.S.INV(RAND())</f>
        <v>-0.26888919913940862</v>
      </c>
      <c r="D212" s="5">
        <f ca="1">S0*EXP((μ-0.5*σ*σ)*T+σ*SQRT(T)*$C212)</f>
        <v>0.64712167770335294</v>
      </c>
      <c r="E212" s="5">
        <f ca="1">MAX(0,CP*(D212-K))</f>
        <v>0</v>
      </c>
      <c r="F212" s="4">
        <f ca="1">(CP*(D212-K)&gt;0)*1</f>
        <v>0</v>
      </c>
      <c r="H212" s="4">
        <v>197</v>
      </c>
      <c r="I212" s="3">
        <v>0.66770466242354998</v>
      </c>
      <c r="J212" s="128">
        <v>1.1776208000235078E-3</v>
      </c>
      <c r="K212" s="128"/>
      <c r="L212" s="128">
        <v>4.0399999999999998E-2</v>
      </c>
      <c r="O212" s="2"/>
    </row>
    <row r="213" spans="2:15" x14ac:dyDescent="0.2">
      <c r="B213" s="1">
        <v>198</v>
      </c>
      <c r="C213" s="5">
        <f ca="1">_xlfn.NORM.S.INV(RAND())</f>
        <v>1.0080020074978073</v>
      </c>
      <c r="D213" s="5">
        <f ca="1">S0*EXP((μ-0.5*σ*σ)*T+σ*SQRT(T)*$C213)</f>
        <v>0.73393451974241253</v>
      </c>
      <c r="E213" s="5">
        <f ca="1">MAX(0,CP*(D213-K))</f>
        <v>0</v>
      </c>
      <c r="F213" s="4">
        <f ca="1">(CP*(D213-K)&gt;0)*1</f>
        <v>0</v>
      </c>
      <c r="H213" s="4">
        <v>198</v>
      </c>
      <c r="I213" s="3">
        <v>0.66778220276724498</v>
      </c>
      <c r="J213" s="128">
        <v>1.5065958036093721E-3</v>
      </c>
      <c r="K213" s="128"/>
      <c r="L213" s="128">
        <v>4.1399999999999999E-2</v>
      </c>
      <c r="O213" s="2"/>
    </row>
    <row r="214" spans="2:15" x14ac:dyDescent="0.2">
      <c r="B214" s="1">
        <v>199</v>
      </c>
      <c r="C214" s="5">
        <f ca="1">_xlfn.NORM.S.INV(RAND())</f>
        <v>-1.6650563897987858</v>
      </c>
      <c r="D214" s="5">
        <f ca="1">S0*EXP((μ-0.5*σ*σ)*T+σ*SQRT(T)*$C214)</f>
        <v>0.56390722912995406</v>
      </c>
      <c r="E214" s="5">
        <f ca="1">MAX(0,CP*(D214-K))</f>
        <v>0</v>
      </c>
      <c r="F214" s="4">
        <f ca="1">(CP*(D214-K)&gt;0)*1</f>
        <v>0</v>
      </c>
      <c r="H214" s="4">
        <v>199</v>
      </c>
      <c r="I214" s="3">
        <v>0.66773147370888042</v>
      </c>
      <c r="J214" s="128">
        <v>1.3539883198744648E-3</v>
      </c>
      <c r="K214" s="128"/>
      <c r="L214" s="128">
        <v>4.3799999999999999E-2</v>
      </c>
      <c r="O214" s="2"/>
    </row>
    <row r="215" spans="2:15" x14ac:dyDescent="0.2">
      <c r="B215" s="1">
        <v>200</v>
      </c>
      <c r="C215" s="5">
        <f ca="1">_xlfn.NORM.S.INV(RAND())</f>
        <v>-0.20185023827098375</v>
      </c>
      <c r="D215" s="5">
        <f ca="1">S0*EXP((μ-0.5*σ*σ)*T+σ*SQRT(T)*$C215)</f>
        <v>0.65141280010942659</v>
      </c>
      <c r="E215" s="5">
        <f ca="1">MAX(0,CP*(D215-K))</f>
        <v>0</v>
      </c>
      <c r="F215" s="4">
        <f ca="1">(CP*(D215-K)&gt;0)*1</f>
        <v>0</v>
      </c>
      <c r="H215" s="4">
        <v>200</v>
      </c>
      <c r="I215" s="3">
        <v>0.66792047710004676</v>
      </c>
      <c r="J215" s="128">
        <v>1.6165421870026587E-3</v>
      </c>
      <c r="K215" s="128"/>
      <c r="L215" s="128">
        <v>4.1599999999999998E-2</v>
      </c>
      <c r="O215" s="2"/>
    </row>
    <row r="216" spans="2:15" x14ac:dyDescent="0.2">
      <c r="B216" s="1">
        <v>201</v>
      </c>
      <c r="C216" s="5">
        <f ca="1">_xlfn.NORM.S.INV(RAND())</f>
        <v>-0.77148229373563038</v>
      </c>
      <c r="D216" s="5">
        <f ca="1">S0*EXP((μ-0.5*σ*σ)*T+σ*SQRT(T)*$C216)</f>
        <v>0.61583862682215884</v>
      </c>
      <c r="E216" s="5">
        <f ca="1">MAX(0,CP*(D216-K))</f>
        <v>0</v>
      </c>
      <c r="F216" s="4">
        <f ca="1">(CP*(D216-K)&gt;0)*1</f>
        <v>0</v>
      </c>
      <c r="H216" s="4">
        <v>201</v>
      </c>
      <c r="I216" s="3">
        <v>0.66756571416569399</v>
      </c>
      <c r="J216" s="128">
        <v>1.0131871984889302E-3</v>
      </c>
      <c r="K216" s="128"/>
      <c r="L216" s="128">
        <v>3.5799999999999998E-2</v>
      </c>
      <c r="O216" s="2"/>
    </row>
    <row r="217" spans="2:15" x14ac:dyDescent="0.2">
      <c r="B217" s="1">
        <v>202</v>
      </c>
      <c r="C217" s="5">
        <f ca="1">_xlfn.NORM.S.INV(RAND())</f>
        <v>-1.298730625326312</v>
      </c>
      <c r="D217" s="5">
        <f ca="1">S0*EXP((μ-0.5*σ*σ)*T+σ*SQRT(T)*$C217)</f>
        <v>0.58464503239326437</v>
      </c>
      <c r="E217" s="5">
        <f ca="1">MAX(0,CP*(D217-K))</f>
        <v>0</v>
      </c>
      <c r="F217" s="4">
        <f ca="1">(CP*(D217-K)&gt;0)*1</f>
        <v>0</v>
      </c>
      <c r="H217" s="4">
        <v>202</v>
      </c>
      <c r="I217" s="3">
        <v>0.66785214732777454</v>
      </c>
      <c r="J217" s="128">
        <v>1.4707252377197963E-3</v>
      </c>
      <c r="K217" s="128"/>
      <c r="L217" s="128">
        <v>4.3200000000000002E-2</v>
      </c>
      <c r="O217" s="2"/>
    </row>
    <row r="218" spans="2:15" x14ac:dyDescent="0.2">
      <c r="B218" s="1">
        <v>203</v>
      </c>
      <c r="C218" s="5">
        <f ca="1">_xlfn.NORM.S.INV(RAND())</f>
        <v>1.5780841045440683</v>
      </c>
      <c r="D218" s="5">
        <f ca="1">S0*EXP((μ-0.5*σ*σ)*T+σ*SQRT(T)*$C218)</f>
        <v>0.77636499654160585</v>
      </c>
      <c r="E218" s="5">
        <f ca="1">MAX(0,CP*(D218-K))</f>
        <v>0</v>
      </c>
      <c r="F218" s="4">
        <f ca="1">(CP*(D218-K)&gt;0)*1</f>
        <v>0</v>
      </c>
      <c r="H218" s="4">
        <v>203</v>
      </c>
      <c r="I218" s="3">
        <v>0.66782368651869073</v>
      </c>
      <c r="J218" s="128">
        <v>1.4914339170495334E-3</v>
      </c>
      <c r="K218" s="128"/>
      <c r="L218" s="128">
        <v>4.5999999999999999E-2</v>
      </c>
      <c r="O218" s="2"/>
    </row>
    <row r="219" spans="2:15" x14ac:dyDescent="0.2">
      <c r="B219" s="1">
        <v>204</v>
      </c>
      <c r="C219" s="5">
        <f ca="1">_xlfn.NORM.S.INV(RAND())</f>
        <v>-2.5206441652704488</v>
      </c>
      <c r="D219" s="5">
        <f ca="1">S0*EXP((μ-0.5*σ*σ)*T+σ*SQRT(T)*$C219)</f>
        <v>0.51829237663424244</v>
      </c>
      <c r="E219" s="5">
        <f ca="1">MAX(0,CP*(D219-K))</f>
        <v>0</v>
      </c>
      <c r="F219" s="4">
        <f ca="1">(CP*(D219-K)&gt;0)*1</f>
        <v>0</v>
      </c>
      <c r="H219" s="4">
        <v>204</v>
      </c>
      <c r="I219" s="3">
        <v>0.66764658214838712</v>
      </c>
      <c r="J219" s="128">
        <v>1.2209240843940249E-3</v>
      </c>
      <c r="K219" s="128"/>
      <c r="L219" s="128">
        <v>3.8600000000000002E-2</v>
      </c>
      <c r="O219" s="2"/>
    </row>
    <row r="220" spans="2:15" x14ac:dyDescent="0.2">
      <c r="B220" s="1">
        <v>205</v>
      </c>
      <c r="C220" s="5">
        <f ca="1">_xlfn.NORM.S.INV(RAND())</f>
        <v>-0.17658268870283769</v>
      </c>
      <c r="D220" s="5">
        <f ca="1">S0*EXP((μ-0.5*σ*σ)*T+σ*SQRT(T)*$C220)</f>
        <v>0.65303753375804274</v>
      </c>
      <c r="E220" s="5">
        <f ca="1">MAX(0,CP*(D220-K))</f>
        <v>0</v>
      </c>
      <c r="F220" s="4">
        <f ca="1">(CP*(D220-K)&gt;0)*1</f>
        <v>0</v>
      </c>
      <c r="H220" s="4">
        <v>205</v>
      </c>
      <c r="I220" s="3">
        <v>0.66764929741509582</v>
      </c>
      <c r="J220" s="128">
        <v>1.3130443375165141E-3</v>
      </c>
      <c r="K220" s="128"/>
      <c r="L220" s="128">
        <v>3.8800000000000001E-2</v>
      </c>
      <c r="O220" s="2"/>
    </row>
    <row r="221" spans="2:15" x14ac:dyDescent="0.2">
      <c r="B221" s="1">
        <v>206</v>
      </c>
      <c r="C221" s="5">
        <f ca="1">_xlfn.NORM.S.INV(RAND())</f>
        <v>-5.4468224060986187E-3</v>
      </c>
      <c r="D221" s="5">
        <f ca="1">S0*EXP((μ-0.5*σ*σ)*T+σ*SQRT(T)*$C221)</f>
        <v>0.66414895797748241</v>
      </c>
      <c r="E221" s="5">
        <f ca="1">MAX(0,CP*(D221-K))</f>
        <v>0</v>
      </c>
      <c r="F221" s="4">
        <f ca="1">(CP*(D221-K)&gt;0)*1</f>
        <v>0</v>
      </c>
      <c r="H221" s="4">
        <v>206</v>
      </c>
      <c r="I221" s="3">
        <v>0.66749705570009821</v>
      </c>
      <c r="J221" s="128">
        <v>1.1373083091033929E-3</v>
      </c>
      <c r="K221" s="128"/>
      <c r="L221" s="128">
        <v>3.8399999999999997E-2</v>
      </c>
      <c r="O221" s="2"/>
    </row>
    <row r="222" spans="2:15" x14ac:dyDescent="0.2">
      <c r="B222" s="1">
        <v>207</v>
      </c>
      <c r="C222" s="5">
        <f ca="1">_xlfn.NORM.S.INV(RAND())</f>
        <v>1.3464571451708982</v>
      </c>
      <c r="D222" s="5">
        <f ca="1">S0*EXP((μ-0.5*σ*σ)*T+σ*SQRT(T)*$C222)</f>
        <v>0.75883719126152693</v>
      </c>
      <c r="E222" s="5">
        <f ca="1">MAX(0,CP*(D222-K))</f>
        <v>0</v>
      </c>
      <c r="F222" s="4">
        <f ca="1">(CP*(D222-K)&gt;0)*1</f>
        <v>0</v>
      </c>
      <c r="H222" s="4">
        <v>207</v>
      </c>
      <c r="I222" s="3">
        <v>0.66769027941168158</v>
      </c>
      <c r="J222" s="128">
        <v>1.3056982467782117E-3</v>
      </c>
      <c r="K222" s="128"/>
      <c r="L222" s="128">
        <v>3.9199999999999999E-2</v>
      </c>
      <c r="O222" s="2"/>
    </row>
    <row r="223" spans="2:15" x14ac:dyDescent="0.2">
      <c r="B223" s="1">
        <v>208</v>
      </c>
      <c r="C223" s="5">
        <f ca="1">_xlfn.NORM.S.INV(RAND())</f>
        <v>0.82606876934082552</v>
      </c>
      <c r="D223" s="5">
        <f ca="1">S0*EXP((μ-0.5*σ*σ)*T+σ*SQRT(T)*$C223)</f>
        <v>0.72088777757016498</v>
      </c>
      <c r="E223" s="5">
        <f ca="1">MAX(0,CP*(D223-K))</f>
        <v>0</v>
      </c>
      <c r="F223" s="4">
        <f ca="1">(CP*(D223-K)&gt;0)*1</f>
        <v>0</v>
      </c>
      <c r="H223" s="4">
        <v>208</v>
      </c>
      <c r="I223" s="3">
        <v>0.66788484247937807</v>
      </c>
      <c r="J223" s="128">
        <v>1.5163802707368792E-3</v>
      </c>
      <c r="K223" s="128"/>
      <c r="L223" s="128">
        <v>4.5400000000000003E-2</v>
      </c>
      <c r="O223" s="2"/>
    </row>
    <row r="224" spans="2:15" x14ac:dyDescent="0.2">
      <c r="B224" s="1">
        <v>209</v>
      </c>
      <c r="C224" s="5">
        <f ca="1">_xlfn.NORM.S.INV(RAND())</f>
        <v>-0.15034002591353698</v>
      </c>
      <c r="D224" s="5">
        <f ca="1">S0*EXP((μ-0.5*σ*σ)*T+σ*SQRT(T)*$C224)</f>
        <v>0.65472925844837249</v>
      </c>
      <c r="E224" s="5">
        <f ca="1">MAX(0,CP*(D224-K))</f>
        <v>0</v>
      </c>
      <c r="F224" s="4">
        <f ca="1">(CP*(D224-K)&gt;0)*1</f>
        <v>0</v>
      </c>
      <c r="H224" s="4">
        <v>209</v>
      </c>
      <c r="I224" s="3">
        <v>0.66775915513452855</v>
      </c>
      <c r="J224" s="128">
        <v>1.3500986578343793E-3</v>
      </c>
      <c r="K224" s="128"/>
      <c r="L224" s="128">
        <v>4.1399999999999999E-2</v>
      </c>
      <c r="O224" s="2"/>
    </row>
    <row r="225" spans="2:15" x14ac:dyDescent="0.2">
      <c r="B225" s="1">
        <v>210</v>
      </c>
      <c r="C225" s="5">
        <f ca="1">_xlfn.NORM.S.INV(RAND())</f>
        <v>0.41211197037538666</v>
      </c>
      <c r="D225" s="5">
        <f ca="1">S0*EXP((μ-0.5*σ*σ)*T+σ*SQRT(T)*$C225)</f>
        <v>0.69205990754676228</v>
      </c>
      <c r="E225" s="5">
        <f ca="1">MAX(0,CP*(D225-K))</f>
        <v>0</v>
      </c>
      <c r="F225" s="4">
        <f ca="1">(CP*(D225-K)&gt;0)*1</f>
        <v>0</v>
      </c>
      <c r="H225" s="4">
        <v>210</v>
      </c>
      <c r="I225" s="3">
        <v>0.66777943812001617</v>
      </c>
      <c r="J225" s="128">
        <v>1.4158726580038945E-3</v>
      </c>
      <c r="K225" s="128"/>
      <c r="L225" s="128">
        <v>4.2599999999999999E-2</v>
      </c>
      <c r="O225" s="2"/>
    </row>
    <row r="226" spans="2:15" x14ac:dyDescent="0.2">
      <c r="B226" s="1">
        <v>211</v>
      </c>
      <c r="C226" s="5">
        <f ca="1">_xlfn.NORM.S.INV(RAND())</f>
        <v>0.97228870027704684</v>
      </c>
      <c r="D226" s="5">
        <f ca="1">S0*EXP((μ-0.5*σ*σ)*T+σ*SQRT(T)*$C226)</f>
        <v>0.73135496482048656</v>
      </c>
      <c r="E226" s="5">
        <f ca="1">MAX(0,CP*(D226-K))</f>
        <v>0</v>
      </c>
      <c r="F226" s="4">
        <f ca="1">(CP*(D226-K)&gt;0)*1</f>
        <v>0</v>
      </c>
      <c r="H226" s="4">
        <v>211</v>
      </c>
      <c r="I226" s="3">
        <v>0.66783475844429618</v>
      </c>
      <c r="J226" s="128">
        <v>1.4744040943566309E-3</v>
      </c>
      <c r="K226" s="128"/>
      <c r="L226" s="128">
        <v>4.3400000000000001E-2</v>
      </c>
      <c r="O226" s="2"/>
    </row>
    <row r="227" spans="2:15" x14ac:dyDescent="0.2">
      <c r="B227" s="1">
        <v>212</v>
      </c>
      <c r="C227" s="5">
        <f ca="1">_xlfn.NORM.S.INV(RAND())</f>
        <v>0.97139887358138477</v>
      </c>
      <c r="D227" s="5">
        <f ca="1">S0*EXP((μ-0.5*σ*σ)*T+σ*SQRT(T)*$C227)</f>
        <v>0.73129080896268905</v>
      </c>
      <c r="E227" s="5">
        <f ca="1">MAX(0,CP*(D227-K))</f>
        <v>0</v>
      </c>
      <c r="F227" s="4">
        <f ca="1">(CP*(D227-K)&gt;0)*1</f>
        <v>0</v>
      </c>
      <c r="H227" s="4">
        <v>212</v>
      </c>
      <c r="I227" s="3">
        <v>0.66749943412093327</v>
      </c>
      <c r="J227" s="128">
        <v>1.0077511765747484E-3</v>
      </c>
      <c r="K227" s="128"/>
      <c r="L227" s="128">
        <v>3.4799999999999998E-2</v>
      </c>
      <c r="O227" s="2"/>
    </row>
    <row r="228" spans="2:15" x14ac:dyDescent="0.2">
      <c r="B228" s="1">
        <v>213</v>
      </c>
      <c r="C228" s="5">
        <f ca="1">_xlfn.NORM.S.INV(RAND())</f>
        <v>-0.57874567555824108</v>
      </c>
      <c r="D228" s="5">
        <f ca="1">S0*EXP((μ-0.5*σ*σ)*T+σ*SQRT(T)*$C228)</f>
        <v>0.62765231541622013</v>
      </c>
      <c r="E228" s="5">
        <f ca="1">MAX(0,CP*(D228-K))</f>
        <v>0</v>
      </c>
      <c r="F228" s="4">
        <f ca="1">(CP*(D228-K)&gt;0)*1</f>
        <v>0</v>
      </c>
      <c r="H228" s="4">
        <v>213</v>
      </c>
      <c r="I228" s="3">
        <v>0.6677641697143637</v>
      </c>
      <c r="J228" s="128">
        <v>1.4676641815862617E-3</v>
      </c>
      <c r="K228" s="128"/>
      <c r="L228" s="128">
        <v>4.2799999999999998E-2</v>
      </c>
      <c r="O228" s="2"/>
    </row>
    <row r="229" spans="2:15" x14ac:dyDescent="0.2">
      <c r="B229" s="1">
        <v>214</v>
      </c>
      <c r="C229" s="5">
        <f ca="1">_xlfn.NORM.S.INV(RAND())</f>
        <v>0.36521361622738402</v>
      </c>
      <c r="D229" s="5">
        <f ca="1">S0*EXP((μ-0.5*σ*σ)*T+σ*SQRT(T)*$C229)</f>
        <v>0.6888674921272897</v>
      </c>
      <c r="E229" s="5">
        <f ca="1">MAX(0,CP*(D229-K))</f>
        <v>0</v>
      </c>
      <c r="F229" s="4">
        <f ca="1">(CP*(D229-K)&gt;0)*1</f>
        <v>0</v>
      </c>
      <c r="H229" s="4">
        <v>214</v>
      </c>
      <c r="I229" s="3">
        <v>0.66772093257092224</v>
      </c>
      <c r="J229" s="128">
        <v>1.3431269693866897E-3</v>
      </c>
      <c r="K229" s="128"/>
      <c r="L229" s="128">
        <v>4.3999999999999997E-2</v>
      </c>
      <c r="O229" s="2"/>
    </row>
    <row r="230" spans="2:15" x14ac:dyDescent="0.2">
      <c r="B230" s="1">
        <v>215</v>
      </c>
      <c r="C230" s="5">
        <f ca="1">_xlfn.NORM.S.INV(RAND())</f>
        <v>-1.0318317295582979</v>
      </c>
      <c r="D230" s="5">
        <f ca="1">S0*EXP((μ-0.5*σ*σ)*T+σ*SQRT(T)*$C230)</f>
        <v>0.60023291265087209</v>
      </c>
      <c r="E230" s="5">
        <f ca="1">MAX(0,CP*(D230-K))</f>
        <v>0</v>
      </c>
      <c r="F230" s="4">
        <f ca="1">(CP*(D230-K)&gt;0)*1</f>
        <v>0</v>
      </c>
      <c r="H230" s="4">
        <v>215</v>
      </c>
      <c r="I230" s="3">
        <v>0.66776231259246788</v>
      </c>
      <c r="J230" s="128">
        <v>1.4271524379435342E-3</v>
      </c>
      <c r="K230" s="128"/>
      <c r="L230" s="128">
        <v>4.4600000000000001E-2</v>
      </c>
      <c r="O230" s="2"/>
    </row>
    <row r="231" spans="2:15" x14ac:dyDescent="0.2">
      <c r="B231" s="1">
        <v>216</v>
      </c>
      <c r="C231" s="5">
        <f ca="1">_xlfn.NORM.S.INV(RAND())</f>
        <v>-1.8062126031601151</v>
      </c>
      <c r="D231" s="5">
        <f ca="1">S0*EXP((μ-0.5*σ*σ)*T+σ*SQRT(T)*$C231)</f>
        <v>0.55611411538905253</v>
      </c>
      <c r="E231" s="5">
        <f ca="1">MAX(0,CP*(D231-K))</f>
        <v>0</v>
      </c>
      <c r="F231" s="4">
        <f ca="1">(CP*(D231-K)&gt;0)*1</f>
        <v>0</v>
      </c>
      <c r="H231" s="4">
        <v>216</v>
      </c>
      <c r="I231" s="3">
        <v>0.66776445221401348</v>
      </c>
      <c r="J231" s="128">
        <v>1.4676715554483584E-3</v>
      </c>
      <c r="K231" s="128"/>
      <c r="L231" s="128">
        <v>4.1399999999999999E-2</v>
      </c>
      <c r="O231" s="2"/>
    </row>
    <row r="232" spans="2:15" x14ac:dyDescent="0.2">
      <c r="B232" s="1">
        <v>217</v>
      </c>
      <c r="C232" s="5">
        <f ca="1">_xlfn.NORM.S.INV(RAND())</f>
        <v>1.4413733533072557</v>
      </c>
      <c r="D232" s="5">
        <f ca="1">S0*EXP((μ-0.5*σ*σ)*T+σ*SQRT(T)*$C232)</f>
        <v>0.76597137448423636</v>
      </c>
      <c r="E232" s="5">
        <f ca="1">MAX(0,CP*(D232-K))</f>
        <v>0</v>
      </c>
      <c r="F232" s="4">
        <f ca="1">(CP*(D232-K)&gt;0)*1</f>
        <v>0</v>
      </c>
      <c r="H232" s="4">
        <v>217</v>
      </c>
      <c r="I232" s="3">
        <v>0.66770338989472566</v>
      </c>
      <c r="J232" s="128">
        <v>1.4027690728651851E-3</v>
      </c>
      <c r="K232" s="128"/>
      <c r="L232" s="128">
        <v>3.9600000000000003E-2</v>
      </c>
      <c r="O232" s="2"/>
    </row>
    <row r="233" spans="2:15" x14ac:dyDescent="0.2">
      <c r="B233" s="1">
        <v>218</v>
      </c>
      <c r="C233" s="5">
        <f ca="1">_xlfn.NORM.S.INV(RAND())</f>
        <v>-1.1613533955370552</v>
      </c>
      <c r="D233" s="5">
        <f ca="1">S0*EXP((μ-0.5*σ*σ)*T+σ*SQRT(T)*$C233)</f>
        <v>0.59261713775211067</v>
      </c>
      <c r="E233" s="5">
        <f ca="1">MAX(0,CP*(D233-K))</f>
        <v>0</v>
      </c>
      <c r="F233" s="4">
        <f ca="1">(CP*(D233-K)&gt;0)*1</f>
        <v>0</v>
      </c>
      <c r="H233" s="4">
        <v>218</v>
      </c>
      <c r="I233" s="3">
        <v>0.66768140977286972</v>
      </c>
      <c r="J233" s="128">
        <v>1.2198488245234119E-3</v>
      </c>
      <c r="K233" s="128"/>
      <c r="L233" s="128">
        <v>3.9600000000000003E-2</v>
      </c>
      <c r="O233" s="2"/>
    </row>
    <row r="234" spans="2:15" x14ac:dyDescent="0.2">
      <c r="B234" s="1">
        <v>219</v>
      </c>
      <c r="C234" s="5">
        <f ca="1">_xlfn.NORM.S.INV(RAND())</f>
        <v>2.1772552947051338</v>
      </c>
      <c r="D234" s="5">
        <f ca="1">S0*EXP((μ-0.5*σ*σ)*T+σ*SQRT(T)*$C234)</f>
        <v>0.8236070520191987</v>
      </c>
      <c r="E234" s="5">
        <f ca="1">MAX(0,CP*(D234-K))</f>
        <v>3.5407052019198693E-2</v>
      </c>
      <c r="F234" s="4">
        <f ca="1">(CP*(D234-K)&gt;0)*1</f>
        <v>1</v>
      </c>
      <c r="H234" s="4">
        <v>219</v>
      </c>
      <c r="I234" s="3">
        <v>0.66777905828072426</v>
      </c>
      <c r="J234" s="128">
        <v>1.2612891628645726E-3</v>
      </c>
      <c r="K234" s="128"/>
      <c r="L234" s="128">
        <v>4.4400000000000002E-2</v>
      </c>
      <c r="O234" s="2"/>
    </row>
    <row r="235" spans="2:15" x14ac:dyDescent="0.2">
      <c r="B235" s="1">
        <v>220</v>
      </c>
      <c r="C235" s="5">
        <f ca="1">_xlfn.NORM.S.INV(RAND())</f>
        <v>-0.1239759648904552</v>
      </c>
      <c r="D235" s="5">
        <f ca="1">S0*EXP((μ-0.5*σ*σ)*T+σ*SQRT(T)*$C235)</f>
        <v>0.65643322200377308</v>
      </c>
      <c r="E235" s="5">
        <f ca="1">MAX(0,CP*(D235-K))</f>
        <v>0</v>
      </c>
      <c r="F235" s="4">
        <f ca="1">(CP*(D235-K)&gt;0)*1</f>
        <v>0</v>
      </c>
      <c r="H235" s="4">
        <v>220</v>
      </c>
      <c r="I235" s="3">
        <v>0.66774495303449266</v>
      </c>
      <c r="J235" s="128">
        <v>1.2931698175982801E-3</v>
      </c>
      <c r="K235" s="128"/>
      <c r="L235" s="128">
        <v>4.0800000000000003E-2</v>
      </c>
      <c r="O235" s="2"/>
    </row>
    <row r="236" spans="2:15" x14ac:dyDescent="0.2">
      <c r="B236" s="1">
        <v>221</v>
      </c>
      <c r="C236" s="5">
        <f ca="1">_xlfn.NORM.S.INV(RAND())</f>
        <v>-0.27409869904637646</v>
      </c>
      <c r="D236" s="5">
        <f ca="1">S0*EXP((μ-0.5*σ*σ)*T+σ*SQRT(T)*$C236)</f>
        <v>0.64678940689859743</v>
      </c>
      <c r="E236" s="5">
        <f ca="1">MAX(0,CP*(D236-K))</f>
        <v>0</v>
      </c>
      <c r="F236" s="4">
        <f ca="1">(CP*(D236-K)&gt;0)*1</f>
        <v>0</v>
      </c>
      <c r="H236" s="4">
        <v>221</v>
      </c>
      <c r="I236" s="3">
        <v>0.66760592827459331</v>
      </c>
      <c r="J236" s="128">
        <v>1.2009781698988499E-3</v>
      </c>
      <c r="K236" s="128"/>
      <c r="L236" s="128">
        <v>3.7999999999999999E-2</v>
      </c>
      <c r="O236" s="2"/>
    </row>
    <row r="237" spans="2:15" x14ac:dyDescent="0.2">
      <c r="B237" s="1">
        <v>222</v>
      </c>
      <c r="C237" s="5">
        <f ca="1">_xlfn.NORM.S.INV(RAND())</f>
        <v>0.59951586198623841</v>
      </c>
      <c r="D237" s="5">
        <f ca="1">S0*EXP((μ-0.5*σ*σ)*T+σ*SQRT(T)*$C237)</f>
        <v>0.70496503015417333</v>
      </c>
      <c r="E237" s="5">
        <f ca="1">MAX(0,CP*(D237-K))</f>
        <v>0</v>
      </c>
      <c r="F237" s="4">
        <f ca="1">(CP*(D237-K)&gt;0)*1</f>
        <v>0</v>
      </c>
      <c r="H237" s="4">
        <v>222</v>
      </c>
      <c r="I237" s="3">
        <v>0.66786739504056991</v>
      </c>
      <c r="J237" s="128">
        <v>1.4982176116833932E-3</v>
      </c>
      <c r="K237" s="128"/>
      <c r="L237" s="128">
        <v>4.4200000000000003E-2</v>
      </c>
      <c r="O237" s="2"/>
    </row>
    <row r="238" spans="2:15" x14ac:dyDescent="0.2">
      <c r="B238" s="1">
        <v>223</v>
      </c>
      <c r="C238" s="5">
        <f ca="1">_xlfn.NORM.S.INV(RAND())</f>
        <v>-1.5406104758185917</v>
      </c>
      <c r="D238" s="5">
        <f ca="1">S0*EXP((μ-0.5*σ*σ)*T+σ*SQRT(T)*$C238)</f>
        <v>0.57086831331422594</v>
      </c>
      <c r="E238" s="5">
        <f ca="1">MAX(0,CP*(D238-K))</f>
        <v>0</v>
      </c>
      <c r="F238" s="4">
        <f ca="1">(CP*(D238-K)&gt;0)*1</f>
        <v>0</v>
      </c>
      <c r="H238" s="4">
        <v>223</v>
      </c>
      <c r="I238" s="3">
        <v>0.66772123046764142</v>
      </c>
      <c r="J238" s="128">
        <v>1.3268716947021119E-3</v>
      </c>
      <c r="K238" s="128"/>
      <c r="L238" s="128">
        <v>4.24E-2</v>
      </c>
      <c r="O238" s="2"/>
    </row>
    <row r="239" spans="2:15" x14ac:dyDescent="0.2">
      <c r="B239" s="1">
        <v>224</v>
      </c>
      <c r="C239" s="5">
        <f ca="1">_xlfn.NORM.S.INV(RAND())</f>
        <v>-0.51508659985366301</v>
      </c>
      <c r="D239" s="5">
        <f ca="1">S0*EXP((μ-0.5*σ*σ)*T+σ*SQRT(T)*$C239)</f>
        <v>0.63160384020302529</v>
      </c>
      <c r="E239" s="5">
        <f ca="1">MAX(0,CP*(D239-K))</f>
        <v>0</v>
      </c>
      <c r="F239" s="4">
        <f ca="1">(CP*(D239-K)&gt;0)*1</f>
        <v>0</v>
      </c>
      <c r="H239" s="4">
        <v>224</v>
      </c>
      <c r="I239" s="3">
        <v>0.66782017282924255</v>
      </c>
      <c r="J239" s="128">
        <v>1.4752266078479951E-3</v>
      </c>
      <c r="K239" s="128"/>
      <c r="L239" s="128">
        <v>4.2599999999999999E-2</v>
      </c>
      <c r="O239" s="2"/>
    </row>
    <row r="240" spans="2:15" x14ac:dyDescent="0.2">
      <c r="B240" s="1">
        <v>225</v>
      </c>
      <c r="C240" s="5">
        <f ca="1">_xlfn.NORM.S.INV(RAND())</f>
        <v>0.2308879122581575</v>
      </c>
      <c r="D240" s="5">
        <f ca="1">S0*EXP((μ-0.5*σ*σ)*T+σ*SQRT(T)*$C240)</f>
        <v>0.67980507463185202</v>
      </c>
      <c r="E240" s="5">
        <f ca="1">MAX(0,CP*(D240-K))</f>
        <v>0</v>
      </c>
      <c r="F240" s="4">
        <f ca="1">(CP*(D240-K)&gt;0)*1</f>
        <v>0</v>
      </c>
      <c r="H240" s="4">
        <v>225</v>
      </c>
      <c r="I240" s="3">
        <v>0.66785385311557099</v>
      </c>
      <c r="J240" s="128">
        <v>1.4248172110278145E-3</v>
      </c>
      <c r="K240" s="128"/>
      <c r="L240" s="128">
        <v>4.1599999999999998E-2</v>
      </c>
      <c r="O240" s="2"/>
    </row>
    <row r="241" spans="2:15" x14ac:dyDescent="0.2">
      <c r="B241" s="1">
        <v>226</v>
      </c>
      <c r="C241" s="5">
        <f ca="1">_xlfn.NORM.S.INV(RAND())</f>
        <v>-0.28322680752023016</v>
      </c>
      <c r="D241" s="5">
        <f ca="1">S0*EXP((μ-0.5*σ*σ)*T+σ*SQRT(T)*$C241)</f>
        <v>0.64620761186252362</v>
      </c>
      <c r="E241" s="5">
        <f ca="1">MAX(0,CP*(D241-K))</f>
        <v>0</v>
      </c>
      <c r="F241" s="4">
        <f ca="1">(CP*(D241-K)&gt;0)*1</f>
        <v>0</v>
      </c>
      <c r="H241" s="4">
        <v>226</v>
      </c>
      <c r="I241" s="3">
        <v>0.66767476597768693</v>
      </c>
      <c r="J241" s="128">
        <v>1.2783058751264927E-3</v>
      </c>
      <c r="K241" s="128"/>
      <c r="L241" s="128">
        <v>4.1200000000000001E-2</v>
      </c>
      <c r="O241" s="2"/>
    </row>
    <row r="242" spans="2:15" x14ac:dyDescent="0.2">
      <c r="B242" s="1">
        <v>227</v>
      </c>
      <c r="C242" s="5">
        <f ca="1">_xlfn.NORM.S.INV(RAND())</f>
        <v>0.3332643362347823</v>
      </c>
      <c r="D242" s="5">
        <f ca="1">S0*EXP((μ-0.5*σ*σ)*T+σ*SQRT(T)*$C242)</f>
        <v>0.68670111183560889</v>
      </c>
      <c r="E242" s="5">
        <f ca="1">MAX(0,CP*(D242-K))</f>
        <v>0</v>
      </c>
      <c r="F242" s="4">
        <f ca="1">(CP*(D242-K)&gt;0)*1</f>
        <v>0</v>
      </c>
      <c r="H242" s="4">
        <v>227</v>
      </c>
      <c r="I242" s="3">
        <v>0.66770395177619057</v>
      </c>
      <c r="J242" s="128">
        <v>1.2831145060801766E-3</v>
      </c>
      <c r="K242" s="128"/>
      <c r="L242" s="128">
        <v>3.9800000000000002E-2</v>
      </c>
      <c r="O242" s="2"/>
    </row>
    <row r="243" spans="2:15" x14ac:dyDescent="0.2">
      <c r="B243" s="1">
        <v>228</v>
      </c>
      <c r="C243" s="5">
        <f ca="1">_xlfn.NORM.S.INV(RAND())</f>
        <v>2.1366536454713851</v>
      </c>
      <c r="D243" s="5">
        <f ca="1">S0*EXP((μ-0.5*σ*σ)*T+σ*SQRT(T)*$C243)</f>
        <v>0.82031689562664201</v>
      </c>
      <c r="E243" s="5">
        <f ca="1">MAX(0,CP*(D243-K))</f>
        <v>3.2116895626641995E-2</v>
      </c>
      <c r="F243" s="4">
        <f ca="1">(CP*(D243-K)&gt;0)*1</f>
        <v>1</v>
      </c>
      <c r="H243" s="4">
        <v>228</v>
      </c>
      <c r="I243" s="3">
        <v>0.66778439181854576</v>
      </c>
      <c r="J243" s="128">
        <v>1.3139956824872511E-3</v>
      </c>
      <c r="K243" s="128"/>
      <c r="L243" s="128">
        <v>4.1000000000000002E-2</v>
      </c>
      <c r="O243" s="2"/>
    </row>
    <row r="244" spans="2:15" x14ac:dyDescent="0.2">
      <c r="B244" s="1">
        <v>229</v>
      </c>
      <c r="C244" s="5">
        <f ca="1">_xlfn.NORM.S.INV(RAND())</f>
        <v>0.13338103087711323</v>
      </c>
      <c r="D244" s="5">
        <f ca="1">S0*EXP((μ-0.5*σ*σ)*T+σ*SQRT(T)*$C244)</f>
        <v>0.67330144749858623</v>
      </c>
      <c r="E244" s="5">
        <f ca="1">MAX(0,CP*(D244-K))</f>
        <v>0</v>
      </c>
      <c r="F244" s="4">
        <f ca="1">(CP*(D244-K)&gt;0)*1</f>
        <v>0</v>
      </c>
      <c r="H244" s="4">
        <v>229</v>
      </c>
      <c r="I244" s="3">
        <v>0.66788680649212284</v>
      </c>
      <c r="J244" s="128">
        <v>1.4317536674260561E-3</v>
      </c>
      <c r="K244" s="128"/>
      <c r="L244" s="128">
        <v>4.5999999999999999E-2</v>
      </c>
      <c r="O244" s="2"/>
    </row>
    <row r="245" spans="2:15" x14ac:dyDescent="0.2">
      <c r="B245" s="1">
        <v>230</v>
      </c>
      <c r="C245" s="5">
        <f ca="1">_xlfn.NORM.S.INV(RAND())</f>
        <v>-1.1742980368418274</v>
      </c>
      <c r="D245" s="5">
        <f ca="1">S0*EXP((μ-0.5*σ*σ)*T+σ*SQRT(T)*$C245)</f>
        <v>0.59186133432226107</v>
      </c>
      <c r="E245" s="5">
        <f ca="1">MAX(0,CP*(D245-K))</f>
        <v>0</v>
      </c>
      <c r="F245" s="4">
        <f ca="1">(CP*(D245-K)&gt;0)*1</f>
        <v>0</v>
      </c>
      <c r="H245" s="4">
        <v>230</v>
      </c>
      <c r="I245" s="3">
        <v>0.6677637319307973</v>
      </c>
      <c r="J245" s="128">
        <v>1.5052225357311685E-3</v>
      </c>
      <c r="K245" s="128"/>
      <c r="L245" s="128">
        <v>4.1799999999999997E-2</v>
      </c>
      <c r="O245" s="2"/>
    </row>
    <row r="246" spans="2:15" x14ac:dyDescent="0.2">
      <c r="B246" s="1">
        <v>231</v>
      </c>
      <c r="C246" s="5">
        <f ca="1">_xlfn.NORM.S.INV(RAND())</f>
        <v>2.090192093595868</v>
      </c>
      <c r="D246" s="5">
        <f ca="1">S0*EXP((μ-0.5*σ*σ)*T+σ*SQRT(T)*$C246)</f>
        <v>0.81656800457187406</v>
      </c>
      <c r="E246" s="5">
        <f ca="1">MAX(0,CP*(D246-K))</f>
        <v>2.836800457187405E-2</v>
      </c>
      <c r="F246" s="4">
        <f ca="1">(CP*(D246-K)&gt;0)*1</f>
        <v>1</v>
      </c>
      <c r="H246" s="4">
        <v>231</v>
      </c>
      <c r="I246" s="3">
        <v>0.66782885311265505</v>
      </c>
      <c r="J246" s="128">
        <v>1.5222514981859646E-3</v>
      </c>
      <c r="K246" s="128"/>
      <c r="L246" s="128">
        <v>4.1399999999999999E-2</v>
      </c>
      <c r="O246" s="2"/>
    </row>
    <row r="247" spans="2:15" x14ac:dyDescent="0.2">
      <c r="B247" s="1">
        <v>232</v>
      </c>
      <c r="C247" s="5">
        <f ca="1">_xlfn.NORM.S.INV(RAND())</f>
        <v>-2.330842575468572</v>
      </c>
      <c r="D247" s="5">
        <f ca="1">S0*EXP((μ-0.5*σ*σ)*T+σ*SQRT(T)*$C247)</f>
        <v>0.52808200026246466</v>
      </c>
      <c r="E247" s="5">
        <f ca="1">MAX(0,CP*(D247-K))</f>
        <v>0</v>
      </c>
      <c r="F247" s="4">
        <f ca="1">(CP*(D247-K)&gt;0)*1</f>
        <v>0</v>
      </c>
      <c r="H247" s="4">
        <v>232</v>
      </c>
      <c r="I247" s="3">
        <v>0.66767861495059433</v>
      </c>
      <c r="J247" s="128">
        <v>1.2764079750066824E-3</v>
      </c>
      <c r="K247" s="128"/>
      <c r="L247" s="128">
        <v>4.2200000000000001E-2</v>
      </c>
      <c r="O247" s="2"/>
    </row>
    <row r="248" spans="2:15" x14ac:dyDescent="0.2">
      <c r="B248" s="1">
        <v>233</v>
      </c>
      <c r="C248" s="5">
        <f ca="1">_xlfn.NORM.S.INV(RAND())</f>
        <v>0.27636215161129996</v>
      </c>
      <c r="D248" s="5">
        <f ca="1">S0*EXP((μ-0.5*σ*σ)*T+σ*SQRT(T)*$C248)</f>
        <v>0.68285961199773793</v>
      </c>
      <c r="E248" s="5">
        <f ca="1">MAX(0,CP*(D248-K))</f>
        <v>0</v>
      </c>
      <c r="F248" s="4">
        <f ca="1">(CP*(D248-K)&gt;0)*1</f>
        <v>0</v>
      </c>
      <c r="H248" s="4">
        <v>233</v>
      </c>
      <c r="I248" s="3">
        <v>0.66774883397484786</v>
      </c>
      <c r="J248" s="128">
        <v>1.3445297122794974E-3</v>
      </c>
      <c r="K248" s="128"/>
      <c r="L248" s="128">
        <v>0.04</v>
      </c>
      <c r="O248" s="2"/>
    </row>
    <row r="249" spans="2:15" x14ac:dyDescent="0.2">
      <c r="B249" s="1">
        <v>234</v>
      </c>
      <c r="C249" s="5">
        <f ca="1">_xlfn.NORM.S.INV(RAND())</f>
        <v>-0.21704743180659372</v>
      </c>
      <c r="D249" s="5">
        <f ca="1">S0*EXP((μ-0.5*σ*σ)*T+σ*SQRT(T)*$C249)</f>
        <v>0.65043754978823409</v>
      </c>
      <c r="E249" s="5">
        <f ca="1">MAX(0,CP*(D249-K))</f>
        <v>0</v>
      </c>
      <c r="F249" s="4">
        <f ca="1">(CP*(D249-K)&gt;0)*1</f>
        <v>0</v>
      </c>
      <c r="H249" s="4">
        <v>234</v>
      </c>
      <c r="I249" s="3">
        <v>0.66752581593519345</v>
      </c>
      <c r="J249" s="128">
        <v>1.0569686941647933E-3</v>
      </c>
      <c r="K249" s="128"/>
      <c r="L249" s="128">
        <v>3.44E-2</v>
      </c>
      <c r="O249" s="2"/>
    </row>
    <row r="250" spans="2:15" x14ac:dyDescent="0.2">
      <c r="B250" s="1">
        <v>235</v>
      </c>
      <c r="C250" s="5">
        <f ca="1">_xlfn.NORM.S.INV(RAND())</f>
        <v>-0.24742388045627176</v>
      </c>
      <c r="D250" s="5">
        <f ca="1">S0*EXP((μ-0.5*σ*σ)*T+σ*SQRT(T)*$C250)</f>
        <v>0.64849257405292871</v>
      </c>
      <c r="E250" s="5">
        <f ca="1">MAX(0,CP*(D250-K))</f>
        <v>0</v>
      </c>
      <c r="F250" s="4">
        <f ca="1">(CP*(D250-K)&gt;0)*1</f>
        <v>0</v>
      </c>
      <c r="H250" s="4">
        <v>235</v>
      </c>
      <c r="I250" s="3">
        <v>0.66759816677923822</v>
      </c>
      <c r="J250" s="128">
        <v>1.1741620215617601E-3</v>
      </c>
      <c r="K250" s="128"/>
      <c r="L250" s="128">
        <v>3.7600000000000001E-2</v>
      </c>
      <c r="O250" s="2"/>
    </row>
    <row r="251" spans="2:15" x14ac:dyDescent="0.2">
      <c r="B251" s="1">
        <v>236</v>
      </c>
      <c r="C251" s="5">
        <f ca="1">_xlfn.NORM.S.INV(RAND())</f>
        <v>-1.7406353403885593</v>
      </c>
      <c r="D251" s="5">
        <f ca="1">S0*EXP((μ-0.5*σ*σ)*T+σ*SQRT(T)*$C251)</f>
        <v>0.55972109392808445</v>
      </c>
      <c r="E251" s="5">
        <f ca="1">MAX(0,CP*(D251-K))</f>
        <v>0</v>
      </c>
      <c r="F251" s="4">
        <f ca="1">(CP*(D251-K)&gt;0)*1</f>
        <v>0</v>
      </c>
      <c r="H251" s="4">
        <v>236</v>
      </c>
      <c r="I251" s="3">
        <v>0.66773635535561193</v>
      </c>
      <c r="J251" s="128">
        <v>1.3337466324228678E-3</v>
      </c>
      <c r="K251" s="128"/>
      <c r="L251" s="128">
        <v>4.3200000000000002E-2</v>
      </c>
      <c r="O251" s="2"/>
    </row>
    <row r="252" spans="2:15" x14ac:dyDescent="0.2">
      <c r="B252" s="1">
        <v>237</v>
      </c>
      <c r="C252" s="5">
        <f ca="1">_xlfn.NORM.S.INV(RAND())</f>
        <v>-1.0107704163277655</v>
      </c>
      <c r="D252" s="5">
        <f ca="1">S0*EXP((μ-0.5*σ*σ)*T+σ*SQRT(T)*$C252)</f>
        <v>0.60148052002116881</v>
      </c>
      <c r="E252" s="5">
        <f ca="1">MAX(0,CP*(D252-K))</f>
        <v>0</v>
      </c>
      <c r="F252" s="4">
        <f ca="1">(CP*(D252-K)&gt;0)*1</f>
        <v>0</v>
      </c>
      <c r="H252" s="4">
        <v>237</v>
      </c>
      <c r="I252" s="3">
        <v>0.66791357847305388</v>
      </c>
      <c r="J252" s="128">
        <v>1.5613451731581458E-3</v>
      </c>
      <c r="K252" s="128"/>
      <c r="L252" s="128">
        <v>4.36E-2</v>
      </c>
      <c r="O252" s="2"/>
    </row>
    <row r="253" spans="2:15" x14ac:dyDescent="0.2">
      <c r="B253" s="1">
        <v>238</v>
      </c>
      <c r="C253" s="5">
        <f ca="1">_xlfn.NORM.S.INV(RAND())</f>
        <v>0.66650062933929521</v>
      </c>
      <c r="D253" s="5">
        <f ca="1">S0*EXP((μ-0.5*σ*σ)*T+σ*SQRT(T)*$C253)</f>
        <v>0.70963592561082156</v>
      </c>
      <c r="E253" s="5">
        <f ca="1">MAX(0,CP*(D253-K))</f>
        <v>0</v>
      </c>
      <c r="F253" s="4">
        <f ca="1">(CP*(D253-K)&gt;0)*1</f>
        <v>0</v>
      </c>
      <c r="H253" s="4">
        <v>238</v>
      </c>
      <c r="I253" s="3">
        <v>0.6677233517735911</v>
      </c>
      <c r="J253" s="128">
        <v>1.1872945230473415E-3</v>
      </c>
      <c r="K253" s="128"/>
      <c r="L253" s="128">
        <v>3.8399999999999997E-2</v>
      </c>
      <c r="O253" s="2"/>
    </row>
    <row r="254" spans="2:15" x14ac:dyDescent="0.2">
      <c r="B254" s="1">
        <v>239</v>
      </c>
      <c r="C254" s="5">
        <f ca="1">_xlfn.NORM.S.INV(RAND())</f>
        <v>-0.53175162088409167</v>
      </c>
      <c r="D254" s="5">
        <f ca="1">S0*EXP((μ-0.5*σ*σ)*T+σ*SQRT(T)*$C254)</f>
        <v>0.63056699091779977</v>
      </c>
      <c r="E254" s="5">
        <f ca="1">MAX(0,CP*(D254-K))</f>
        <v>0</v>
      </c>
      <c r="F254" s="4">
        <f ca="1">(CP*(D254-K)&gt;0)*1</f>
        <v>0</v>
      </c>
      <c r="H254" s="4">
        <v>239</v>
      </c>
      <c r="I254" s="3">
        <v>0.6677800033686061</v>
      </c>
      <c r="J254" s="128">
        <v>1.3143709114895031E-3</v>
      </c>
      <c r="K254" s="128"/>
      <c r="L254" s="128">
        <v>4.0399999999999998E-2</v>
      </c>
      <c r="O254" s="2"/>
    </row>
    <row r="255" spans="2:15" x14ac:dyDescent="0.2">
      <c r="B255" s="1">
        <v>240</v>
      </c>
      <c r="C255" s="5">
        <f ca="1">_xlfn.NORM.S.INV(RAND())</f>
        <v>-1.7082547094313452</v>
      </c>
      <c r="D255" s="5">
        <f ca="1">S0*EXP((μ-0.5*σ*σ)*T+σ*SQRT(T)*$C255)</f>
        <v>0.56151076035336678</v>
      </c>
      <c r="E255" s="5">
        <f ca="1">MAX(0,CP*(D255-K))</f>
        <v>0</v>
      </c>
      <c r="F255" s="4">
        <f ca="1">(CP*(D255-K)&gt;0)*1</f>
        <v>0</v>
      </c>
      <c r="H255" s="4">
        <v>240</v>
      </c>
      <c r="I255" s="3">
        <v>0.66773365299017318</v>
      </c>
      <c r="J255" s="128">
        <v>1.3199948047753563E-3</v>
      </c>
      <c r="K255" s="128"/>
      <c r="L255" s="128">
        <v>3.9E-2</v>
      </c>
      <c r="O255" s="2"/>
    </row>
    <row r="256" spans="2:15" x14ac:dyDescent="0.2">
      <c r="B256" s="1">
        <v>241</v>
      </c>
      <c r="C256" s="5">
        <f ca="1">_xlfn.NORM.S.INV(RAND())</f>
        <v>-0.46190115257199088</v>
      </c>
      <c r="D256" s="5">
        <f ca="1">S0*EXP((μ-0.5*σ*σ)*T+σ*SQRT(T)*$C256)</f>
        <v>0.63492430124988353</v>
      </c>
      <c r="E256" s="5">
        <f ca="1">MAX(0,CP*(D256-K))</f>
        <v>0</v>
      </c>
      <c r="F256" s="4">
        <f ca="1">(CP*(D256-K)&gt;0)*1</f>
        <v>0</v>
      </c>
      <c r="H256" s="4">
        <v>241</v>
      </c>
      <c r="I256" s="3">
        <v>0.66793809411927019</v>
      </c>
      <c r="J256" s="128">
        <v>1.6117295808833483E-3</v>
      </c>
      <c r="K256" s="128"/>
      <c r="L256" s="128">
        <v>4.7800000000000002E-2</v>
      </c>
      <c r="O256" s="2"/>
    </row>
    <row r="257" spans="2:15" x14ac:dyDescent="0.2">
      <c r="B257" s="1">
        <v>242</v>
      </c>
      <c r="C257" s="5">
        <f ca="1">_xlfn.NORM.S.INV(RAND())</f>
        <v>0.13997203054242524</v>
      </c>
      <c r="D257" s="5">
        <f ca="1">S0*EXP((μ-0.5*σ*σ)*T+σ*SQRT(T)*$C257)</f>
        <v>0.67373909420656775</v>
      </c>
      <c r="E257" s="5">
        <f ca="1">MAX(0,CP*(D257-K))</f>
        <v>0</v>
      </c>
      <c r="F257" s="4">
        <f ca="1">(CP*(D257-K)&gt;0)*1</f>
        <v>0</v>
      </c>
      <c r="H257" s="4">
        <v>242</v>
      </c>
      <c r="I257" s="3">
        <v>0.66754017781905073</v>
      </c>
      <c r="J257" s="128">
        <v>1.1278100363072562E-3</v>
      </c>
      <c r="K257" s="128"/>
      <c r="L257" s="128">
        <v>3.6600000000000001E-2</v>
      </c>
      <c r="O257" s="2"/>
    </row>
    <row r="258" spans="2:15" x14ac:dyDescent="0.2">
      <c r="B258" s="1">
        <v>243</v>
      </c>
      <c r="C258" s="5">
        <f ca="1">_xlfn.NORM.S.INV(RAND())</f>
        <v>7.9063369742911963E-3</v>
      </c>
      <c r="D258" s="5">
        <f ca="1">S0*EXP((μ-0.5*σ*σ)*T+σ*SQRT(T)*$C258)</f>
        <v>0.66502385541508569</v>
      </c>
      <c r="E258" s="5">
        <f ca="1">MAX(0,CP*(D258-K))</f>
        <v>0</v>
      </c>
      <c r="F258" s="4">
        <f ca="1">(CP*(D258-K)&gt;0)*1</f>
        <v>0</v>
      </c>
      <c r="H258" s="4">
        <v>243</v>
      </c>
      <c r="I258" s="3">
        <v>0.66772205768025272</v>
      </c>
      <c r="J258" s="128">
        <v>1.3195790938712319E-3</v>
      </c>
      <c r="K258" s="128"/>
      <c r="L258" s="128">
        <v>3.8199999999999998E-2</v>
      </c>
      <c r="O258" s="2"/>
    </row>
    <row r="259" spans="2:15" x14ac:dyDescent="0.2">
      <c r="B259" s="1">
        <v>244</v>
      </c>
      <c r="C259" s="5">
        <f ca="1">_xlfn.NORM.S.INV(RAND())</f>
        <v>0.93241395807871308</v>
      </c>
      <c r="D259" s="5">
        <f ca="1">S0*EXP((μ-0.5*σ*σ)*T+σ*SQRT(T)*$C259)</f>
        <v>0.72848554255433162</v>
      </c>
      <c r="E259" s="5">
        <f ca="1">MAX(0,CP*(D259-K))</f>
        <v>0</v>
      </c>
      <c r="F259" s="4">
        <f ca="1">(CP*(D259-K)&gt;0)*1</f>
        <v>0</v>
      </c>
      <c r="H259" s="4">
        <v>244</v>
      </c>
      <c r="I259" s="3">
        <v>0.66764530614884698</v>
      </c>
      <c r="J259" s="128">
        <v>1.2805769640207337E-3</v>
      </c>
      <c r="K259" s="128"/>
      <c r="L259" s="128">
        <v>3.9199999999999999E-2</v>
      </c>
      <c r="O259" s="2"/>
    </row>
    <row r="260" spans="2:15" x14ac:dyDescent="0.2">
      <c r="B260" s="1">
        <v>245</v>
      </c>
      <c r="C260" s="5">
        <f ca="1">_xlfn.NORM.S.INV(RAND())</f>
        <v>-1.0574143311823285</v>
      </c>
      <c r="D260" s="5">
        <f ca="1">S0*EXP((μ-0.5*σ*σ)*T+σ*SQRT(T)*$C260)</f>
        <v>0.59872095830777694</v>
      </c>
      <c r="E260" s="5">
        <f ca="1">MAX(0,CP*(D260-K))</f>
        <v>0</v>
      </c>
      <c r="F260" s="4">
        <f ca="1">(CP*(D260-K)&gt;0)*1</f>
        <v>0</v>
      </c>
      <c r="H260" s="4">
        <v>245</v>
      </c>
      <c r="I260" s="3">
        <v>0.66780200485106456</v>
      </c>
      <c r="J260" s="128">
        <v>1.4597156083679444E-3</v>
      </c>
      <c r="K260" s="128"/>
      <c r="L260" s="128">
        <v>4.1399999999999999E-2</v>
      </c>
      <c r="O260" s="2"/>
    </row>
    <row r="261" spans="2:15" x14ac:dyDescent="0.2">
      <c r="B261" s="1">
        <v>246</v>
      </c>
      <c r="C261" s="5">
        <f ca="1">_xlfn.NORM.S.INV(RAND())</f>
        <v>0.51752110535006912</v>
      </c>
      <c r="D261" s="5">
        <f ca="1">S0*EXP((μ-0.5*σ*σ)*T+σ*SQRT(T)*$C261)</f>
        <v>0.69928930685123014</v>
      </c>
      <c r="E261" s="5">
        <f ca="1">MAX(0,CP*(D261-K))</f>
        <v>0</v>
      </c>
      <c r="F261" s="4">
        <f ca="1">(CP*(D261-K)&gt;0)*1</f>
        <v>0</v>
      </c>
      <c r="H261" s="4">
        <v>246</v>
      </c>
      <c r="I261" s="3">
        <v>0.6677017705150039</v>
      </c>
      <c r="J261" s="128">
        <v>1.2928181147643188E-3</v>
      </c>
      <c r="K261" s="128"/>
      <c r="L261" s="128">
        <v>3.9600000000000003E-2</v>
      </c>
      <c r="O261" s="2"/>
    </row>
    <row r="262" spans="2:15" x14ac:dyDescent="0.2">
      <c r="B262" s="1">
        <v>247</v>
      </c>
      <c r="C262" s="5">
        <f ca="1">_xlfn.NORM.S.INV(RAND())</f>
        <v>-0.61105293720827492</v>
      </c>
      <c r="D262" s="5">
        <f ca="1">S0*EXP((μ-0.5*σ*σ)*T+σ*SQRT(T)*$C262)</f>
        <v>0.62565636589002316</v>
      </c>
      <c r="E262" s="5">
        <f ca="1">MAX(0,CP*(D262-K))</f>
        <v>0</v>
      </c>
      <c r="F262" s="4">
        <f ca="1">(CP*(D262-K)&gt;0)*1</f>
        <v>0</v>
      </c>
      <c r="H262" s="4">
        <v>247</v>
      </c>
      <c r="I262" s="3">
        <v>0.66766993333183988</v>
      </c>
      <c r="J262" s="128">
        <v>1.2918757492124703E-3</v>
      </c>
      <c r="K262" s="128"/>
      <c r="L262" s="128">
        <v>4.1000000000000002E-2</v>
      </c>
      <c r="O262" s="2"/>
    </row>
    <row r="263" spans="2:15" x14ac:dyDescent="0.2">
      <c r="B263" s="1">
        <v>248</v>
      </c>
      <c r="C263" s="5">
        <f ca="1">_xlfn.NORM.S.INV(RAND())</f>
        <v>-0.65682255533045597</v>
      </c>
      <c r="D263" s="5">
        <f ca="1">S0*EXP((μ-0.5*σ*σ)*T+σ*SQRT(T)*$C263)</f>
        <v>0.62283956979615962</v>
      </c>
      <c r="E263" s="5">
        <f ca="1">MAX(0,CP*(D263-K))</f>
        <v>0</v>
      </c>
      <c r="F263" s="4">
        <f ca="1">(CP*(D263-K)&gt;0)*1</f>
        <v>0</v>
      </c>
      <c r="H263" s="4">
        <v>248</v>
      </c>
      <c r="I263" s="3">
        <v>0.66774039592792511</v>
      </c>
      <c r="J263" s="128">
        <v>1.2104566308266155E-3</v>
      </c>
      <c r="K263" s="128"/>
      <c r="L263" s="128">
        <v>4.0599999999999997E-2</v>
      </c>
      <c r="O263" s="2"/>
    </row>
    <row r="264" spans="2:15" x14ac:dyDescent="0.2">
      <c r="B264" s="1">
        <v>249</v>
      </c>
      <c r="C264" s="5">
        <f ca="1">_xlfn.NORM.S.INV(RAND())</f>
        <v>0.61928246751814431</v>
      </c>
      <c r="D264" s="5">
        <f ca="1">S0*EXP((μ-0.5*σ*σ)*T+σ*SQRT(T)*$C264)</f>
        <v>0.70634016289517998</v>
      </c>
      <c r="E264" s="5">
        <f ca="1">MAX(0,CP*(D264-K))</f>
        <v>0</v>
      </c>
      <c r="F264" s="4">
        <f ca="1">(CP*(D264-K)&gt;0)*1</f>
        <v>0</v>
      </c>
      <c r="H264" s="4">
        <v>249</v>
      </c>
      <c r="I264" s="3">
        <v>0.66776938397931762</v>
      </c>
      <c r="J264" s="128">
        <v>1.3754090097274371E-3</v>
      </c>
      <c r="K264" s="128"/>
      <c r="L264" s="128">
        <v>4.1399999999999999E-2</v>
      </c>
      <c r="O264" s="2"/>
    </row>
    <row r="265" spans="2:15" x14ac:dyDescent="0.2">
      <c r="B265" s="1">
        <v>250</v>
      </c>
      <c r="C265" s="5">
        <f ca="1">_xlfn.NORM.S.INV(RAND())</f>
        <v>-0.4797663900678113</v>
      </c>
      <c r="D265" s="5">
        <f ca="1">S0*EXP((μ-0.5*σ*σ)*T+σ*SQRT(T)*$C265)</f>
        <v>0.63380700057423189</v>
      </c>
      <c r="E265" s="5">
        <f ca="1">MAX(0,CP*(D265-K))</f>
        <v>0</v>
      </c>
      <c r="F265" s="4">
        <f ca="1">(CP*(D265-K)&gt;0)*1</f>
        <v>0</v>
      </c>
      <c r="H265" s="4">
        <v>250</v>
      </c>
      <c r="I265" s="3">
        <v>0.66788282700360835</v>
      </c>
      <c r="J265" s="128">
        <v>1.53926002497087E-3</v>
      </c>
      <c r="K265" s="128"/>
      <c r="L265" s="128">
        <v>4.7E-2</v>
      </c>
      <c r="O265" s="2"/>
    </row>
    <row r="266" spans="2:15" x14ac:dyDescent="0.2">
      <c r="B266" s="1">
        <v>251</v>
      </c>
      <c r="C266" s="5">
        <f ca="1">_xlfn.NORM.S.INV(RAND())</f>
        <v>1.4610573199065711</v>
      </c>
      <c r="D266" s="5">
        <f ca="1">S0*EXP((μ-0.5*σ*σ)*T+σ*SQRT(T)*$C266)</f>
        <v>0.76745925597817999</v>
      </c>
      <c r="E266" s="5">
        <f ca="1">MAX(0,CP*(D266-K))</f>
        <v>0</v>
      </c>
      <c r="F266" s="4">
        <f ca="1">(CP*(D266-K)&gt;0)*1</f>
        <v>0</v>
      </c>
      <c r="H266" s="4">
        <v>251</v>
      </c>
      <c r="I266" s="3">
        <v>0.66775282673008252</v>
      </c>
      <c r="J266" s="128">
        <v>1.3068888324836445E-3</v>
      </c>
      <c r="K266" s="128"/>
      <c r="L266" s="128">
        <v>4.24E-2</v>
      </c>
      <c r="O266" s="2"/>
    </row>
    <row r="267" spans="2:15" x14ac:dyDescent="0.2">
      <c r="B267" s="1">
        <v>252</v>
      </c>
      <c r="C267" s="5">
        <f ca="1">_xlfn.NORM.S.INV(RAND())</f>
        <v>-2.4415224327169467</v>
      </c>
      <c r="D267" s="5">
        <f ca="1">S0*EXP((μ-0.5*σ*σ)*T+σ*SQRT(T)*$C267)</f>
        <v>0.52235107960149707</v>
      </c>
      <c r="E267" s="5">
        <f ca="1">MAX(0,CP*(D267-K))</f>
        <v>0</v>
      </c>
      <c r="F267" s="4">
        <f ca="1">(CP*(D267-K)&gt;0)*1</f>
        <v>0</v>
      </c>
      <c r="H267" s="4">
        <v>252</v>
      </c>
      <c r="I267" s="3">
        <v>0.66756932088239895</v>
      </c>
      <c r="J267" s="128">
        <v>1.2734416880702045E-3</v>
      </c>
      <c r="K267" s="128"/>
      <c r="L267" s="128">
        <v>3.9E-2</v>
      </c>
      <c r="O267" s="2"/>
    </row>
    <row r="268" spans="2:15" x14ac:dyDescent="0.2">
      <c r="B268" s="1">
        <v>253</v>
      </c>
      <c r="C268" s="5">
        <f ca="1">_xlfn.NORM.S.INV(RAND())</f>
        <v>-1.3202538726756643</v>
      </c>
      <c r="D268" s="5">
        <f ca="1">S0*EXP((μ-0.5*σ*σ)*T+σ*SQRT(T)*$C268)</f>
        <v>0.58340577621414058</v>
      </c>
      <c r="E268" s="5">
        <f ca="1">MAX(0,CP*(D268-K))</f>
        <v>0</v>
      </c>
      <c r="F268" s="4">
        <f ca="1">(CP*(D268-K)&gt;0)*1</f>
        <v>0</v>
      </c>
      <c r="H268" s="4">
        <v>253</v>
      </c>
      <c r="I268" s="3">
        <v>0.66786266139989092</v>
      </c>
      <c r="J268" s="128">
        <v>1.5391783201777218E-3</v>
      </c>
      <c r="K268" s="128"/>
      <c r="L268" s="128">
        <v>4.6800000000000001E-2</v>
      </c>
      <c r="O268" s="2"/>
    </row>
    <row r="269" spans="2:15" x14ac:dyDescent="0.2">
      <c r="B269" s="1">
        <v>254</v>
      </c>
      <c r="C269" s="5">
        <f ca="1">_xlfn.NORM.S.INV(RAND())</f>
        <v>0.90117922124096927</v>
      </c>
      <c r="D269" s="5">
        <f ca="1">S0*EXP((μ-0.5*σ*σ)*T+σ*SQRT(T)*$C269)</f>
        <v>0.72624572828325396</v>
      </c>
      <c r="E269" s="5">
        <f ca="1">MAX(0,CP*(D269-K))</f>
        <v>0</v>
      </c>
      <c r="F269" s="4">
        <f ca="1">(CP*(D269-K)&gt;0)*1</f>
        <v>0</v>
      </c>
      <c r="H269" s="4">
        <v>254</v>
      </c>
      <c r="I269" s="3">
        <v>0.66769517372732712</v>
      </c>
      <c r="J269" s="128">
        <v>1.2847261576388552E-3</v>
      </c>
      <c r="K269" s="128"/>
      <c r="L269" s="128">
        <v>3.9E-2</v>
      </c>
      <c r="O269" s="2"/>
    </row>
    <row r="270" spans="2:15" x14ac:dyDescent="0.2">
      <c r="B270" s="1">
        <v>255</v>
      </c>
      <c r="C270" s="5">
        <f ca="1">_xlfn.NORM.S.INV(RAND())</f>
        <v>0.15219669464492935</v>
      </c>
      <c r="D270" s="5">
        <f ca="1">S0*EXP((μ-0.5*σ*σ)*T+σ*SQRT(T)*$C270)</f>
        <v>0.67455157318957382</v>
      </c>
      <c r="E270" s="5">
        <f ca="1">MAX(0,CP*(D270-K))</f>
        <v>0</v>
      </c>
      <c r="F270" s="4">
        <f ca="1">(CP*(D270-K)&gt;0)*1</f>
        <v>0</v>
      </c>
      <c r="H270" s="4">
        <v>255</v>
      </c>
      <c r="I270" s="3">
        <v>0.66762878014446958</v>
      </c>
      <c r="J270" s="128">
        <v>1.316011302649971E-3</v>
      </c>
      <c r="K270" s="128"/>
      <c r="L270" s="128">
        <v>3.9399999999999998E-2</v>
      </c>
      <c r="O270" s="2"/>
    </row>
    <row r="271" spans="2:15" x14ac:dyDescent="0.2">
      <c r="B271" s="1">
        <v>256</v>
      </c>
      <c r="C271" s="5">
        <f ca="1">_xlfn.NORM.S.INV(RAND())</f>
        <v>-0.75255302989783401</v>
      </c>
      <c r="D271" s="5">
        <f ca="1">S0*EXP((μ-0.5*σ*σ)*T+σ*SQRT(T)*$C271)</f>
        <v>0.61698897066177705</v>
      </c>
      <c r="E271" s="5">
        <f ca="1">MAX(0,CP*(D271-K))</f>
        <v>0</v>
      </c>
      <c r="F271" s="4">
        <f ca="1">(CP*(D271-K)&gt;0)*1</f>
        <v>0</v>
      </c>
      <c r="H271" s="4">
        <v>256</v>
      </c>
      <c r="I271" s="3">
        <v>0.66768416109510553</v>
      </c>
      <c r="J271" s="128">
        <v>1.3447016436984871E-3</v>
      </c>
      <c r="K271" s="128"/>
      <c r="L271" s="128">
        <v>3.8800000000000001E-2</v>
      </c>
      <c r="O271" s="2"/>
    </row>
    <row r="272" spans="2:15" x14ac:dyDescent="0.2">
      <c r="B272" s="1">
        <v>257</v>
      </c>
      <c r="C272" s="5">
        <f ca="1">_xlfn.NORM.S.INV(RAND())</f>
        <v>0.79376154063537885</v>
      </c>
      <c r="D272" s="5">
        <f ca="1">S0*EXP((μ-0.5*σ*σ)*T+σ*SQRT(T)*$C272)</f>
        <v>0.71859533935582698</v>
      </c>
      <c r="E272" s="5">
        <f ca="1">MAX(0,CP*(D272-K))</f>
        <v>0</v>
      </c>
      <c r="F272" s="4">
        <f ca="1">(CP*(D272-K)&gt;0)*1</f>
        <v>0</v>
      </c>
      <c r="H272" s="4">
        <v>257</v>
      </c>
      <c r="I272" s="3">
        <v>0.66780305595644318</v>
      </c>
      <c r="J272" s="128">
        <v>1.4302146361796139E-3</v>
      </c>
      <c r="K272" s="128"/>
      <c r="L272" s="128">
        <v>4.58E-2</v>
      </c>
      <c r="O272" s="2"/>
    </row>
    <row r="273" spans="2:15" x14ac:dyDescent="0.2">
      <c r="B273" s="1">
        <v>258</v>
      </c>
      <c r="C273" s="5">
        <f ca="1">_xlfn.NORM.S.INV(RAND())</f>
        <v>0.78720308414819506</v>
      </c>
      <c r="D273" s="5">
        <f ca="1">S0*EXP((μ-0.5*σ*σ)*T+σ*SQRT(T)*$C273)</f>
        <v>0.71813085898806206</v>
      </c>
      <c r="E273" s="5">
        <f ca="1">MAX(0,CP*(D273-K))</f>
        <v>0</v>
      </c>
      <c r="F273" s="4">
        <f ca="1">(CP*(D273-K)&gt;0)*1</f>
        <v>0</v>
      </c>
      <c r="H273" s="4">
        <v>258</v>
      </c>
      <c r="I273" s="3">
        <v>0.66772264905337975</v>
      </c>
      <c r="J273" s="128">
        <v>1.3694151205102323E-3</v>
      </c>
      <c r="K273" s="128"/>
      <c r="L273" s="128">
        <v>4.1399999999999999E-2</v>
      </c>
      <c r="O273" s="2"/>
    </row>
    <row r="274" spans="2:15" x14ac:dyDescent="0.2">
      <c r="B274" s="1">
        <v>259</v>
      </c>
      <c r="C274" s="5">
        <f ca="1">_xlfn.NORM.S.INV(RAND())</f>
        <v>2.8144384185357939E-2</v>
      </c>
      <c r="D274" s="5">
        <f ca="1">S0*EXP((μ-0.5*σ*σ)*T+σ*SQRT(T)*$C274)</f>
        <v>0.66635204746908483</v>
      </c>
      <c r="E274" s="5">
        <f ca="1">MAX(0,CP*(D274-K))</f>
        <v>0</v>
      </c>
      <c r="F274" s="4">
        <f ca="1">(CP*(D274-K)&gt;0)*1</f>
        <v>0</v>
      </c>
      <c r="H274" s="4">
        <v>259</v>
      </c>
      <c r="I274" s="3">
        <v>0.66794716850101765</v>
      </c>
      <c r="J274" s="128">
        <v>1.5162908329707562E-3</v>
      </c>
      <c r="K274" s="128"/>
      <c r="L274" s="128">
        <v>4.9399999999999999E-2</v>
      </c>
      <c r="O274" s="2"/>
    </row>
    <row r="275" spans="2:15" x14ac:dyDescent="0.2">
      <c r="B275" s="1">
        <v>260</v>
      </c>
      <c r="C275" s="5">
        <f ca="1">_xlfn.NORM.S.INV(RAND())</f>
        <v>-6.7753485317542869E-2</v>
      </c>
      <c r="D275" s="5">
        <f ca="1">S0*EXP((μ-0.5*σ*σ)*T+σ*SQRT(T)*$C275)</f>
        <v>0.66008182352635247</v>
      </c>
      <c r="E275" s="5">
        <f ca="1">MAX(0,CP*(D275-K))</f>
        <v>0</v>
      </c>
      <c r="F275" s="4">
        <f ca="1">(CP*(D275-K)&gt;0)*1</f>
        <v>0</v>
      </c>
      <c r="H275" s="4">
        <v>260</v>
      </c>
      <c r="I275" s="3">
        <v>0.66776003667537653</v>
      </c>
      <c r="J275" s="128">
        <v>1.4159427136133638E-3</v>
      </c>
      <c r="K275" s="128"/>
      <c r="L275" s="128">
        <v>4.2599999999999999E-2</v>
      </c>
      <c r="O275" s="2"/>
    </row>
    <row r="276" spans="2:15" x14ac:dyDescent="0.2">
      <c r="B276" s="1">
        <v>261</v>
      </c>
      <c r="C276" s="5">
        <f ca="1">_xlfn.NORM.S.INV(RAND())</f>
        <v>-0.38410901612471376</v>
      </c>
      <c r="D276" s="5">
        <f ca="1">S0*EXP((μ-0.5*σ*σ)*T+σ*SQRT(T)*$C276)</f>
        <v>0.6398124656898504</v>
      </c>
      <c r="E276" s="5">
        <f ca="1">MAX(0,CP*(D276-K))</f>
        <v>0</v>
      </c>
      <c r="F276" s="4">
        <f ca="1">(CP*(D276-K)&gt;0)*1</f>
        <v>0</v>
      </c>
      <c r="H276" s="4">
        <v>261</v>
      </c>
      <c r="I276" s="3">
        <v>0.66767687018803823</v>
      </c>
      <c r="J276" s="128">
        <v>1.2990913014216204E-3</v>
      </c>
      <c r="K276" s="128"/>
      <c r="L276" s="128">
        <v>3.8600000000000002E-2</v>
      </c>
      <c r="O276" s="2"/>
    </row>
    <row r="277" spans="2:15" x14ac:dyDescent="0.2">
      <c r="B277" s="1">
        <v>262</v>
      </c>
      <c r="C277" s="5">
        <f ca="1">_xlfn.NORM.S.INV(RAND())</f>
        <v>-0.43676194382669842</v>
      </c>
      <c r="D277" s="5">
        <f ca="1">S0*EXP((μ-0.5*σ*σ)*T+σ*SQRT(T)*$C277)</f>
        <v>0.63649985624045191</v>
      </c>
      <c r="E277" s="5">
        <f ca="1">MAX(0,CP*(D277-K))</f>
        <v>0</v>
      </c>
      <c r="F277" s="4">
        <f ca="1">(CP*(D277-K)&gt;0)*1</f>
        <v>0</v>
      </c>
      <c r="H277" s="4">
        <v>262</v>
      </c>
      <c r="I277" s="3">
        <v>0.6676257909673029</v>
      </c>
      <c r="J277" s="128">
        <v>1.2873898117267142E-3</v>
      </c>
      <c r="K277" s="128"/>
      <c r="L277" s="128">
        <v>3.9199999999999999E-2</v>
      </c>
      <c r="O277" s="2"/>
    </row>
    <row r="278" spans="2:15" x14ac:dyDescent="0.2">
      <c r="B278" s="1">
        <v>263</v>
      </c>
      <c r="C278" s="5">
        <f ca="1">_xlfn.NORM.S.INV(RAND())</f>
        <v>-0.28472442071679593</v>
      </c>
      <c r="D278" s="5">
        <f ca="1">S0*EXP((μ-0.5*σ*σ)*T+σ*SQRT(T)*$C278)</f>
        <v>0.64611220900395361</v>
      </c>
      <c r="E278" s="5">
        <f ca="1">MAX(0,CP*(D278-K))</f>
        <v>0</v>
      </c>
      <c r="F278" s="4">
        <f ca="1">(CP*(D278-K)&gt;0)*1</f>
        <v>0</v>
      </c>
      <c r="H278" s="4">
        <v>263</v>
      </c>
      <c r="I278" s="3">
        <v>0.66768574701134364</v>
      </c>
      <c r="J278" s="128">
        <v>1.2794275479435426E-3</v>
      </c>
      <c r="K278" s="128"/>
      <c r="L278" s="128">
        <v>0.04</v>
      </c>
      <c r="O278" s="2"/>
    </row>
    <row r="279" spans="2:15" x14ac:dyDescent="0.2">
      <c r="B279" s="1">
        <v>264</v>
      </c>
      <c r="C279" s="5">
        <f ca="1">_xlfn.NORM.S.INV(RAND())</f>
        <v>-1.0774245097214898</v>
      </c>
      <c r="D279" s="5">
        <f ca="1">S0*EXP((μ-0.5*σ*σ)*T+σ*SQRT(T)*$C279)</f>
        <v>0.59754099408975681</v>
      </c>
      <c r="E279" s="5">
        <f ca="1">MAX(0,CP*(D279-K))</f>
        <v>0</v>
      </c>
      <c r="F279" s="4">
        <f ca="1">(CP*(D279-K)&gt;0)*1</f>
        <v>0</v>
      </c>
      <c r="H279" s="4">
        <v>264</v>
      </c>
      <c r="I279" s="3">
        <v>0.66781575891381206</v>
      </c>
      <c r="J279" s="128">
        <v>1.6004105868391424E-3</v>
      </c>
      <c r="K279" s="128"/>
      <c r="L279" s="128">
        <v>4.4400000000000002E-2</v>
      </c>
      <c r="O279" s="2"/>
    </row>
    <row r="280" spans="2:15" x14ac:dyDescent="0.2">
      <c r="B280" s="1">
        <v>265</v>
      </c>
      <c r="C280" s="5">
        <f ca="1">_xlfn.NORM.S.INV(RAND())</f>
        <v>2.2556104713357086</v>
      </c>
      <c r="D280" s="5">
        <f ca="1">S0*EXP((μ-0.5*σ*σ)*T+σ*SQRT(T)*$C280)</f>
        <v>0.82999392057425947</v>
      </c>
      <c r="E280" s="5">
        <f ca="1">MAX(0,CP*(D280-K))</f>
        <v>4.1793920574259458E-2</v>
      </c>
      <c r="F280" s="4">
        <f ca="1">(CP*(D280-K)&gt;0)*1</f>
        <v>1</v>
      </c>
      <c r="H280" s="4">
        <v>265</v>
      </c>
      <c r="I280" s="3">
        <v>0.66767540160294359</v>
      </c>
      <c r="J280" s="128">
        <v>1.3649014882496687E-3</v>
      </c>
      <c r="K280" s="128"/>
      <c r="L280" s="128">
        <v>4.0399999999999998E-2</v>
      </c>
      <c r="O280" s="2"/>
    </row>
    <row r="281" spans="2:15" x14ac:dyDescent="0.2">
      <c r="B281" s="1">
        <v>266</v>
      </c>
      <c r="C281" s="5">
        <f ca="1">_xlfn.NORM.S.INV(RAND())</f>
        <v>1.4989353043412867</v>
      </c>
      <c r="D281" s="5">
        <f ca="1">S0*EXP((μ-0.5*σ*σ)*T+σ*SQRT(T)*$C281)</f>
        <v>0.77033053272760199</v>
      </c>
      <c r="E281" s="5">
        <f ca="1">MAX(0,CP*(D281-K))</f>
        <v>0</v>
      </c>
      <c r="F281" s="4">
        <f ca="1">(CP*(D281-K)&gt;0)*1</f>
        <v>0</v>
      </c>
      <c r="H281" s="4">
        <v>266</v>
      </c>
      <c r="I281" s="3">
        <v>0.66770436772817565</v>
      </c>
      <c r="J281" s="128">
        <v>1.3362211001418916E-3</v>
      </c>
      <c r="K281" s="128"/>
      <c r="L281" s="128">
        <v>4.2000000000000003E-2</v>
      </c>
      <c r="O281" s="2"/>
    </row>
    <row r="282" spans="2:15" x14ac:dyDescent="0.2">
      <c r="B282" s="1">
        <v>267</v>
      </c>
      <c r="C282" s="5">
        <f ca="1">_xlfn.NORM.S.INV(RAND())</f>
        <v>-1.2748886226270686</v>
      </c>
      <c r="D282" s="5">
        <f ca="1">S0*EXP((μ-0.5*σ*σ)*T+σ*SQRT(T)*$C282)</f>
        <v>0.58602087016038906</v>
      </c>
      <c r="E282" s="5">
        <f ca="1">MAX(0,CP*(D282-K))</f>
        <v>0</v>
      </c>
      <c r="F282" s="4">
        <f ca="1">(CP*(D282-K)&gt;0)*1</f>
        <v>0</v>
      </c>
      <c r="H282" s="4">
        <v>267</v>
      </c>
      <c r="I282" s="3">
        <v>0.66772392740937403</v>
      </c>
      <c r="J282" s="128">
        <v>1.2642980057575364E-3</v>
      </c>
      <c r="K282" s="128"/>
      <c r="L282" s="128">
        <v>3.8399999999999997E-2</v>
      </c>
      <c r="O282" s="2"/>
    </row>
    <row r="283" spans="2:15" x14ac:dyDescent="0.2">
      <c r="B283" s="1">
        <v>268</v>
      </c>
      <c r="C283" s="5">
        <f ca="1">_xlfn.NORM.S.INV(RAND())</f>
        <v>-1.2178506298360663</v>
      </c>
      <c r="D283" s="5">
        <f ca="1">S0*EXP((μ-0.5*σ*σ)*T+σ*SQRT(T)*$C283)</f>
        <v>0.58932548370723781</v>
      </c>
      <c r="E283" s="5">
        <f ca="1">MAX(0,CP*(D283-K))</f>
        <v>0</v>
      </c>
      <c r="F283" s="4">
        <f ca="1">(CP*(D283-K)&gt;0)*1</f>
        <v>0</v>
      </c>
      <c r="H283" s="4">
        <v>268</v>
      </c>
      <c r="I283" s="3">
        <v>0.66772808026410801</v>
      </c>
      <c r="J283" s="128">
        <v>1.4923721453166509E-3</v>
      </c>
      <c r="K283" s="128"/>
      <c r="L283" s="128">
        <v>4.0399999999999998E-2</v>
      </c>
      <c r="O283" s="2"/>
    </row>
    <row r="284" spans="2:15" x14ac:dyDescent="0.2">
      <c r="B284" s="1">
        <v>269</v>
      </c>
      <c r="C284" s="5">
        <f ca="1">_xlfn.NORM.S.INV(RAND())</f>
        <v>-0.11289829837779125</v>
      </c>
      <c r="D284" s="5">
        <f ca="1">S0*EXP((μ-0.5*σ*σ)*T+σ*SQRT(T)*$C284)</f>
        <v>0.65715051688579706</v>
      </c>
      <c r="E284" s="5">
        <f ca="1">MAX(0,CP*(D284-K))</f>
        <v>0</v>
      </c>
      <c r="F284" s="4">
        <f ca="1">(CP*(D284-K)&gt;0)*1</f>
        <v>0</v>
      </c>
      <c r="H284" s="4">
        <v>269</v>
      </c>
      <c r="I284" s="3">
        <v>0.66771100785631254</v>
      </c>
      <c r="J284" s="128">
        <v>1.3970928302785722E-3</v>
      </c>
      <c r="K284" s="128"/>
      <c r="L284" s="128">
        <v>4.4400000000000002E-2</v>
      </c>
      <c r="O284" s="2"/>
    </row>
    <row r="285" spans="2:15" x14ac:dyDescent="0.2">
      <c r="B285" s="1">
        <v>270</v>
      </c>
      <c r="C285" s="5">
        <f ca="1">_xlfn.NORM.S.INV(RAND())</f>
        <v>-0.50437743214735387</v>
      </c>
      <c r="D285" s="5">
        <f ca="1">S0*EXP((μ-0.5*σ*σ)*T+σ*SQRT(T)*$C285)</f>
        <v>0.63227103320760547</v>
      </c>
      <c r="E285" s="5">
        <f ca="1">MAX(0,CP*(D285-K))</f>
        <v>0</v>
      </c>
      <c r="F285" s="4">
        <f ca="1">(CP*(D285-K)&gt;0)*1</f>
        <v>0</v>
      </c>
      <c r="H285" s="4">
        <v>270</v>
      </c>
      <c r="I285" s="3">
        <v>0.66761531776634675</v>
      </c>
      <c r="J285" s="128">
        <v>1.0963912933130988E-3</v>
      </c>
      <c r="K285" s="128"/>
      <c r="L285" s="128">
        <v>3.9800000000000002E-2</v>
      </c>
      <c r="O285" s="2"/>
    </row>
    <row r="286" spans="2:15" x14ac:dyDescent="0.2">
      <c r="B286" s="1">
        <v>271</v>
      </c>
      <c r="C286" s="5">
        <f ca="1">_xlfn.NORM.S.INV(RAND())</f>
        <v>-0.40714201290391461</v>
      </c>
      <c r="D286" s="5">
        <f ca="1">S0*EXP((μ-0.5*σ*σ)*T+σ*SQRT(T)*$C286)</f>
        <v>0.63836125032543733</v>
      </c>
      <c r="E286" s="5">
        <f ca="1">MAX(0,CP*(D286-K))</f>
        <v>0</v>
      </c>
      <c r="F286" s="4">
        <f ca="1">(CP*(D286-K)&gt;0)*1</f>
        <v>0</v>
      </c>
      <c r="H286" s="4">
        <v>271</v>
      </c>
      <c r="I286" s="3">
        <v>0.66787524261478648</v>
      </c>
      <c r="J286" s="128">
        <v>1.4441450161556445E-3</v>
      </c>
      <c r="K286" s="128"/>
      <c r="L286" s="128">
        <v>4.5999999999999999E-2</v>
      </c>
      <c r="O286" s="2"/>
    </row>
    <row r="287" spans="2:15" x14ac:dyDescent="0.2">
      <c r="B287" s="1">
        <v>272</v>
      </c>
      <c r="C287" s="5">
        <f ca="1">_xlfn.NORM.S.INV(RAND())</f>
        <v>1.2835298533196233</v>
      </c>
      <c r="D287" s="5">
        <f ca="1">S0*EXP((μ-0.5*σ*σ)*T+σ*SQRT(T)*$C287)</f>
        <v>0.75414405764108305</v>
      </c>
      <c r="E287" s="5">
        <f ca="1">MAX(0,CP*(D287-K))</f>
        <v>0</v>
      </c>
      <c r="F287" s="4">
        <f ca="1">(CP*(D287-K)&gt;0)*1</f>
        <v>0</v>
      </c>
      <c r="H287" s="4">
        <v>272</v>
      </c>
      <c r="I287" s="3">
        <v>0.66764637366538737</v>
      </c>
      <c r="J287" s="128">
        <v>1.2720684319576215E-3</v>
      </c>
      <c r="K287" s="128"/>
      <c r="L287" s="128">
        <v>4.1000000000000002E-2</v>
      </c>
      <c r="O287" s="2"/>
    </row>
    <row r="288" spans="2:15" x14ac:dyDescent="0.2">
      <c r="B288" s="1">
        <v>273</v>
      </c>
      <c r="C288" s="5">
        <f ca="1">_xlfn.NORM.S.INV(RAND())</f>
        <v>3.3584943104913167E-2</v>
      </c>
      <c r="D288" s="5">
        <f ca="1">S0*EXP((μ-0.5*σ*σ)*T+σ*SQRT(T)*$C288)</f>
        <v>0.6667095552115454</v>
      </c>
      <c r="E288" s="5">
        <f ca="1">MAX(0,CP*(D288-K))</f>
        <v>0</v>
      </c>
      <c r="F288" s="4">
        <f ca="1">(CP*(D288-K)&gt;0)*1</f>
        <v>0</v>
      </c>
      <c r="H288" s="4">
        <v>273</v>
      </c>
      <c r="I288" s="3">
        <v>0.66778758129812099</v>
      </c>
      <c r="J288" s="128">
        <v>1.447757743670194E-3</v>
      </c>
      <c r="K288" s="128"/>
      <c r="L288" s="128">
        <v>4.2999999999999997E-2</v>
      </c>
      <c r="O288" s="2"/>
    </row>
    <row r="289" spans="2:15" x14ac:dyDescent="0.2">
      <c r="B289" s="1">
        <v>274</v>
      </c>
      <c r="C289" s="5">
        <f ca="1">_xlfn.NORM.S.INV(RAND())</f>
        <v>-1.4299620101506714</v>
      </c>
      <c r="D289" s="5">
        <f ca="1">S0*EXP((μ-0.5*σ*σ)*T+σ*SQRT(T)*$C289)</f>
        <v>0.57712974965639163</v>
      </c>
      <c r="E289" s="5">
        <f ca="1">MAX(0,CP*(D289-K))</f>
        <v>0</v>
      </c>
      <c r="F289" s="4">
        <f ca="1">(CP*(D289-K)&gt;0)*1</f>
        <v>0</v>
      </c>
      <c r="H289" s="4">
        <v>274</v>
      </c>
      <c r="I289" s="3">
        <v>0.66770920424517366</v>
      </c>
      <c r="J289" s="128">
        <v>1.2978973593877209E-3</v>
      </c>
      <c r="K289" s="128"/>
      <c r="L289" s="128">
        <v>3.6600000000000001E-2</v>
      </c>
      <c r="O289" s="2"/>
    </row>
    <row r="290" spans="2:15" x14ac:dyDescent="0.2">
      <c r="B290" s="1">
        <v>275</v>
      </c>
      <c r="C290" s="5">
        <f ca="1">_xlfn.NORM.S.INV(RAND())</f>
        <v>-0.57402729354455584</v>
      </c>
      <c r="D290" s="5">
        <f ca="1">S0*EXP((μ-0.5*σ*σ)*T+σ*SQRT(T)*$C290)</f>
        <v>0.62794435046085084</v>
      </c>
      <c r="E290" s="5">
        <f ca="1">MAX(0,CP*(D290-K))</f>
        <v>0</v>
      </c>
      <c r="F290" s="4">
        <f ca="1">(CP*(D290-K)&gt;0)*1</f>
        <v>0</v>
      </c>
      <c r="H290" s="4">
        <v>275</v>
      </c>
      <c r="I290" s="3">
        <v>0.66767717139700467</v>
      </c>
      <c r="J290" s="128">
        <v>1.2969353499974151E-3</v>
      </c>
      <c r="K290" s="128"/>
      <c r="L290" s="128">
        <v>4.1399999999999999E-2</v>
      </c>
      <c r="O290" s="2"/>
    </row>
    <row r="291" spans="2:15" x14ac:dyDescent="0.2">
      <c r="B291" s="1">
        <v>276</v>
      </c>
      <c r="C291" s="5">
        <f ca="1">_xlfn.NORM.S.INV(RAND())</f>
        <v>-1.1297058942385567</v>
      </c>
      <c r="D291" s="5">
        <f ca="1">S0*EXP((μ-0.5*σ*σ)*T+σ*SQRT(T)*$C291)</f>
        <v>0.59446901859577495</v>
      </c>
      <c r="E291" s="5">
        <f ca="1">MAX(0,CP*(D291-K))</f>
        <v>0</v>
      </c>
      <c r="F291" s="4">
        <f ca="1">(CP*(D291-K)&gt;0)*1</f>
        <v>0</v>
      </c>
      <c r="H291" s="4">
        <v>276</v>
      </c>
      <c r="I291" s="3">
        <v>0.66789059777460957</v>
      </c>
      <c r="J291" s="128">
        <v>1.4864360784719967E-3</v>
      </c>
      <c r="K291" s="128"/>
      <c r="L291" s="128">
        <v>4.5600000000000002E-2</v>
      </c>
      <c r="O291" s="2"/>
    </row>
    <row r="292" spans="2:15" x14ac:dyDescent="0.2">
      <c r="B292" s="1">
        <v>277</v>
      </c>
      <c r="C292" s="5">
        <f ca="1">_xlfn.NORM.S.INV(RAND())</f>
        <v>-0.26939099211274575</v>
      </c>
      <c r="D292" s="5">
        <f ca="1">S0*EXP((μ-0.5*σ*σ)*T+σ*SQRT(T)*$C292)</f>
        <v>0.64708966506251753</v>
      </c>
      <c r="E292" s="5">
        <f ca="1">MAX(0,CP*(D292-K))</f>
        <v>0</v>
      </c>
      <c r="F292" s="4">
        <f ca="1">(CP*(D292-K)&gt;0)*1</f>
        <v>0</v>
      </c>
      <c r="H292" s="4">
        <v>277</v>
      </c>
      <c r="I292" s="3">
        <v>0.66783662152781642</v>
      </c>
      <c r="J292" s="128">
        <v>1.5486477211245177E-3</v>
      </c>
      <c r="K292" s="128"/>
      <c r="L292" s="128">
        <v>4.7800000000000002E-2</v>
      </c>
      <c r="O292" s="2"/>
    </row>
    <row r="293" spans="2:15" x14ac:dyDescent="0.2">
      <c r="B293" s="1">
        <v>278</v>
      </c>
      <c r="C293" s="5">
        <f ca="1">_xlfn.NORM.S.INV(RAND())</f>
        <v>0.79411698936425779</v>
      </c>
      <c r="D293" s="5">
        <f ca="1">S0*EXP((μ-0.5*σ*σ)*T+σ*SQRT(T)*$C293)</f>
        <v>0.7186205213831981</v>
      </c>
      <c r="E293" s="5">
        <f ca="1">MAX(0,CP*(D293-K))</f>
        <v>0</v>
      </c>
      <c r="F293" s="4">
        <f ca="1">(CP*(D293-K)&gt;0)*1</f>
        <v>0</v>
      </c>
      <c r="H293" s="4">
        <v>278</v>
      </c>
      <c r="I293" s="3">
        <v>0.66765316189024293</v>
      </c>
      <c r="J293" s="128">
        <v>1.244827884937397E-3</v>
      </c>
      <c r="K293" s="128"/>
      <c r="L293" s="128">
        <v>3.8199999999999998E-2</v>
      </c>
      <c r="O293" s="2"/>
    </row>
    <row r="294" spans="2:15" x14ac:dyDescent="0.2">
      <c r="B294" s="1">
        <v>279</v>
      </c>
      <c r="C294" s="5">
        <f ca="1">_xlfn.NORM.S.INV(RAND())</f>
        <v>-1.2019709476163734</v>
      </c>
      <c r="D294" s="5">
        <f ca="1">S0*EXP((μ-0.5*σ*σ)*T+σ*SQRT(T)*$C294)</f>
        <v>0.5902488175322399</v>
      </c>
      <c r="E294" s="5">
        <f ca="1">MAX(0,CP*(D294-K))</f>
        <v>0</v>
      </c>
      <c r="F294" s="4">
        <f ca="1">(CP*(D294-K)&gt;0)*1</f>
        <v>0</v>
      </c>
      <c r="H294" s="4">
        <v>279</v>
      </c>
      <c r="I294" s="3">
        <v>0.66780920738398475</v>
      </c>
      <c r="J294" s="128">
        <v>1.2821685649425717E-3</v>
      </c>
      <c r="K294" s="128"/>
      <c r="L294" s="128">
        <v>4.0399999999999998E-2</v>
      </c>
      <c r="O294" s="2"/>
    </row>
    <row r="295" spans="2:15" x14ac:dyDescent="0.2">
      <c r="B295" s="1">
        <v>280</v>
      </c>
      <c r="C295" s="5">
        <f ca="1">_xlfn.NORM.S.INV(RAND())</f>
        <v>-1.5121360157366397</v>
      </c>
      <c r="D295" s="5">
        <f ca="1">S0*EXP((μ-0.5*σ*σ)*T+σ*SQRT(T)*$C295)</f>
        <v>0.5724731205725706</v>
      </c>
      <c r="E295" s="5">
        <f ca="1">MAX(0,CP*(D295-K))</f>
        <v>0</v>
      </c>
      <c r="F295" s="4">
        <f ca="1">(CP*(D295-K)&gt;0)*1</f>
        <v>0</v>
      </c>
      <c r="H295" s="4">
        <v>280</v>
      </c>
      <c r="I295" s="3">
        <v>0.66784288668450809</v>
      </c>
      <c r="J295" s="128">
        <v>1.4312326078700355E-3</v>
      </c>
      <c r="K295" s="128"/>
      <c r="L295" s="128">
        <v>4.48E-2</v>
      </c>
      <c r="O295" s="2"/>
    </row>
    <row r="296" spans="2:15" x14ac:dyDescent="0.2">
      <c r="B296" s="1">
        <v>281</v>
      </c>
      <c r="C296" s="5">
        <f ca="1">_xlfn.NORM.S.INV(RAND())</f>
        <v>-0.44455510066350196</v>
      </c>
      <c r="D296" s="5">
        <f ca="1">S0*EXP((μ-0.5*σ*σ)*T+σ*SQRT(T)*$C296)</f>
        <v>0.63601101636843227</v>
      </c>
      <c r="E296" s="5">
        <f ca="1">MAX(0,CP*(D296-K))</f>
        <v>0</v>
      </c>
      <c r="F296" s="4">
        <f ca="1">(CP*(D296-K)&gt;0)*1</f>
        <v>0</v>
      </c>
      <c r="H296" s="4">
        <v>281</v>
      </c>
      <c r="I296" s="3">
        <v>0.66770990353903503</v>
      </c>
      <c r="J296" s="128">
        <v>1.2929764995377403E-3</v>
      </c>
      <c r="K296" s="128"/>
      <c r="L296" s="128">
        <v>3.9399999999999998E-2</v>
      </c>
      <c r="O296" s="2"/>
    </row>
    <row r="297" spans="2:15" x14ac:dyDescent="0.2">
      <c r="B297" s="1">
        <v>282</v>
      </c>
      <c r="C297" s="5">
        <f ca="1">_xlfn.NORM.S.INV(RAND())</f>
        <v>-0.27290188569985568</v>
      </c>
      <c r="D297" s="5">
        <f ca="1">S0*EXP((μ-0.5*σ*σ)*T+σ*SQRT(T)*$C297)</f>
        <v>0.64686572660030528</v>
      </c>
      <c r="E297" s="5">
        <f ca="1">MAX(0,CP*(D297-K))</f>
        <v>0</v>
      </c>
      <c r="F297" s="4">
        <f ca="1">(CP*(D297-K)&gt;0)*1</f>
        <v>0</v>
      </c>
      <c r="H297" s="4">
        <v>282</v>
      </c>
      <c r="I297" s="3">
        <v>0.66801216454827428</v>
      </c>
      <c r="J297" s="128">
        <v>1.7212645248387563E-3</v>
      </c>
      <c r="K297" s="128"/>
      <c r="L297" s="128">
        <v>0.05</v>
      </c>
      <c r="O297" s="2"/>
    </row>
    <row r="298" spans="2:15" x14ac:dyDescent="0.2">
      <c r="B298" s="1">
        <v>283</v>
      </c>
      <c r="C298" s="5">
        <f ca="1">_xlfn.NORM.S.INV(RAND())</f>
        <v>-1.0252534546051832</v>
      </c>
      <c r="D298" s="5">
        <f ca="1">S0*EXP((μ-0.5*σ*σ)*T+σ*SQRT(T)*$C298)</f>
        <v>0.60062231124848664</v>
      </c>
      <c r="E298" s="5">
        <f ca="1">MAX(0,CP*(D298-K))</f>
        <v>0</v>
      </c>
      <c r="F298" s="4">
        <f ca="1">(CP*(D298-K)&gt;0)*1</f>
        <v>0</v>
      </c>
      <c r="H298" s="4">
        <v>283</v>
      </c>
      <c r="I298" s="3">
        <v>0.66770943607021271</v>
      </c>
      <c r="J298" s="128">
        <v>1.3636573665632423E-3</v>
      </c>
      <c r="K298" s="128"/>
      <c r="L298" s="128">
        <v>4.1799999999999997E-2</v>
      </c>
      <c r="O298" s="2"/>
    </row>
    <row r="299" spans="2:15" x14ac:dyDescent="0.2">
      <c r="B299" s="1">
        <v>284</v>
      </c>
      <c r="C299" s="5">
        <f ca="1">_xlfn.NORM.S.INV(RAND())</f>
        <v>0.9850689240465812</v>
      </c>
      <c r="D299" s="5">
        <f ca="1">S0*EXP((μ-0.5*σ*σ)*T+σ*SQRT(T)*$C299)</f>
        <v>0.73227703084581175</v>
      </c>
      <c r="E299" s="5">
        <f ca="1">MAX(0,CP*(D299-K))</f>
        <v>0</v>
      </c>
      <c r="F299" s="4">
        <f ca="1">(CP*(D299-K)&gt;0)*1</f>
        <v>0</v>
      </c>
      <c r="H299" s="4">
        <v>284</v>
      </c>
      <c r="I299" s="3">
        <v>0.66784150827226008</v>
      </c>
      <c r="J299" s="128">
        <v>1.4785812911852967E-3</v>
      </c>
      <c r="K299" s="128"/>
      <c r="L299" s="128">
        <v>4.3200000000000002E-2</v>
      </c>
      <c r="O299" s="2"/>
    </row>
    <row r="300" spans="2:15" x14ac:dyDescent="0.2">
      <c r="B300" s="1">
        <v>285</v>
      </c>
      <c r="C300" s="5">
        <f ca="1">_xlfn.NORM.S.INV(RAND())</f>
        <v>-0.10422937538708682</v>
      </c>
      <c r="D300" s="5">
        <f ca="1">S0*EXP((μ-0.5*σ*σ)*T+σ*SQRT(T)*$C300)</f>
        <v>0.65771238879081328</v>
      </c>
      <c r="E300" s="5">
        <f ca="1">MAX(0,CP*(D300-K))</f>
        <v>0</v>
      </c>
      <c r="F300" s="4">
        <f ca="1">(CP*(D300-K)&gt;0)*1</f>
        <v>0</v>
      </c>
      <c r="H300" s="4">
        <v>285</v>
      </c>
      <c r="I300" s="3">
        <v>0.66767214566419009</v>
      </c>
      <c r="J300" s="128">
        <v>1.1796524002822607E-3</v>
      </c>
      <c r="K300" s="128"/>
      <c r="L300" s="128">
        <v>3.7999999999999999E-2</v>
      </c>
      <c r="O300" s="2"/>
    </row>
    <row r="301" spans="2:15" x14ac:dyDescent="0.2">
      <c r="B301" s="1">
        <v>286</v>
      </c>
      <c r="C301" s="5">
        <f ca="1">_xlfn.NORM.S.INV(RAND())</f>
        <v>0.11393036165854881</v>
      </c>
      <c r="D301" s="5">
        <f ca="1">S0*EXP((μ-0.5*σ*σ)*T+σ*SQRT(T)*$C301)</f>
        <v>0.67201156697986197</v>
      </c>
      <c r="E301" s="5">
        <f ca="1">MAX(0,CP*(D301-K))</f>
        <v>0</v>
      </c>
      <c r="F301" s="4">
        <f ca="1">(CP*(D301-K)&gt;0)*1</f>
        <v>0</v>
      </c>
      <c r="H301" s="4">
        <v>286</v>
      </c>
      <c r="I301" s="3">
        <v>0.66782702241941194</v>
      </c>
      <c r="J301" s="128">
        <v>1.4208192831812222E-3</v>
      </c>
      <c r="K301" s="128"/>
      <c r="L301" s="128">
        <v>4.36E-2</v>
      </c>
      <c r="O301" s="2"/>
    </row>
    <row r="302" spans="2:15" x14ac:dyDescent="0.2">
      <c r="B302" s="1">
        <v>287</v>
      </c>
      <c r="C302" s="5">
        <f ca="1">_xlfn.NORM.S.INV(RAND())</f>
        <v>-0.51861519299476111</v>
      </c>
      <c r="D302" s="5">
        <f ca="1">S0*EXP((μ-0.5*σ*σ)*T+σ*SQRT(T)*$C302)</f>
        <v>0.63138415918618718</v>
      </c>
      <c r="E302" s="5">
        <f ca="1">MAX(0,CP*(D302-K))</f>
        <v>0</v>
      </c>
      <c r="F302" s="4">
        <f ca="1">(CP*(D302-K)&gt;0)*1</f>
        <v>0</v>
      </c>
      <c r="H302" s="4">
        <v>287</v>
      </c>
      <c r="I302" s="3">
        <v>0.66795285294269224</v>
      </c>
      <c r="J302" s="128">
        <v>1.5423459376141511E-3</v>
      </c>
      <c r="K302" s="128"/>
      <c r="L302" s="128">
        <v>4.7E-2</v>
      </c>
      <c r="O302" s="2"/>
    </row>
    <row r="303" spans="2:15" x14ac:dyDescent="0.2">
      <c r="B303" s="1">
        <v>288</v>
      </c>
      <c r="C303" s="5">
        <f ca="1">_xlfn.NORM.S.INV(RAND())</f>
        <v>0.36878228383236356</v>
      </c>
      <c r="D303" s="5">
        <f ca="1">S0*EXP((μ-0.5*σ*σ)*T+σ*SQRT(T)*$C303)</f>
        <v>0.68910989619876817</v>
      </c>
      <c r="E303" s="5">
        <f ca="1">MAX(0,CP*(D303-K))</f>
        <v>0</v>
      </c>
      <c r="F303" s="4">
        <f ca="1">(CP*(D303-K)&gt;0)*1</f>
        <v>0</v>
      </c>
      <c r="H303" s="4">
        <v>288</v>
      </c>
      <c r="I303" s="3">
        <v>0.66770948159936483</v>
      </c>
      <c r="J303" s="128">
        <v>1.3931520552910122E-3</v>
      </c>
      <c r="K303" s="128"/>
      <c r="L303" s="128">
        <v>4.1200000000000001E-2</v>
      </c>
      <c r="O303" s="2"/>
    </row>
    <row r="304" spans="2:15" x14ac:dyDescent="0.2">
      <c r="B304" s="1">
        <v>289</v>
      </c>
      <c r="C304" s="5">
        <f ca="1">_xlfn.NORM.S.INV(RAND())</f>
        <v>1.6357270590153035</v>
      </c>
      <c r="D304" s="5">
        <f ca="1">S0*EXP((μ-0.5*σ*σ)*T+σ*SQRT(T)*$C304)</f>
        <v>0.78078954039465476</v>
      </c>
      <c r="E304" s="5">
        <f ca="1">MAX(0,CP*(D304-K))</f>
        <v>0</v>
      </c>
      <c r="F304" s="4">
        <f ca="1">(CP*(D304-K)&gt;0)*1</f>
        <v>0</v>
      </c>
      <c r="H304" s="4">
        <v>289</v>
      </c>
      <c r="I304" s="3">
        <v>0.66776235874917478</v>
      </c>
      <c r="J304" s="128">
        <v>1.3450752434123524E-3</v>
      </c>
      <c r="K304" s="128"/>
      <c r="L304" s="128">
        <v>4.1599999999999998E-2</v>
      </c>
      <c r="O304" s="2"/>
    </row>
    <row r="305" spans="2:15" x14ac:dyDescent="0.2">
      <c r="B305" s="1">
        <v>290</v>
      </c>
      <c r="C305" s="5">
        <f ca="1">_xlfn.NORM.S.INV(RAND())</f>
        <v>0.20169216626518541</v>
      </c>
      <c r="D305" s="5">
        <f ca="1">S0*EXP((μ-0.5*σ*σ)*T+σ*SQRT(T)*$C305)</f>
        <v>0.67785118140783596</v>
      </c>
      <c r="E305" s="5">
        <f ca="1">MAX(0,CP*(D305-K))</f>
        <v>0</v>
      </c>
      <c r="F305" s="4">
        <f ca="1">(CP*(D305-K)&gt;0)*1</f>
        <v>0</v>
      </c>
      <c r="H305" s="4">
        <v>290</v>
      </c>
      <c r="I305" s="3">
        <v>0.66766908434830297</v>
      </c>
      <c r="J305" s="128">
        <v>1.2622920899113606E-3</v>
      </c>
      <c r="K305" s="128"/>
      <c r="L305" s="128">
        <v>3.9600000000000003E-2</v>
      </c>
      <c r="O305" s="2"/>
    </row>
    <row r="306" spans="2:15" x14ac:dyDescent="0.2">
      <c r="B306" s="1">
        <v>291</v>
      </c>
      <c r="C306" s="5">
        <f ca="1">_xlfn.NORM.S.INV(RAND())</f>
        <v>0.59328390343099735</v>
      </c>
      <c r="D306" s="5">
        <f ca="1">S0*EXP((μ-0.5*σ*σ)*T+σ*SQRT(T)*$C306)</f>
        <v>0.70453203758385063</v>
      </c>
      <c r="E306" s="5">
        <f ca="1">MAX(0,CP*(D306-K))</f>
        <v>0</v>
      </c>
      <c r="F306" s="4">
        <f ca="1">(CP*(D306-K)&gt;0)*1</f>
        <v>0</v>
      </c>
      <c r="H306" s="4">
        <v>291</v>
      </c>
      <c r="I306" s="3">
        <v>0.66771290147041951</v>
      </c>
      <c r="J306" s="128">
        <v>1.4317761042102388E-3</v>
      </c>
      <c r="K306" s="128"/>
      <c r="L306" s="128">
        <v>4.2799999999999998E-2</v>
      </c>
      <c r="O306" s="2"/>
    </row>
    <row r="307" spans="2:15" x14ac:dyDescent="0.2">
      <c r="B307" s="1">
        <v>292</v>
      </c>
      <c r="C307" s="5">
        <f ca="1">_xlfn.NORM.S.INV(RAND())</f>
        <v>1.3988096164701052</v>
      </c>
      <c r="D307" s="5">
        <f ca="1">S0*EXP((μ-0.5*σ*σ)*T+σ*SQRT(T)*$C307)</f>
        <v>0.7627639006374527</v>
      </c>
      <c r="E307" s="5">
        <f ca="1">MAX(0,CP*(D307-K))</f>
        <v>0</v>
      </c>
      <c r="F307" s="4">
        <f ca="1">(CP*(D307-K)&gt;0)*1</f>
        <v>0</v>
      </c>
      <c r="H307" s="4">
        <v>292</v>
      </c>
      <c r="I307" s="3">
        <v>0.66781784753310069</v>
      </c>
      <c r="J307" s="128">
        <v>1.335757843461423E-3</v>
      </c>
      <c r="K307" s="128"/>
      <c r="L307" s="128">
        <v>4.3400000000000001E-2</v>
      </c>
      <c r="O307" s="2"/>
    </row>
    <row r="308" spans="2:15" x14ac:dyDescent="0.2">
      <c r="B308" s="1">
        <v>293</v>
      </c>
      <c r="C308" s="5">
        <f ca="1">_xlfn.NORM.S.INV(RAND())</f>
        <v>-4.2415380638571212E-2</v>
      </c>
      <c r="D308" s="5">
        <f ca="1">S0*EXP((μ-0.5*σ*σ)*T+σ*SQRT(T)*$C308)</f>
        <v>0.66173278208278641</v>
      </c>
      <c r="E308" s="5">
        <f ca="1">MAX(0,CP*(D308-K))</f>
        <v>0</v>
      </c>
      <c r="F308" s="4">
        <f ca="1">(CP*(D308-K)&gt;0)*1</f>
        <v>0</v>
      </c>
      <c r="H308" s="4">
        <v>293</v>
      </c>
      <c r="I308" s="3">
        <v>0.66761799637717234</v>
      </c>
      <c r="J308" s="128">
        <v>1.3432065859050732E-3</v>
      </c>
      <c r="K308" s="128"/>
      <c r="L308" s="128">
        <v>4.0599999999999997E-2</v>
      </c>
      <c r="O308" s="2"/>
    </row>
    <row r="309" spans="2:15" x14ac:dyDescent="0.2">
      <c r="B309" s="1">
        <v>294</v>
      </c>
      <c r="C309" s="5">
        <f ca="1">_xlfn.NORM.S.INV(RAND())</f>
        <v>-0.10910695464938427</v>
      </c>
      <c r="D309" s="5">
        <f ca="1">S0*EXP((μ-0.5*σ*σ)*T+σ*SQRT(T)*$C309)</f>
        <v>0.65739619185027187</v>
      </c>
      <c r="E309" s="5">
        <f ca="1">MAX(0,CP*(D309-K))</f>
        <v>0</v>
      </c>
      <c r="F309" s="4">
        <f ca="1">(CP*(D309-K)&gt;0)*1</f>
        <v>0</v>
      </c>
      <c r="H309" s="4">
        <v>294</v>
      </c>
      <c r="I309" s="3">
        <v>0.66761799805738886</v>
      </c>
      <c r="J309" s="128">
        <v>1.1680415404193177E-3</v>
      </c>
      <c r="K309" s="128"/>
      <c r="L309" s="128">
        <v>3.8600000000000002E-2</v>
      </c>
      <c r="O309" s="2"/>
    </row>
    <row r="310" spans="2:15" x14ac:dyDescent="0.2">
      <c r="B310" s="1">
        <v>295</v>
      </c>
      <c r="C310" s="5">
        <f ca="1">_xlfn.NORM.S.INV(RAND())</f>
        <v>-0.49516009559493918</v>
      </c>
      <c r="D310" s="5">
        <f ca="1">S0*EXP((μ-0.5*σ*σ)*T+σ*SQRT(T)*$C310)</f>
        <v>0.63284584780821007</v>
      </c>
      <c r="E310" s="5">
        <f ca="1">MAX(0,CP*(D310-K))</f>
        <v>0</v>
      </c>
      <c r="F310" s="4">
        <f ca="1">(CP*(D310-K)&gt;0)*1</f>
        <v>0</v>
      </c>
      <c r="H310" s="4">
        <v>295</v>
      </c>
      <c r="I310" s="3">
        <v>0.66760594777521542</v>
      </c>
      <c r="J310" s="128">
        <v>1.1477544706278565E-3</v>
      </c>
      <c r="K310" s="128"/>
      <c r="L310" s="128">
        <v>3.6999999999999998E-2</v>
      </c>
      <c r="O310" s="2"/>
    </row>
    <row r="311" spans="2:15" x14ac:dyDescent="0.2">
      <c r="B311" s="1">
        <v>296</v>
      </c>
      <c r="C311" s="5">
        <f ca="1">_xlfn.NORM.S.INV(RAND())</f>
        <v>-1.0967360604781244</v>
      </c>
      <c r="D311" s="5">
        <f ca="1">S0*EXP((μ-0.5*σ*σ)*T+σ*SQRT(T)*$C311)</f>
        <v>0.59640443185943981</v>
      </c>
      <c r="E311" s="5">
        <f ca="1">MAX(0,CP*(D311-K))</f>
        <v>0</v>
      </c>
      <c r="F311" s="4">
        <f ca="1">(CP*(D311-K)&gt;0)*1</f>
        <v>0</v>
      </c>
      <c r="H311" s="4">
        <v>296</v>
      </c>
      <c r="I311" s="3">
        <v>0.6678339324851964</v>
      </c>
      <c r="J311" s="128">
        <v>1.4487596322095148E-3</v>
      </c>
      <c r="K311" s="128"/>
      <c r="L311" s="128">
        <v>4.24E-2</v>
      </c>
      <c r="O311" s="2"/>
    </row>
    <row r="312" spans="2:15" x14ac:dyDescent="0.2">
      <c r="B312" s="1">
        <v>297</v>
      </c>
      <c r="C312" s="5">
        <f ca="1">_xlfn.NORM.S.INV(RAND())</f>
        <v>-0.42507362708170182</v>
      </c>
      <c r="D312" s="5">
        <f ca="1">S0*EXP((μ-0.5*σ*σ)*T+σ*SQRT(T)*$C312)</f>
        <v>0.6372337315052351</v>
      </c>
      <c r="E312" s="5">
        <f ca="1">MAX(0,CP*(D312-K))</f>
        <v>0</v>
      </c>
      <c r="F312" s="4">
        <f ca="1">(CP*(D312-K)&gt;0)*1</f>
        <v>0</v>
      </c>
      <c r="H312" s="4">
        <v>297</v>
      </c>
      <c r="I312" s="3">
        <v>0.66768763319946978</v>
      </c>
      <c r="J312" s="128">
        <v>1.3077075702568166E-3</v>
      </c>
      <c r="K312" s="128"/>
      <c r="L312" s="128">
        <v>4.02E-2</v>
      </c>
      <c r="O312" s="2"/>
    </row>
    <row r="313" spans="2:15" x14ac:dyDescent="0.2">
      <c r="B313" s="1">
        <v>298</v>
      </c>
      <c r="C313" s="5">
        <f ca="1">_xlfn.NORM.S.INV(RAND())</f>
        <v>0.2511263422112065</v>
      </c>
      <c r="D313" s="5">
        <f ca="1">S0*EXP((μ-0.5*σ*σ)*T+σ*SQRT(T)*$C313)</f>
        <v>0.68116281358204256</v>
      </c>
      <c r="E313" s="5">
        <f ca="1">MAX(0,CP*(D313-K))</f>
        <v>0</v>
      </c>
      <c r="F313" s="4">
        <f ca="1">(CP*(D313-K)&gt;0)*1</f>
        <v>0</v>
      </c>
      <c r="H313" s="4">
        <v>298</v>
      </c>
      <c r="I313" s="3">
        <v>0.66768705000014106</v>
      </c>
      <c r="J313" s="128">
        <v>1.2821491226301975E-3</v>
      </c>
      <c r="K313" s="128"/>
      <c r="L313" s="128">
        <v>4.2799999999999998E-2</v>
      </c>
      <c r="O313" s="2"/>
    </row>
    <row r="314" spans="2:15" x14ac:dyDescent="0.2">
      <c r="B314" s="1">
        <v>299</v>
      </c>
      <c r="C314" s="5">
        <f ca="1">_xlfn.NORM.S.INV(RAND())</f>
        <v>-0.39631412032457608</v>
      </c>
      <c r="D314" s="5">
        <f ca="1">S0*EXP((μ-0.5*σ*σ)*T+σ*SQRT(T)*$C314)</f>
        <v>0.63904306131963717</v>
      </c>
      <c r="E314" s="5">
        <f ca="1">MAX(0,CP*(D314-K))</f>
        <v>0</v>
      </c>
      <c r="F314" s="4">
        <f ca="1">(CP*(D314-K)&gt;0)*1</f>
        <v>0</v>
      </c>
      <c r="H314" s="4">
        <v>299</v>
      </c>
      <c r="I314" s="3">
        <v>0.66781198336717063</v>
      </c>
      <c r="J314" s="128">
        <v>1.3742945260146573E-3</v>
      </c>
      <c r="K314" s="128"/>
      <c r="L314" s="128">
        <v>4.2000000000000003E-2</v>
      </c>
      <c r="O314" s="2"/>
    </row>
    <row r="315" spans="2:15" x14ac:dyDescent="0.2">
      <c r="B315" s="1">
        <v>300</v>
      </c>
      <c r="C315" s="5">
        <f ca="1">_xlfn.NORM.S.INV(RAND())</f>
        <v>2.2693491447793677</v>
      </c>
      <c r="D315" s="5">
        <f ca="1">S0*EXP((μ-0.5*σ*σ)*T+σ*SQRT(T)*$C315)</f>
        <v>0.83111887669607754</v>
      </c>
      <c r="E315" s="5">
        <f ca="1">MAX(0,CP*(D315-K))</f>
        <v>4.2918876696077524E-2</v>
      </c>
      <c r="F315" s="4">
        <f ca="1">(CP*(D315-K)&gt;0)*1</f>
        <v>1</v>
      </c>
      <c r="H315" s="4">
        <v>300</v>
      </c>
      <c r="I315" s="3">
        <v>0.6678225568895455</v>
      </c>
      <c r="J315" s="128">
        <v>1.3551633240348382E-3</v>
      </c>
      <c r="K315" s="128"/>
      <c r="L315" s="128">
        <v>4.0599999999999997E-2</v>
      </c>
      <c r="O315" s="2"/>
    </row>
    <row r="316" spans="2:15" x14ac:dyDescent="0.2">
      <c r="B316" s="1">
        <v>301</v>
      </c>
      <c r="C316" s="5">
        <f ca="1">_xlfn.NORM.S.INV(RAND())</f>
        <v>-1.0066994873092799E-2</v>
      </c>
      <c r="D316" s="5">
        <f ca="1">S0*EXP((μ-0.5*σ*σ)*T+σ*SQRT(T)*$C316)</f>
        <v>0.66384651291496644</v>
      </c>
      <c r="E316" s="5">
        <f ca="1">MAX(0,CP*(D316-K))</f>
        <v>0</v>
      </c>
      <c r="F316" s="4">
        <f ca="1">(CP*(D316-K)&gt;0)*1</f>
        <v>0</v>
      </c>
      <c r="H316" s="4">
        <v>301</v>
      </c>
      <c r="I316" s="3">
        <v>0.66764522853359365</v>
      </c>
      <c r="J316" s="128">
        <v>1.1506920903425221E-3</v>
      </c>
      <c r="K316" s="128"/>
      <c r="L316" s="128">
        <v>3.9800000000000002E-2</v>
      </c>
      <c r="O316" s="2"/>
    </row>
    <row r="317" spans="2:15" x14ac:dyDescent="0.2">
      <c r="B317" s="1">
        <v>302</v>
      </c>
      <c r="C317" s="5">
        <f ca="1">_xlfn.NORM.S.INV(RAND())</f>
        <v>0.23822671257473019</v>
      </c>
      <c r="D317" s="5">
        <f ca="1">S0*EXP((μ-0.5*σ*σ)*T+σ*SQRT(T)*$C317)</f>
        <v>0.68029710092592777</v>
      </c>
      <c r="E317" s="5">
        <f ca="1">MAX(0,CP*(D317-K))</f>
        <v>0</v>
      </c>
      <c r="F317" s="4">
        <f ca="1">(CP*(D317-K)&gt;0)*1</f>
        <v>0</v>
      </c>
      <c r="H317" s="4">
        <v>302</v>
      </c>
      <c r="I317" s="3">
        <v>0.66770290475238703</v>
      </c>
      <c r="J317" s="128">
        <v>1.2198542920719888E-3</v>
      </c>
      <c r="K317" s="128"/>
      <c r="L317" s="128">
        <v>4.1799999999999997E-2</v>
      </c>
      <c r="O317" s="2"/>
    </row>
    <row r="318" spans="2:15" x14ac:dyDescent="0.2">
      <c r="B318" s="1">
        <v>303</v>
      </c>
      <c r="C318" s="5">
        <f ca="1">_xlfn.NORM.S.INV(RAND())</f>
        <v>0.44467321490644129</v>
      </c>
      <c r="D318" s="5">
        <f ca="1">S0*EXP((μ-0.5*σ*σ)*T+σ*SQRT(T)*$C318)</f>
        <v>0.69428507994540689</v>
      </c>
      <c r="E318" s="5">
        <f ca="1">MAX(0,CP*(D318-K))</f>
        <v>0</v>
      </c>
      <c r="F318" s="4">
        <f ca="1">(CP*(D318-K)&gt;0)*1</f>
        <v>0</v>
      </c>
      <c r="H318" s="4">
        <v>303</v>
      </c>
      <c r="I318" s="3">
        <v>0.66783065994790836</v>
      </c>
      <c r="J318" s="128">
        <v>1.5127007199901626E-3</v>
      </c>
      <c r="K318" s="128"/>
      <c r="L318" s="128">
        <v>4.7800000000000002E-2</v>
      </c>
      <c r="O318" s="2"/>
    </row>
    <row r="319" spans="2:15" x14ac:dyDescent="0.2">
      <c r="B319" s="1">
        <v>304</v>
      </c>
      <c r="C319" s="5">
        <f ca="1">_xlfn.NORM.S.INV(RAND())</f>
        <v>-1.0092039520402862</v>
      </c>
      <c r="D319" s="5">
        <f ca="1">S0*EXP((μ-0.5*σ*σ)*T+σ*SQRT(T)*$C319)</f>
        <v>0.60157341608671477</v>
      </c>
      <c r="E319" s="5">
        <f ca="1">MAX(0,CP*(D319-K))</f>
        <v>0</v>
      </c>
      <c r="F319" s="4">
        <f ca="1">(CP*(D319-K)&gt;0)*1</f>
        <v>0</v>
      </c>
      <c r="H319" s="4">
        <v>304</v>
      </c>
      <c r="I319" s="3">
        <v>0.66759185590356218</v>
      </c>
      <c r="J319" s="128">
        <v>1.1053637943124928E-3</v>
      </c>
      <c r="K319" s="128"/>
      <c r="L319" s="128">
        <v>3.5000000000000003E-2</v>
      </c>
      <c r="O319" s="2"/>
    </row>
    <row r="320" spans="2:15" x14ac:dyDescent="0.2">
      <c r="B320" s="1">
        <v>305</v>
      </c>
      <c r="C320" s="5">
        <f ca="1">_xlfn.NORM.S.INV(RAND())</f>
        <v>-0.69880747398478538</v>
      </c>
      <c r="D320" s="5">
        <f ca="1">S0*EXP((μ-0.5*σ*σ)*T+σ*SQRT(T)*$C320)</f>
        <v>0.62026684856978809</v>
      </c>
      <c r="E320" s="5">
        <f ca="1">MAX(0,CP*(D320-K))</f>
        <v>0</v>
      </c>
      <c r="F320" s="4">
        <f ca="1">(CP*(D320-K)&gt;0)*1</f>
        <v>0</v>
      </c>
      <c r="H320" s="4">
        <v>305</v>
      </c>
      <c r="I320" s="3">
        <v>0.66784131016798542</v>
      </c>
      <c r="J320" s="128">
        <v>1.431002680481014E-3</v>
      </c>
      <c r="K320" s="128"/>
      <c r="L320" s="128">
        <v>4.4600000000000001E-2</v>
      </c>
      <c r="O320" s="2"/>
    </row>
    <row r="321" spans="2:15" x14ac:dyDescent="0.2">
      <c r="B321" s="1">
        <v>306</v>
      </c>
      <c r="C321" s="5">
        <f ca="1">_xlfn.NORM.S.INV(RAND())</f>
        <v>0.74744319766589484</v>
      </c>
      <c r="D321" s="5">
        <f ca="1">S0*EXP((μ-0.5*σ*σ)*T+σ*SQRT(T)*$C321)</f>
        <v>0.71532142039406421</v>
      </c>
      <c r="E321" s="5">
        <f ca="1">MAX(0,CP*(D321-K))</f>
        <v>0</v>
      </c>
      <c r="F321" s="4">
        <f ca="1">(CP*(D321-K)&gt;0)*1</f>
        <v>0</v>
      </c>
      <c r="H321" s="4">
        <v>306</v>
      </c>
      <c r="I321" s="3">
        <v>0.66784984598332131</v>
      </c>
      <c r="J321" s="128">
        <v>1.5133793326030018E-3</v>
      </c>
      <c r="K321" s="128"/>
      <c r="L321" s="128">
        <v>4.4600000000000001E-2</v>
      </c>
      <c r="O321" s="2"/>
    </row>
    <row r="322" spans="2:15" x14ac:dyDescent="0.2">
      <c r="B322" s="1">
        <v>307</v>
      </c>
      <c r="C322" s="5">
        <f ca="1">_xlfn.NORM.S.INV(RAND())</f>
        <v>0.75939263443291205</v>
      </c>
      <c r="D322" s="5">
        <f ca="1">S0*EXP((μ-0.5*σ*σ)*T+σ*SQRT(T)*$C322)</f>
        <v>0.71616461190370473</v>
      </c>
      <c r="E322" s="5">
        <f ca="1">MAX(0,CP*(D322-K))</f>
        <v>0</v>
      </c>
      <c r="F322" s="4">
        <f ca="1">(CP*(D322-K)&gt;0)*1</f>
        <v>0</v>
      </c>
      <c r="H322" s="4">
        <v>307</v>
      </c>
      <c r="I322" s="3">
        <v>0.66780614135616356</v>
      </c>
      <c r="J322" s="128">
        <v>1.4186081898800809E-3</v>
      </c>
      <c r="K322" s="128"/>
      <c r="L322" s="128">
        <v>4.0399999999999998E-2</v>
      </c>
      <c r="O322" s="2"/>
    </row>
    <row r="323" spans="2:15" x14ac:dyDescent="0.2">
      <c r="B323" s="1">
        <v>308</v>
      </c>
      <c r="C323" s="5">
        <f ca="1">_xlfn.NORM.S.INV(RAND())</f>
        <v>0.70753672486785968</v>
      </c>
      <c r="D323" s="5">
        <f ca="1">S0*EXP((μ-0.5*σ*σ)*T+σ*SQRT(T)*$C323)</f>
        <v>0.71251267575277832</v>
      </c>
      <c r="E323" s="5">
        <f ca="1">MAX(0,CP*(D323-K))</f>
        <v>0</v>
      </c>
      <c r="F323" s="4">
        <f ca="1">(CP*(D323-K)&gt;0)*1</f>
        <v>0</v>
      </c>
      <c r="H323" s="4">
        <v>308</v>
      </c>
      <c r="I323" s="3">
        <v>0.6677450744838882</v>
      </c>
      <c r="J323" s="128">
        <v>1.3061699897394087E-3</v>
      </c>
      <c r="K323" s="128"/>
      <c r="L323" s="128">
        <v>4.2799999999999998E-2</v>
      </c>
      <c r="O323" s="2"/>
    </row>
    <row r="324" spans="2:15" x14ac:dyDescent="0.2">
      <c r="B324" s="1">
        <v>309</v>
      </c>
      <c r="C324" s="5">
        <f ca="1">_xlfn.NORM.S.INV(RAND())</f>
        <v>-2.3044685475029381</v>
      </c>
      <c r="D324" s="5">
        <f ca="1">S0*EXP((μ-0.5*σ*σ)*T+σ*SQRT(T)*$C324)</f>
        <v>0.52945687865003521</v>
      </c>
      <c r="E324" s="5">
        <f ca="1">MAX(0,CP*(D324-K))</f>
        <v>0</v>
      </c>
      <c r="F324" s="4">
        <f ca="1">(CP*(D324-K)&gt;0)*1</f>
        <v>0</v>
      </c>
      <c r="H324" s="4">
        <v>309</v>
      </c>
      <c r="I324" s="3">
        <v>0.6677250807928663</v>
      </c>
      <c r="J324" s="128">
        <v>1.3013666173693527E-3</v>
      </c>
      <c r="K324" s="128"/>
      <c r="L324" s="128">
        <v>4.2799999999999998E-2</v>
      </c>
      <c r="O324" s="2"/>
    </row>
    <row r="325" spans="2:15" x14ac:dyDescent="0.2">
      <c r="B325" s="1">
        <v>310</v>
      </c>
      <c r="C325" s="5">
        <f ca="1">_xlfn.NORM.S.INV(RAND())</f>
        <v>-1.0370195689517965</v>
      </c>
      <c r="D325" s="5">
        <f ca="1">S0*EXP((μ-0.5*σ*σ)*T+σ*SQRT(T)*$C325)</f>
        <v>0.59992599844400674</v>
      </c>
      <c r="E325" s="5">
        <f ca="1">MAX(0,CP*(D325-K))</f>
        <v>0</v>
      </c>
      <c r="F325" s="4">
        <f ca="1">(CP*(D325-K)&gt;0)*1</f>
        <v>0</v>
      </c>
      <c r="H325" s="4">
        <v>310</v>
      </c>
      <c r="I325" s="3">
        <v>0.66772626126680978</v>
      </c>
      <c r="J325" s="128">
        <v>1.3574345638327054E-3</v>
      </c>
      <c r="K325" s="128"/>
      <c r="L325" s="128">
        <v>4.3799999999999999E-2</v>
      </c>
      <c r="O325" s="2"/>
    </row>
    <row r="326" spans="2:15" x14ac:dyDescent="0.2">
      <c r="B326" s="1">
        <v>311</v>
      </c>
      <c r="C326" s="5">
        <f ca="1">_xlfn.NORM.S.INV(RAND())</f>
        <v>0.13320355413040869</v>
      </c>
      <c r="D326" s="5">
        <f ca="1">S0*EXP((μ-0.5*σ*σ)*T+σ*SQRT(T)*$C326)</f>
        <v>0.67328966685740199</v>
      </c>
      <c r="E326" s="5">
        <f ca="1">MAX(0,CP*(D326-K))</f>
        <v>0</v>
      </c>
      <c r="F326" s="4">
        <f ca="1">(CP*(D326-K)&gt;0)*1</f>
        <v>0</v>
      </c>
      <c r="H326" s="4">
        <v>311</v>
      </c>
      <c r="I326" s="3">
        <v>0.66764730622988111</v>
      </c>
      <c r="J326" s="128">
        <v>1.203598727929399E-3</v>
      </c>
      <c r="K326" s="128"/>
      <c r="L326" s="128">
        <v>3.7400000000000003E-2</v>
      </c>
      <c r="O326" s="2"/>
    </row>
    <row r="327" spans="2:15" x14ac:dyDescent="0.2">
      <c r="B327" s="1">
        <v>312</v>
      </c>
      <c r="C327" s="5">
        <f ca="1">_xlfn.NORM.S.INV(RAND())</f>
        <v>-0.67661050004233247</v>
      </c>
      <c r="D327" s="5">
        <f ca="1">S0*EXP((μ-0.5*σ*σ)*T+σ*SQRT(T)*$C327)</f>
        <v>0.62162569175977567</v>
      </c>
      <c r="E327" s="5">
        <f ca="1">MAX(0,CP*(D327-K))</f>
        <v>0</v>
      </c>
      <c r="F327" s="4">
        <f ca="1">(CP*(D327-K)&gt;0)*1</f>
        <v>0</v>
      </c>
      <c r="H327" s="4">
        <v>312</v>
      </c>
      <c r="I327" s="3">
        <v>0.66760338496478899</v>
      </c>
      <c r="J327" s="128">
        <v>1.1875600728206645E-3</v>
      </c>
      <c r="K327" s="128"/>
      <c r="L327" s="128">
        <v>3.6400000000000002E-2</v>
      </c>
      <c r="O327" s="2"/>
    </row>
    <row r="328" spans="2:15" x14ac:dyDescent="0.2">
      <c r="B328" s="1">
        <v>313</v>
      </c>
      <c r="C328" s="5">
        <f ca="1">_xlfn.NORM.S.INV(RAND())</f>
        <v>9.5643539542020692E-2</v>
      </c>
      <c r="D328" s="5">
        <f ca="1">S0*EXP((μ-0.5*σ*σ)*T+σ*SQRT(T)*$C328)</f>
        <v>0.67080112135818093</v>
      </c>
      <c r="E328" s="5">
        <f ca="1">MAX(0,CP*(D328-K))</f>
        <v>0</v>
      </c>
      <c r="F328" s="4">
        <f ca="1">(CP*(D328-K)&gt;0)*1</f>
        <v>0</v>
      </c>
      <c r="H328" s="4">
        <v>313</v>
      </c>
      <c r="I328" s="3">
        <v>0.66784332318768036</v>
      </c>
      <c r="J328" s="128">
        <v>1.4975186238856135E-3</v>
      </c>
      <c r="K328" s="128"/>
      <c r="L328" s="128">
        <v>4.0399999999999998E-2</v>
      </c>
      <c r="O328" s="2"/>
    </row>
    <row r="329" spans="2:15" x14ac:dyDescent="0.2">
      <c r="B329" s="1">
        <v>314</v>
      </c>
      <c r="C329" s="5">
        <f ca="1">_xlfn.NORM.S.INV(RAND())</f>
        <v>0.28100352286764679</v>
      </c>
      <c r="D329" s="5">
        <f ca="1">S0*EXP((μ-0.5*σ*σ)*T+σ*SQRT(T)*$C329)</f>
        <v>0.68317214711445806</v>
      </c>
      <c r="E329" s="5">
        <f ca="1">MAX(0,CP*(D329-K))</f>
        <v>0</v>
      </c>
      <c r="F329" s="4">
        <f ca="1">(CP*(D329-K)&gt;0)*1</f>
        <v>0</v>
      </c>
      <c r="H329" s="4">
        <v>314</v>
      </c>
      <c r="I329" s="3">
        <v>0.66767621848453029</v>
      </c>
      <c r="J329" s="128">
        <v>1.403414638044719E-3</v>
      </c>
      <c r="K329" s="128"/>
      <c r="L329" s="128">
        <v>4.1200000000000001E-2</v>
      </c>
      <c r="O329" s="2"/>
    </row>
    <row r="330" spans="2:15" x14ac:dyDescent="0.2">
      <c r="B330" s="1">
        <v>315</v>
      </c>
      <c r="C330" s="5">
        <f ca="1">_xlfn.NORM.S.INV(RAND())</f>
        <v>1.2320599342376388</v>
      </c>
      <c r="D330" s="5">
        <f ca="1">S0*EXP((μ-0.5*σ*σ)*T+σ*SQRT(T)*$C330)</f>
        <v>0.75032700528080432</v>
      </c>
      <c r="E330" s="5">
        <f ca="1">MAX(0,CP*(D330-K))</f>
        <v>0</v>
      </c>
      <c r="F330" s="4">
        <f ca="1">(CP*(D330-K)&gt;0)*1</f>
        <v>0</v>
      </c>
      <c r="H330" s="4">
        <v>315</v>
      </c>
      <c r="I330" s="3">
        <v>0.66788708616200243</v>
      </c>
      <c r="J330" s="128">
        <v>1.4591302965692159E-3</v>
      </c>
      <c r="K330" s="128"/>
      <c r="L330" s="128">
        <v>4.6399999999999997E-2</v>
      </c>
      <c r="O330" s="2"/>
    </row>
    <row r="331" spans="2:15" x14ac:dyDescent="0.2">
      <c r="B331" s="1">
        <v>316</v>
      </c>
      <c r="C331" s="5">
        <f ca="1">_xlfn.NORM.S.INV(RAND())</f>
        <v>-1.4145770969743749</v>
      </c>
      <c r="D331" s="5">
        <f ca="1">S0*EXP((μ-0.5*σ*σ)*T+σ*SQRT(T)*$C331)</f>
        <v>0.5780057809771022</v>
      </c>
      <c r="E331" s="5">
        <f ca="1">MAX(0,CP*(D331-K))</f>
        <v>0</v>
      </c>
      <c r="F331" s="4">
        <f ca="1">(CP*(D331-K)&gt;0)*1</f>
        <v>0</v>
      </c>
      <c r="H331" s="4">
        <v>316</v>
      </c>
      <c r="I331" s="3">
        <v>0.66776387548717797</v>
      </c>
      <c r="J331" s="128">
        <v>1.4216340760112793E-3</v>
      </c>
      <c r="K331" s="128"/>
      <c r="L331" s="128">
        <v>3.8600000000000002E-2</v>
      </c>
      <c r="O331" s="2"/>
    </row>
    <row r="332" spans="2:15" x14ac:dyDescent="0.2">
      <c r="B332" s="1">
        <v>317</v>
      </c>
      <c r="C332" s="5">
        <f ca="1">_xlfn.NORM.S.INV(RAND())</f>
        <v>2.5019110461919594</v>
      </c>
      <c r="D332" s="5">
        <f ca="1">S0*EXP((μ-0.5*σ*σ)*T+σ*SQRT(T)*$C332)</f>
        <v>0.85039464215506944</v>
      </c>
      <c r="E332" s="5">
        <f ca="1">MAX(0,CP*(D332-K))</f>
        <v>6.2194642155069424E-2</v>
      </c>
      <c r="F332" s="4">
        <f ca="1">(CP*(D332-K)&gt;0)*1</f>
        <v>1</v>
      </c>
      <c r="H332" s="4">
        <v>317</v>
      </c>
      <c r="I332" s="3">
        <v>0.66790321662538543</v>
      </c>
      <c r="J332" s="128">
        <v>1.4712052252300388E-3</v>
      </c>
      <c r="K332" s="128"/>
      <c r="L332" s="128">
        <v>4.4600000000000001E-2</v>
      </c>
      <c r="O332" s="2"/>
    </row>
    <row r="333" spans="2:15" x14ac:dyDescent="0.2">
      <c r="B333" s="1">
        <v>318</v>
      </c>
      <c r="C333" s="5">
        <f ca="1">_xlfn.NORM.S.INV(RAND())</f>
        <v>-2.4705814345748547E-2</v>
      </c>
      <c r="D333" s="5">
        <f ca="1">S0*EXP((μ-0.5*σ*σ)*T+σ*SQRT(T)*$C333)</f>
        <v>0.66288913786807324</v>
      </c>
      <c r="E333" s="5">
        <f ca="1">MAX(0,CP*(D333-K))</f>
        <v>0</v>
      </c>
      <c r="F333" s="4">
        <f ca="1">(CP*(D333-K)&gt;0)*1</f>
        <v>0</v>
      </c>
      <c r="H333" s="4">
        <v>318</v>
      </c>
      <c r="I333" s="3">
        <v>0.66767080603313911</v>
      </c>
      <c r="J333" s="128">
        <v>1.2297088243524521E-3</v>
      </c>
      <c r="K333" s="128"/>
      <c r="L333" s="128">
        <v>4.1599999999999998E-2</v>
      </c>
      <c r="O333" s="2"/>
    </row>
    <row r="334" spans="2:15" x14ac:dyDescent="0.2">
      <c r="B334" s="1">
        <v>319</v>
      </c>
      <c r="C334" s="5">
        <f ca="1">_xlfn.NORM.S.INV(RAND())</f>
        <v>1.4643707094396283</v>
      </c>
      <c r="D334" s="5">
        <f ca="1">S0*EXP((μ-0.5*σ*σ)*T+σ*SQRT(T)*$C334)</f>
        <v>0.76770999416429886</v>
      </c>
      <c r="E334" s="5">
        <f ca="1">MAX(0,CP*(D334-K))</f>
        <v>0</v>
      </c>
      <c r="F334" s="4">
        <f ca="1">(CP*(D334-K)&gt;0)*1</f>
        <v>0</v>
      </c>
      <c r="H334" s="4">
        <v>319</v>
      </c>
      <c r="I334" s="3">
        <v>0.66770199399131169</v>
      </c>
      <c r="J334" s="128">
        <v>1.2740834361209753E-3</v>
      </c>
      <c r="K334" s="128"/>
      <c r="L334" s="128">
        <v>4.0399999999999998E-2</v>
      </c>
      <c r="O334" s="2"/>
    </row>
    <row r="335" spans="2:15" x14ac:dyDescent="0.2">
      <c r="B335" s="1">
        <v>320</v>
      </c>
      <c r="C335" s="5">
        <f ca="1">_xlfn.NORM.S.INV(RAND())</f>
        <v>-1.0890395056535431</v>
      </c>
      <c r="D335" s="5">
        <f ca="1">S0*EXP((μ-0.5*σ*σ)*T+σ*SQRT(T)*$C335)</f>
        <v>0.59685714565412273</v>
      </c>
      <c r="E335" s="5">
        <f ca="1">MAX(0,CP*(D335-K))</f>
        <v>0</v>
      </c>
      <c r="F335" s="4">
        <f ca="1">(CP*(D335-K)&gt;0)*1</f>
        <v>0</v>
      </c>
      <c r="H335" s="4">
        <v>320</v>
      </c>
      <c r="I335" s="3">
        <v>0.66780965638046996</v>
      </c>
      <c r="J335" s="128">
        <v>1.3218852747715485E-3</v>
      </c>
      <c r="K335" s="128"/>
      <c r="L335" s="128">
        <v>4.4600000000000001E-2</v>
      </c>
      <c r="O335" s="2"/>
    </row>
    <row r="336" spans="2:15" x14ac:dyDescent="0.2">
      <c r="B336" s="1">
        <v>321</v>
      </c>
      <c r="C336" s="5">
        <f ca="1">_xlfn.NORM.S.INV(RAND())</f>
        <v>0.3460291091178378</v>
      </c>
      <c r="D336" s="5">
        <f ca="1">S0*EXP((μ-0.5*σ*σ)*T+σ*SQRT(T)*$C336)</f>
        <v>0.68756583254480375</v>
      </c>
      <c r="E336" s="5">
        <f ca="1">MAX(0,CP*(D336-K))</f>
        <v>0</v>
      </c>
      <c r="F336" s="4">
        <f ca="1">(CP*(D336-K)&gt;0)*1</f>
        <v>0</v>
      </c>
      <c r="H336" s="4">
        <v>321</v>
      </c>
      <c r="I336" s="3">
        <v>0.66776559448030404</v>
      </c>
      <c r="J336" s="128">
        <v>1.3614551076836076E-3</v>
      </c>
      <c r="K336" s="128"/>
      <c r="L336" s="128">
        <v>4.2599999999999999E-2</v>
      </c>
      <c r="O336" s="2"/>
    </row>
    <row r="337" spans="2:15" x14ac:dyDescent="0.2">
      <c r="B337" s="1">
        <v>322</v>
      </c>
      <c r="C337" s="5">
        <f ca="1">_xlfn.NORM.S.INV(RAND())</f>
        <v>-1.5602585070570107</v>
      </c>
      <c r="D337" s="5">
        <f ca="1">S0*EXP((μ-0.5*σ*σ)*T+σ*SQRT(T)*$C337)</f>
        <v>0.56976358333147503</v>
      </c>
      <c r="E337" s="5">
        <f ca="1">MAX(0,CP*(D337-K))</f>
        <v>0</v>
      </c>
      <c r="F337" s="4">
        <f ca="1">(CP*(D337-K)&gt;0)*1</f>
        <v>0</v>
      </c>
      <c r="H337" s="4">
        <v>322</v>
      </c>
      <c r="I337" s="3">
        <v>0.66776890796527555</v>
      </c>
      <c r="J337" s="128">
        <v>1.3712514844104841E-3</v>
      </c>
      <c r="K337" s="128"/>
      <c r="L337" s="128">
        <v>4.3200000000000002E-2</v>
      </c>
      <c r="O337" s="2"/>
    </row>
    <row r="338" spans="2:15" x14ac:dyDescent="0.2">
      <c r="B338" s="1">
        <v>323</v>
      </c>
      <c r="C338" s="5">
        <f ca="1">_xlfn.NORM.S.INV(RAND())</f>
        <v>-1.3393704305366168</v>
      </c>
      <c r="D338" s="5">
        <f ca="1">S0*EXP((μ-0.5*σ*σ)*T+σ*SQRT(T)*$C338)</f>
        <v>0.58230729418102556</v>
      </c>
      <c r="E338" s="5">
        <f ca="1">MAX(0,CP*(D338-K))</f>
        <v>0</v>
      </c>
      <c r="F338" s="4">
        <f ca="1">(CP*(D338-K)&gt;0)*1</f>
        <v>0</v>
      </c>
      <c r="H338" s="4">
        <v>323</v>
      </c>
      <c r="I338" s="3">
        <v>0.6676941772995143</v>
      </c>
      <c r="J338" s="128">
        <v>1.36981625526342E-3</v>
      </c>
      <c r="K338" s="128"/>
      <c r="L338" s="128">
        <v>3.7999999999999999E-2</v>
      </c>
      <c r="O338" s="2"/>
    </row>
    <row r="339" spans="2:15" x14ac:dyDescent="0.2">
      <c r="B339" s="1">
        <v>324</v>
      </c>
      <c r="C339" s="5">
        <f ca="1">_xlfn.NORM.S.INV(RAND())</f>
        <v>-1.7515067351057221</v>
      </c>
      <c r="D339" s="5">
        <f ca="1">S0*EXP((μ-0.5*σ*σ)*T+σ*SQRT(T)*$C339)</f>
        <v>0.55912151557464662</v>
      </c>
      <c r="E339" s="5">
        <f ca="1">MAX(0,CP*(D339-K))</f>
        <v>0</v>
      </c>
      <c r="F339" s="4">
        <f ca="1">(CP*(D339-K)&gt;0)*1</f>
        <v>0</v>
      </c>
      <c r="H339" s="4">
        <v>324</v>
      </c>
      <c r="I339" s="3">
        <v>0.66783841476068051</v>
      </c>
      <c r="J339" s="128">
        <v>1.3708791954875929E-3</v>
      </c>
      <c r="K339" s="128"/>
      <c r="L339" s="128">
        <v>4.2000000000000003E-2</v>
      </c>
      <c r="O339" s="2"/>
    </row>
    <row r="340" spans="2:15" x14ac:dyDescent="0.2">
      <c r="B340" s="1">
        <v>325</v>
      </c>
      <c r="C340" s="5">
        <f ca="1">_xlfn.NORM.S.INV(RAND())</f>
        <v>-1.4567754283247369</v>
      </c>
      <c r="D340" s="5">
        <f ca="1">S0*EXP((μ-0.5*σ*σ)*T+σ*SQRT(T)*$C340)</f>
        <v>0.57560614086995532</v>
      </c>
      <c r="E340" s="5">
        <f ca="1">MAX(0,CP*(D340-K))</f>
        <v>0</v>
      </c>
      <c r="F340" s="4">
        <f ca="1">(CP*(D340-K)&gt;0)*1</f>
        <v>0</v>
      </c>
      <c r="H340" s="4">
        <v>325</v>
      </c>
      <c r="I340" s="3">
        <v>0.66758674777934479</v>
      </c>
      <c r="J340" s="128">
        <v>1.1982719952613814E-3</v>
      </c>
      <c r="K340" s="128"/>
      <c r="L340" s="128">
        <v>3.8800000000000001E-2</v>
      </c>
      <c r="O340" s="2"/>
    </row>
    <row r="341" spans="2:15" x14ac:dyDescent="0.2">
      <c r="B341" s="1">
        <v>326</v>
      </c>
      <c r="C341" s="5">
        <f ca="1">_xlfn.NORM.S.INV(RAND())</f>
        <v>5.1210074833698049E-2</v>
      </c>
      <c r="D341" s="5">
        <f ca="1">S0*EXP((μ-0.5*σ*σ)*T+σ*SQRT(T)*$C341)</f>
        <v>0.66786904824851578</v>
      </c>
      <c r="E341" s="5">
        <f ca="1">MAX(0,CP*(D341-K))</f>
        <v>0</v>
      </c>
      <c r="F341" s="4">
        <f ca="1">(CP*(D341-K)&gt;0)*1</f>
        <v>0</v>
      </c>
      <c r="H341" s="4">
        <v>326</v>
      </c>
      <c r="I341" s="3">
        <v>0.66771872674324484</v>
      </c>
      <c r="J341" s="128">
        <v>1.2597300307923465E-3</v>
      </c>
      <c r="K341" s="128"/>
      <c r="L341" s="128">
        <v>4.2000000000000003E-2</v>
      </c>
      <c r="O341" s="2"/>
    </row>
    <row r="342" spans="2:15" x14ac:dyDescent="0.2">
      <c r="B342" s="1">
        <v>327</v>
      </c>
      <c r="C342" s="5">
        <f ca="1">_xlfn.NORM.S.INV(RAND())</f>
        <v>1.8350668101319803</v>
      </c>
      <c r="D342" s="5">
        <f ca="1">S0*EXP((μ-0.5*σ*σ)*T+σ*SQRT(T)*$C342)</f>
        <v>0.79628569970843788</v>
      </c>
      <c r="E342" s="5">
        <f ca="1">MAX(0,CP*(D342-K))</f>
        <v>8.0856997084378657E-3</v>
      </c>
      <c r="F342" s="4">
        <f ca="1">(CP*(D342-K)&gt;0)*1</f>
        <v>1</v>
      </c>
      <c r="H342" s="4">
        <v>327</v>
      </c>
      <c r="I342" s="3">
        <v>0.66768663742507828</v>
      </c>
      <c r="J342" s="128">
        <v>1.2870778314798845E-3</v>
      </c>
      <c r="K342" s="128"/>
      <c r="L342" s="128">
        <v>3.8600000000000002E-2</v>
      </c>
      <c r="O342" s="2"/>
    </row>
    <row r="343" spans="2:15" x14ac:dyDescent="0.2">
      <c r="B343" s="1">
        <v>328</v>
      </c>
      <c r="C343" s="5">
        <f ca="1">_xlfn.NORM.S.INV(RAND())</f>
        <v>-0.4175694932895827</v>
      </c>
      <c r="D343" s="5">
        <f ca="1">S0*EXP((μ-0.5*σ*σ)*T+σ*SQRT(T)*$C343)</f>
        <v>0.63770534009242119</v>
      </c>
      <c r="E343" s="5">
        <f ca="1">MAX(0,CP*(D343-K))</f>
        <v>0</v>
      </c>
      <c r="F343" s="4">
        <f ca="1">(CP*(D343-K)&gt;0)*1</f>
        <v>0</v>
      </c>
      <c r="H343" s="4">
        <v>328</v>
      </c>
      <c r="I343" s="3">
        <v>0.66770967451855234</v>
      </c>
      <c r="J343" s="128">
        <v>1.221924072748896E-3</v>
      </c>
      <c r="K343" s="128"/>
      <c r="L343" s="128">
        <v>4.1599999999999998E-2</v>
      </c>
      <c r="O343" s="2"/>
    </row>
    <row r="344" spans="2:15" x14ac:dyDescent="0.2">
      <c r="B344" s="1">
        <v>329</v>
      </c>
      <c r="C344" s="5">
        <f ca="1">_xlfn.NORM.S.INV(RAND())</f>
        <v>0.40011802780930328</v>
      </c>
      <c r="D344" s="5">
        <f ca="1">S0*EXP((μ-0.5*σ*σ)*T+σ*SQRT(T)*$C344)</f>
        <v>0.69124206323994708</v>
      </c>
      <c r="E344" s="5">
        <f ca="1">MAX(0,CP*(D344-K))</f>
        <v>0</v>
      </c>
      <c r="F344" s="4">
        <f ca="1">(CP*(D344-K)&gt;0)*1</f>
        <v>0</v>
      </c>
      <c r="H344" s="4">
        <v>329</v>
      </c>
      <c r="I344" s="3">
        <v>0.66767019757716128</v>
      </c>
      <c r="J344" s="128">
        <v>1.2895038097246792E-3</v>
      </c>
      <c r="K344" s="128"/>
      <c r="L344" s="128">
        <v>3.8399999999999997E-2</v>
      </c>
      <c r="O344" s="2"/>
    </row>
    <row r="345" spans="2:15" x14ac:dyDescent="0.2">
      <c r="B345" s="1">
        <v>330</v>
      </c>
      <c r="C345" s="5">
        <f ca="1">_xlfn.NORM.S.INV(RAND())</f>
        <v>0.3878633701656603</v>
      </c>
      <c r="D345" s="5">
        <f ca="1">S0*EXP((μ-0.5*σ*σ)*T+σ*SQRT(T)*$C345)</f>
        <v>0.69040743948755501</v>
      </c>
      <c r="E345" s="5">
        <f ca="1">MAX(0,CP*(D345-K))</f>
        <v>0</v>
      </c>
      <c r="F345" s="4">
        <f ca="1">(CP*(D345-K)&gt;0)*1</f>
        <v>0</v>
      </c>
      <c r="H345" s="4">
        <v>330</v>
      </c>
      <c r="I345" s="3">
        <v>0.66773229659232047</v>
      </c>
      <c r="J345" s="128">
        <v>1.4642166718639336E-3</v>
      </c>
      <c r="K345" s="128"/>
      <c r="L345" s="128">
        <v>4.2599999999999999E-2</v>
      </c>
      <c r="O345" s="2"/>
    </row>
    <row r="346" spans="2:15" x14ac:dyDescent="0.2">
      <c r="B346" s="1">
        <v>331</v>
      </c>
      <c r="C346" s="5">
        <f ca="1">_xlfn.NORM.S.INV(RAND())</f>
        <v>2.4772049202483903</v>
      </c>
      <c r="D346" s="5">
        <f ca="1">S0*EXP((μ-0.5*σ*σ)*T+σ*SQRT(T)*$C346)</f>
        <v>0.84832584416550405</v>
      </c>
      <c r="E346" s="5">
        <f ca="1">MAX(0,CP*(D346-K))</f>
        <v>6.0125844165504039E-2</v>
      </c>
      <c r="F346" s="4">
        <f ca="1">(CP*(D346-K)&gt;0)*1</f>
        <v>1</v>
      </c>
      <c r="H346" s="4">
        <v>331</v>
      </c>
      <c r="I346" s="3">
        <v>0.66765241282127441</v>
      </c>
      <c r="J346" s="128">
        <v>1.2962820535096825E-3</v>
      </c>
      <c r="K346" s="128"/>
      <c r="L346" s="128">
        <v>3.7600000000000001E-2</v>
      </c>
      <c r="O346" s="2"/>
    </row>
    <row r="347" spans="2:15" x14ac:dyDescent="0.2">
      <c r="B347" s="1">
        <v>332</v>
      </c>
      <c r="C347" s="5">
        <f ca="1">_xlfn.NORM.S.INV(RAND())</f>
        <v>0.84801126951998185</v>
      </c>
      <c r="D347" s="5">
        <f ca="1">S0*EXP((μ-0.5*σ*σ)*T+σ*SQRT(T)*$C347)</f>
        <v>0.72244893004923127</v>
      </c>
      <c r="E347" s="5">
        <f ca="1">MAX(0,CP*(D347-K))</f>
        <v>0</v>
      </c>
      <c r="F347" s="4">
        <f ca="1">(CP*(D347-K)&gt;0)*1</f>
        <v>0</v>
      </c>
      <c r="H347" s="4">
        <v>332</v>
      </c>
      <c r="I347" s="3">
        <v>0.66770345055652058</v>
      </c>
      <c r="J347" s="128">
        <v>1.3236485166130691E-3</v>
      </c>
      <c r="K347" s="128"/>
      <c r="L347" s="128">
        <v>4.1000000000000002E-2</v>
      </c>
      <c r="O347" s="2"/>
    </row>
    <row r="348" spans="2:15" x14ac:dyDescent="0.2">
      <c r="B348" s="1">
        <v>333</v>
      </c>
      <c r="C348" s="5">
        <f ca="1">_xlfn.NORM.S.INV(RAND())</f>
        <v>1.241926584740038</v>
      </c>
      <c r="D348" s="5">
        <f ca="1">S0*EXP((μ-0.5*σ*σ)*T+σ*SQRT(T)*$C348)</f>
        <v>0.75105722454375756</v>
      </c>
      <c r="E348" s="5">
        <f ca="1">MAX(0,CP*(D348-K))</f>
        <v>0</v>
      </c>
      <c r="F348" s="4">
        <f ca="1">(CP*(D348-K)&gt;0)*1</f>
        <v>0</v>
      </c>
      <c r="H348" s="4">
        <v>333</v>
      </c>
      <c r="I348" s="3">
        <v>0.66777325199950266</v>
      </c>
      <c r="J348" s="128">
        <v>1.2862893114669331E-3</v>
      </c>
      <c r="K348" s="128"/>
      <c r="L348" s="128">
        <v>4.1599999999999998E-2</v>
      </c>
      <c r="O348" s="2"/>
    </row>
    <row r="349" spans="2:15" x14ac:dyDescent="0.2">
      <c r="B349" s="1">
        <v>334</v>
      </c>
      <c r="C349" s="5">
        <f ca="1">_xlfn.NORM.S.INV(RAND())</f>
        <v>0.31782033442287028</v>
      </c>
      <c r="D349" s="5">
        <f ca="1">S0*EXP((μ-0.5*σ*σ)*T+σ*SQRT(T)*$C349)</f>
        <v>0.68565634655496255</v>
      </c>
      <c r="E349" s="5">
        <f ca="1">MAX(0,CP*(D349-K))</f>
        <v>0</v>
      </c>
      <c r="F349" s="4">
        <f ca="1">(CP*(D349-K)&gt;0)*1</f>
        <v>0</v>
      </c>
      <c r="H349" s="4">
        <v>334</v>
      </c>
      <c r="I349" s="3">
        <v>0.6677140254156263</v>
      </c>
      <c r="J349" s="128">
        <v>1.3911178998843045E-3</v>
      </c>
      <c r="K349" s="128"/>
      <c r="L349" s="128">
        <v>4.1000000000000002E-2</v>
      </c>
      <c r="O349" s="2"/>
    </row>
    <row r="350" spans="2:15" x14ac:dyDescent="0.2">
      <c r="B350" s="1">
        <v>335</v>
      </c>
      <c r="C350" s="5">
        <f ca="1">_xlfn.NORM.S.INV(RAND())</f>
        <v>-0.33623240431645074</v>
      </c>
      <c r="D350" s="5">
        <f ca="1">S0*EXP((μ-0.5*σ*σ)*T+σ*SQRT(T)*$C350)</f>
        <v>0.64283954062145499</v>
      </c>
      <c r="E350" s="5">
        <f ca="1">MAX(0,CP*(D350-K))</f>
        <v>0</v>
      </c>
      <c r="F350" s="4">
        <f ca="1">(CP*(D350-K)&gt;0)*1</f>
        <v>0</v>
      </c>
      <c r="H350" s="4">
        <v>335</v>
      </c>
      <c r="I350" s="3">
        <v>0.66776970320466555</v>
      </c>
      <c r="J350" s="128">
        <v>1.4837716743183855E-3</v>
      </c>
      <c r="K350" s="128"/>
      <c r="L350" s="128">
        <v>4.2000000000000003E-2</v>
      </c>
      <c r="O350" s="2"/>
    </row>
    <row r="351" spans="2:15" x14ac:dyDescent="0.2">
      <c r="B351" s="1">
        <v>336</v>
      </c>
      <c r="C351" s="5">
        <f ca="1">_xlfn.NORM.S.INV(RAND())</f>
        <v>0.22155412647490411</v>
      </c>
      <c r="D351" s="5">
        <f ca="1">S0*EXP((μ-0.5*σ*σ)*T+σ*SQRT(T)*$C351)</f>
        <v>0.67917980958788648</v>
      </c>
      <c r="E351" s="5">
        <f ca="1">MAX(0,CP*(D351-K))</f>
        <v>0</v>
      </c>
      <c r="F351" s="4">
        <f ca="1">(CP*(D351-K)&gt;0)*1</f>
        <v>0</v>
      </c>
      <c r="H351" s="4">
        <v>336</v>
      </c>
      <c r="I351" s="3">
        <v>0.66781306414090502</v>
      </c>
      <c r="J351" s="128">
        <v>1.3550598112708903E-3</v>
      </c>
      <c r="K351" s="128"/>
      <c r="L351" s="128">
        <v>4.02E-2</v>
      </c>
      <c r="O351" s="2"/>
    </row>
    <row r="352" spans="2:15" x14ac:dyDescent="0.2">
      <c r="B352" s="1">
        <v>337</v>
      </c>
      <c r="C352" s="5">
        <f ca="1">_xlfn.NORM.S.INV(RAND())</f>
        <v>0.29239416766907972</v>
      </c>
      <c r="D352" s="5">
        <f ca="1">S0*EXP((μ-0.5*σ*σ)*T+σ*SQRT(T)*$C352)</f>
        <v>0.68393976317979199</v>
      </c>
      <c r="E352" s="5">
        <f ca="1">MAX(0,CP*(D352-K))</f>
        <v>0</v>
      </c>
      <c r="F352" s="4">
        <f ca="1">(CP*(D352-K)&gt;0)*1</f>
        <v>0</v>
      </c>
      <c r="H352" s="4">
        <v>337</v>
      </c>
      <c r="I352" s="3">
        <v>0.66771525955448685</v>
      </c>
      <c r="J352" s="128">
        <v>1.3507461603406309E-3</v>
      </c>
      <c r="K352" s="128"/>
      <c r="L352" s="128">
        <v>4.1200000000000001E-2</v>
      </c>
      <c r="O352" s="2"/>
    </row>
    <row r="353" spans="2:15" x14ac:dyDescent="0.2">
      <c r="B353" s="1">
        <v>338</v>
      </c>
      <c r="C353" s="5">
        <f ca="1">_xlfn.NORM.S.INV(RAND())</f>
        <v>0.28798644384717309</v>
      </c>
      <c r="D353" s="5">
        <f ca="1">S0*EXP((μ-0.5*σ*σ)*T+σ*SQRT(T)*$C353)</f>
        <v>0.68364262422465372</v>
      </c>
      <c r="E353" s="5">
        <f ca="1">MAX(0,CP*(D353-K))</f>
        <v>0</v>
      </c>
      <c r="F353" s="4">
        <f ca="1">(CP*(D353-K)&gt;0)*1</f>
        <v>0</v>
      </c>
      <c r="H353" s="4">
        <v>338</v>
      </c>
      <c r="I353" s="3">
        <v>0.6677468131075226</v>
      </c>
      <c r="J353" s="128">
        <v>1.3753473668594157E-3</v>
      </c>
      <c r="K353" s="128"/>
      <c r="L353" s="128">
        <v>4.2200000000000001E-2</v>
      </c>
      <c r="O353" s="2"/>
    </row>
    <row r="354" spans="2:15" x14ac:dyDescent="0.2">
      <c r="B354" s="1">
        <v>339</v>
      </c>
      <c r="C354" s="5">
        <f ca="1">_xlfn.NORM.S.INV(RAND())</f>
        <v>-0.60918870695893246</v>
      </c>
      <c r="D354" s="5">
        <f ca="1">S0*EXP((μ-0.5*σ*σ)*T+σ*SQRT(T)*$C354)</f>
        <v>0.62577136568047187</v>
      </c>
      <c r="E354" s="5">
        <f ca="1">MAX(0,CP*(D354-K))</f>
        <v>0</v>
      </c>
      <c r="F354" s="4">
        <f ca="1">(CP*(D354-K)&gt;0)*1</f>
        <v>0</v>
      </c>
      <c r="H354" s="4">
        <v>339</v>
      </c>
      <c r="I354" s="3">
        <v>0.66770158610782127</v>
      </c>
      <c r="J354" s="128">
        <v>1.3085404673798822E-3</v>
      </c>
      <c r="K354" s="128"/>
      <c r="L354" s="128">
        <v>3.6799999999999999E-2</v>
      </c>
      <c r="O354" s="2"/>
    </row>
    <row r="355" spans="2:15" x14ac:dyDescent="0.2">
      <c r="B355" s="1">
        <v>340</v>
      </c>
      <c r="C355" s="5">
        <f ca="1">_xlfn.NORM.S.INV(RAND())</f>
        <v>1.3605936273129047</v>
      </c>
      <c r="D355" s="5">
        <f ca="1">S0*EXP((μ-0.5*σ*σ)*T+σ*SQRT(T)*$C355)</f>
        <v>0.7598955047862761</v>
      </c>
      <c r="E355" s="5">
        <f ca="1">MAX(0,CP*(D355-K))</f>
        <v>0</v>
      </c>
      <c r="F355" s="4">
        <f ca="1">(CP*(D355-K)&gt;0)*1</f>
        <v>0</v>
      </c>
      <c r="H355" s="4">
        <v>340</v>
      </c>
      <c r="I355" s="3">
        <v>0.66778266677765152</v>
      </c>
      <c r="J355" s="128">
        <v>1.4670138575155287E-3</v>
      </c>
      <c r="K355" s="128"/>
      <c r="L355" s="128">
        <v>4.2999999999999997E-2</v>
      </c>
      <c r="O355" s="2"/>
    </row>
    <row r="356" spans="2:15" x14ac:dyDescent="0.2">
      <c r="B356" s="1">
        <v>341</v>
      </c>
      <c r="C356" s="5">
        <f ca="1">_xlfn.NORM.S.INV(RAND())</f>
        <v>-0.20027185227945049</v>
      </c>
      <c r="D356" s="5">
        <f ca="1">S0*EXP((μ-0.5*σ*σ)*T+σ*SQRT(T)*$C356)</f>
        <v>0.6515141737438469</v>
      </c>
      <c r="E356" s="5">
        <f ca="1">MAX(0,CP*(D356-K))</f>
        <v>0</v>
      </c>
      <c r="F356" s="4">
        <f ca="1">(CP*(D356-K)&gt;0)*1</f>
        <v>0</v>
      </c>
      <c r="H356" s="4">
        <v>341</v>
      </c>
      <c r="I356" s="3">
        <v>0.66766692743481959</v>
      </c>
      <c r="J356" s="128">
        <v>1.2022024143512942E-3</v>
      </c>
      <c r="K356" s="128"/>
      <c r="L356" s="128">
        <v>4.02E-2</v>
      </c>
      <c r="O356" s="2"/>
    </row>
    <row r="357" spans="2:15" x14ac:dyDescent="0.2">
      <c r="B357" s="1">
        <v>342</v>
      </c>
      <c r="C357" s="5">
        <f ca="1">_xlfn.NORM.S.INV(RAND())</f>
        <v>0.65173688392746143</v>
      </c>
      <c r="D357" s="5">
        <f ca="1">S0*EXP((μ-0.5*σ*σ)*T+σ*SQRT(T)*$C357)</f>
        <v>0.70860378744383734</v>
      </c>
      <c r="E357" s="5">
        <f ca="1">MAX(0,CP*(D357-K))</f>
        <v>0</v>
      </c>
      <c r="F357" s="4">
        <f ca="1">(CP*(D357-K)&gt;0)*1</f>
        <v>0</v>
      </c>
      <c r="H357" s="4">
        <v>342</v>
      </c>
      <c r="I357" s="3">
        <v>0.66758376824978605</v>
      </c>
      <c r="J357" s="128">
        <v>1.198117915645005E-3</v>
      </c>
      <c r="K357" s="128"/>
      <c r="L357" s="128">
        <v>3.7600000000000001E-2</v>
      </c>
      <c r="O357" s="2"/>
    </row>
    <row r="358" spans="2:15" x14ac:dyDescent="0.2">
      <c r="B358" s="1">
        <v>343</v>
      </c>
      <c r="C358" s="5">
        <f ca="1">_xlfn.NORM.S.INV(RAND())</f>
        <v>-0.57778382464063793</v>
      </c>
      <c r="D358" s="5">
        <f ca="1">S0*EXP((μ-0.5*σ*σ)*T+σ*SQRT(T)*$C358)</f>
        <v>0.62771183627804972</v>
      </c>
      <c r="E358" s="5">
        <f ca="1">MAX(0,CP*(D358-K))</f>
        <v>0</v>
      </c>
      <c r="F358" s="4">
        <f ca="1">(CP*(D358-K)&gt;0)*1</f>
        <v>0</v>
      </c>
      <c r="H358" s="4">
        <v>343</v>
      </c>
      <c r="I358" s="3">
        <v>0.66784548004616751</v>
      </c>
      <c r="J358" s="128">
        <v>1.3166534397820815E-3</v>
      </c>
      <c r="K358" s="128"/>
      <c r="L358" s="128">
        <v>4.4200000000000003E-2</v>
      </c>
      <c r="O358" s="2"/>
    </row>
    <row r="359" spans="2:15" x14ac:dyDescent="0.2">
      <c r="B359" s="1">
        <v>344</v>
      </c>
      <c r="C359" s="5">
        <f ca="1">_xlfn.NORM.S.INV(RAND())</f>
        <v>2.0595099292192227</v>
      </c>
      <c r="D359" s="5">
        <f ca="1">S0*EXP((μ-0.5*σ*σ)*T+σ*SQRT(T)*$C359)</f>
        <v>0.81410171882097848</v>
      </c>
      <c r="E359" s="5">
        <f ca="1">MAX(0,CP*(D359-K))</f>
        <v>2.590171882097847E-2</v>
      </c>
      <c r="F359" s="4">
        <f ca="1">(CP*(D359-K)&gt;0)*1</f>
        <v>1</v>
      </c>
      <c r="H359" s="4">
        <v>344</v>
      </c>
      <c r="I359" s="3">
        <v>0.66782083236880418</v>
      </c>
      <c r="J359" s="128">
        <v>1.4725419361736871E-3</v>
      </c>
      <c r="K359" s="128"/>
      <c r="L359" s="128">
        <v>4.3799999999999999E-2</v>
      </c>
      <c r="O359" s="2"/>
    </row>
    <row r="360" spans="2:15" x14ac:dyDescent="0.2">
      <c r="B360" s="1">
        <v>345</v>
      </c>
      <c r="C360" s="5">
        <f ca="1">_xlfn.NORM.S.INV(RAND())</f>
        <v>-0.23883501940160218</v>
      </c>
      <c r="D360" s="5">
        <f ca="1">S0*EXP((μ-0.5*σ*σ)*T+σ*SQRT(T)*$C360)</f>
        <v>0.64904192033321728</v>
      </c>
      <c r="E360" s="5">
        <f ca="1">MAX(0,CP*(D360-K))</f>
        <v>0</v>
      </c>
      <c r="F360" s="4">
        <f ca="1">(CP*(D360-K)&gt;0)*1</f>
        <v>0</v>
      </c>
      <c r="H360" s="4">
        <v>345</v>
      </c>
      <c r="I360" s="3">
        <v>0.66769073520228339</v>
      </c>
      <c r="J360" s="128">
        <v>1.2568354612185555E-3</v>
      </c>
      <c r="K360" s="128"/>
      <c r="L360" s="128">
        <v>4.0800000000000003E-2</v>
      </c>
      <c r="O360" s="2"/>
    </row>
    <row r="361" spans="2:15" x14ac:dyDescent="0.2">
      <c r="B361" s="1">
        <v>346</v>
      </c>
      <c r="C361" s="5">
        <f ca="1">_xlfn.NORM.S.INV(RAND())</f>
        <v>1.5610245442315354</v>
      </c>
      <c r="D361" s="5">
        <f ca="1">S0*EXP((μ-0.5*σ*σ)*T+σ*SQRT(T)*$C361)</f>
        <v>0.77506035759012215</v>
      </c>
      <c r="E361" s="5">
        <f ca="1">MAX(0,CP*(D361-K))</f>
        <v>0</v>
      </c>
      <c r="F361" s="4">
        <f ca="1">(CP*(D361-K)&gt;0)*1</f>
        <v>0</v>
      </c>
      <c r="H361" s="4">
        <v>346</v>
      </c>
      <c r="I361" s="3">
        <v>0.66773372709009327</v>
      </c>
      <c r="J361" s="128">
        <v>1.3025274342913474E-3</v>
      </c>
      <c r="K361" s="128"/>
      <c r="L361" s="128">
        <v>4.1399999999999999E-2</v>
      </c>
      <c r="O361" s="2"/>
    </row>
    <row r="362" spans="2:15" x14ac:dyDescent="0.2">
      <c r="B362" s="1">
        <v>347</v>
      </c>
      <c r="C362" s="5">
        <f ca="1">_xlfn.NORM.S.INV(RAND())</f>
        <v>-0.27091983466241459</v>
      </c>
      <c r="D362" s="5">
        <f ca="1">S0*EXP((μ-0.5*σ*σ)*T+σ*SQRT(T)*$C362)</f>
        <v>0.64699214000474048</v>
      </c>
      <c r="E362" s="5">
        <f ca="1">MAX(0,CP*(D362-K))</f>
        <v>0</v>
      </c>
      <c r="F362" s="4">
        <f ca="1">(CP*(D362-K)&gt;0)*1</f>
        <v>0</v>
      </c>
      <c r="H362" s="4">
        <v>347</v>
      </c>
      <c r="I362" s="3">
        <v>0.66769353683737076</v>
      </c>
      <c r="J362" s="128">
        <v>1.2613741636242257E-3</v>
      </c>
      <c r="K362" s="128"/>
      <c r="L362" s="128">
        <v>4.02E-2</v>
      </c>
      <c r="O362" s="2"/>
    </row>
    <row r="363" spans="2:15" x14ac:dyDescent="0.2">
      <c r="B363" s="1">
        <v>348</v>
      </c>
      <c r="C363" s="5">
        <f ca="1">_xlfn.NORM.S.INV(RAND())</f>
        <v>-0.31155424592418179</v>
      </c>
      <c r="D363" s="5">
        <f ca="1">S0*EXP((μ-0.5*σ*σ)*T+σ*SQRT(T)*$C363)</f>
        <v>0.64440544582401926</v>
      </c>
      <c r="E363" s="5">
        <f ca="1">MAX(0,CP*(D363-K))</f>
        <v>0</v>
      </c>
      <c r="F363" s="4">
        <f ca="1">(CP*(D363-K)&gt;0)*1</f>
        <v>0</v>
      </c>
      <c r="H363" s="4">
        <v>348</v>
      </c>
      <c r="I363" s="3">
        <v>0.66791662107896754</v>
      </c>
      <c r="J363" s="128">
        <v>1.5856853057429547E-3</v>
      </c>
      <c r="K363" s="128"/>
      <c r="L363" s="128">
        <v>4.3200000000000002E-2</v>
      </c>
      <c r="O363" s="2"/>
    </row>
    <row r="364" spans="2:15" x14ac:dyDescent="0.2">
      <c r="B364" s="1">
        <v>349</v>
      </c>
      <c r="C364" s="5">
        <f ca="1">_xlfn.NORM.S.INV(RAND())</f>
        <v>-1.4480780484201163</v>
      </c>
      <c r="D364" s="5">
        <f ca="1">S0*EXP((μ-0.5*σ*σ)*T+σ*SQRT(T)*$C364)</f>
        <v>0.57609990755755847</v>
      </c>
      <c r="E364" s="5">
        <f ca="1">MAX(0,CP*(D364-K))</f>
        <v>0</v>
      </c>
      <c r="F364" s="4">
        <f ca="1">(CP*(D364-K)&gt;0)*1</f>
        <v>0</v>
      </c>
      <c r="H364" s="4">
        <v>349</v>
      </c>
      <c r="I364" s="3">
        <v>0.66779985270209175</v>
      </c>
      <c r="J364" s="128">
        <v>1.4887494396494507E-3</v>
      </c>
      <c r="K364" s="128"/>
      <c r="L364" s="128">
        <v>4.3400000000000001E-2</v>
      </c>
      <c r="O364" s="2"/>
    </row>
    <row r="365" spans="2:15" x14ac:dyDescent="0.2">
      <c r="B365" s="1">
        <v>350</v>
      </c>
      <c r="C365" s="5">
        <f ca="1">_xlfn.NORM.S.INV(RAND())</f>
        <v>1.018951630697716</v>
      </c>
      <c r="D365" s="5">
        <f ca="1">S0*EXP((μ-0.5*σ*σ)*T+σ*SQRT(T)*$C365)</f>
        <v>0.73472722664570911</v>
      </c>
      <c r="E365" s="5">
        <f ca="1">MAX(0,CP*(D365-K))</f>
        <v>0</v>
      </c>
      <c r="F365" s="4">
        <f ca="1">(CP*(D365-K)&gt;0)*1</f>
        <v>0</v>
      </c>
      <c r="H365" s="4">
        <v>350</v>
      </c>
      <c r="I365" s="3">
        <v>0.66759574334314076</v>
      </c>
      <c r="J365" s="128">
        <v>1.236403594132984E-3</v>
      </c>
      <c r="K365" s="128"/>
      <c r="L365" s="128">
        <v>3.7999999999999999E-2</v>
      </c>
      <c r="O365" s="2"/>
    </row>
    <row r="366" spans="2:15" x14ac:dyDescent="0.2">
      <c r="B366" s="1">
        <v>351</v>
      </c>
      <c r="C366" s="5">
        <f ca="1">_xlfn.NORM.S.INV(RAND())</f>
        <v>0.4985876286043377</v>
      </c>
      <c r="D366" s="5">
        <f ca="1">S0*EXP((μ-0.5*σ*σ)*T+σ*SQRT(T)*$C366)</f>
        <v>0.69798522841490696</v>
      </c>
      <c r="E366" s="5">
        <f ca="1">MAX(0,CP*(D366-K))</f>
        <v>0</v>
      </c>
      <c r="F366" s="4">
        <f ca="1">(CP*(D366-K)&gt;0)*1</f>
        <v>0</v>
      </c>
      <c r="H366" s="4">
        <v>351</v>
      </c>
      <c r="I366" s="3">
        <v>0.66772201179072377</v>
      </c>
      <c r="J366" s="128">
        <v>1.4399417912930857E-3</v>
      </c>
      <c r="K366" s="128"/>
      <c r="L366" s="128">
        <v>4.1000000000000002E-2</v>
      </c>
      <c r="O366" s="2"/>
    </row>
    <row r="367" spans="2:15" x14ac:dyDescent="0.2">
      <c r="B367" s="1">
        <v>352</v>
      </c>
      <c r="C367" s="5">
        <f ca="1">_xlfn.NORM.S.INV(RAND())</f>
        <v>0.71988832555504623</v>
      </c>
      <c r="D367" s="5">
        <f ca="1">S0*EXP((μ-0.5*σ*σ)*T+σ*SQRT(T)*$C367)</f>
        <v>0.71338084022309156</v>
      </c>
      <c r="E367" s="5">
        <f ca="1">MAX(0,CP*(D367-K))</f>
        <v>0</v>
      </c>
      <c r="F367" s="4">
        <f ca="1">(CP*(D367-K)&gt;0)*1</f>
        <v>0</v>
      </c>
      <c r="H367" s="4">
        <v>352</v>
      </c>
      <c r="I367" s="3">
        <v>0.66781382751386187</v>
      </c>
      <c r="J367" s="128">
        <v>1.3560942628241175E-3</v>
      </c>
      <c r="K367" s="128"/>
      <c r="L367" s="128">
        <v>4.1399999999999999E-2</v>
      </c>
      <c r="O367" s="2"/>
    </row>
    <row r="368" spans="2:15" x14ac:dyDescent="0.2">
      <c r="B368" s="1">
        <v>353</v>
      </c>
      <c r="C368" s="5">
        <f ca="1">_xlfn.NORM.S.INV(RAND())</f>
        <v>-0.99286103921276736</v>
      </c>
      <c r="D368" s="5">
        <f ca="1">S0*EXP((μ-0.5*σ*σ)*T+σ*SQRT(T)*$C368)</f>
        <v>0.60254345629681583</v>
      </c>
      <c r="E368" s="5">
        <f ca="1">MAX(0,CP*(D368-K))</f>
        <v>0</v>
      </c>
      <c r="F368" s="4">
        <f ca="1">(CP*(D368-K)&gt;0)*1</f>
        <v>0</v>
      </c>
      <c r="H368" s="4">
        <v>353</v>
      </c>
      <c r="I368" s="3">
        <v>0.66769917757350294</v>
      </c>
      <c r="J368" s="128">
        <v>1.3768232320866122E-3</v>
      </c>
      <c r="K368" s="128"/>
      <c r="L368" s="128">
        <v>3.9800000000000002E-2</v>
      </c>
      <c r="O368" s="2"/>
    </row>
    <row r="369" spans="2:15" x14ac:dyDescent="0.2">
      <c r="B369" s="1">
        <v>354</v>
      </c>
      <c r="C369" s="5">
        <f ca="1">_xlfn.NORM.S.INV(RAND())</f>
        <v>0.48353053375467381</v>
      </c>
      <c r="D369" s="5">
        <f ca="1">S0*EXP((μ-0.5*σ*σ)*T+σ*SQRT(T)*$C369)</f>
        <v>0.69694987925361518</v>
      </c>
      <c r="E369" s="5">
        <f ca="1">MAX(0,CP*(D369-K))</f>
        <v>0</v>
      </c>
      <c r="F369" s="4">
        <f ca="1">(CP*(D369-K)&gt;0)*1</f>
        <v>0</v>
      </c>
      <c r="H369" s="4">
        <v>354</v>
      </c>
      <c r="I369" s="3">
        <v>0.66764440016053905</v>
      </c>
      <c r="J369" s="128">
        <v>1.1812451085862485E-3</v>
      </c>
      <c r="K369" s="128"/>
      <c r="L369" s="128">
        <v>0.04</v>
      </c>
      <c r="O369" s="2"/>
    </row>
    <row r="370" spans="2:15" x14ac:dyDescent="0.2">
      <c r="B370" s="1">
        <v>355</v>
      </c>
      <c r="C370" s="5">
        <f ca="1">_xlfn.NORM.S.INV(RAND())</f>
        <v>-0.69231144631625408</v>
      </c>
      <c r="D370" s="5">
        <f ca="1">S0*EXP((μ-0.5*σ*σ)*T+σ*SQRT(T)*$C370)</f>
        <v>0.6206642113915003</v>
      </c>
      <c r="E370" s="5">
        <f ca="1">MAX(0,CP*(D370-K))</f>
        <v>0</v>
      </c>
      <c r="F370" s="4">
        <f ca="1">(CP*(D370-K)&gt;0)*1</f>
        <v>0</v>
      </c>
      <c r="H370" s="4">
        <v>355</v>
      </c>
      <c r="I370" s="3">
        <v>0.66757936073083879</v>
      </c>
      <c r="J370" s="128">
        <v>1.2582415464900323E-3</v>
      </c>
      <c r="K370" s="128"/>
      <c r="L370" s="128">
        <v>4.0599999999999997E-2</v>
      </c>
      <c r="O370" s="2"/>
    </row>
    <row r="371" spans="2:15" x14ac:dyDescent="0.2">
      <c r="B371" s="1">
        <v>356</v>
      </c>
      <c r="C371" s="5">
        <f ca="1">_xlfn.NORM.S.INV(RAND())</f>
        <v>-0.35248788010493437</v>
      </c>
      <c r="D371" s="5">
        <f ca="1">S0*EXP((μ-0.5*σ*σ)*T+σ*SQRT(T)*$C371)</f>
        <v>0.64181015988320089</v>
      </c>
      <c r="E371" s="5">
        <f ca="1">MAX(0,CP*(D371-K))</f>
        <v>0</v>
      </c>
      <c r="F371" s="4">
        <f ca="1">(CP*(D371-K)&gt;0)*1</f>
        <v>0</v>
      </c>
      <c r="H371" s="4">
        <v>356</v>
      </c>
      <c r="I371" s="3">
        <v>0.66764949618923597</v>
      </c>
      <c r="J371" s="128">
        <v>1.2389698325944959E-3</v>
      </c>
      <c r="K371" s="128"/>
      <c r="L371" s="128">
        <v>3.7199999999999997E-2</v>
      </c>
      <c r="O371" s="2"/>
    </row>
    <row r="372" spans="2:15" x14ac:dyDescent="0.2">
      <c r="B372" s="1">
        <v>357</v>
      </c>
      <c r="C372" s="5">
        <f ca="1">_xlfn.NORM.S.INV(RAND())</f>
        <v>0.66477694880614069</v>
      </c>
      <c r="D372" s="5">
        <f ca="1">S0*EXP((μ-0.5*σ*σ)*T+σ*SQRT(T)*$C372)</f>
        <v>0.70951534508008851</v>
      </c>
      <c r="E372" s="5">
        <f ca="1">MAX(0,CP*(D372-K))</f>
        <v>0</v>
      </c>
      <c r="F372" s="4">
        <f ca="1">(CP*(D372-K)&gt;0)*1</f>
        <v>0</v>
      </c>
      <c r="H372" s="4">
        <v>357</v>
      </c>
      <c r="I372" s="3">
        <v>0.66782555737485405</v>
      </c>
      <c r="J372" s="128">
        <v>1.6085125261861297E-3</v>
      </c>
      <c r="K372" s="128"/>
      <c r="L372" s="128">
        <v>4.3799999999999999E-2</v>
      </c>
      <c r="O372" s="2"/>
    </row>
    <row r="373" spans="2:15" x14ac:dyDescent="0.2">
      <c r="B373" s="1">
        <v>358</v>
      </c>
      <c r="C373" s="5">
        <f ca="1">_xlfn.NORM.S.INV(RAND())</f>
        <v>-0.47417502866233191</v>
      </c>
      <c r="D373" s="5">
        <f ca="1">S0*EXP((μ-0.5*σ*σ)*T+σ*SQRT(T)*$C373)</f>
        <v>0.63415647550061727</v>
      </c>
      <c r="E373" s="5">
        <f ca="1">MAX(0,CP*(D373-K))</f>
        <v>0</v>
      </c>
      <c r="F373" s="4">
        <f ca="1">(CP*(D373-K)&gt;0)*1</f>
        <v>0</v>
      </c>
      <c r="H373" s="4">
        <v>358</v>
      </c>
      <c r="I373" s="3">
        <v>0.66773814663679365</v>
      </c>
      <c r="J373" s="128">
        <v>1.3829000504623585E-3</v>
      </c>
      <c r="K373" s="128"/>
      <c r="L373" s="128">
        <v>3.9399999999999998E-2</v>
      </c>
      <c r="O373" s="2"/>
    </row>
    <row r="374" spans="2:15" x14ac:dyDescent="0.2">
      <c r="B374" s="1">
        <v>359</v>
      </c>
      <c r="C374" s="5">
        <f ca="1">_xlfn.NORM.S.INV(RAND())</f>
        <v>-1.1948300388019215</v>
      </c>
      <c r="D374" s="5">
        <f ca="1">S0*EXP((μ-0.5*σ*σ)*T+σ*SQRT(T)*$C374)</f>
        <v>0.5906645014429297</v>
      </c>
      <c r="E374" s="5">
        <f ca="1">MAX(0,CP*(D374-K))</f>
        <v>0</v>
      </c>
      <c r="F374" s="4">
        <f ca="1">(CP*(D374-K)&gt;0)*1</f>
        <v>0</v>
      </c>
      <c r="H374" s="4">
        <v>359</v>
      </c>
      <c r="I374" s="3">
        <v>0.66784643372703589</v>
      </c>
      <c r="J374" s="128">
        <v>1.4995166939178908E-3</v>
      </c>
      <c r="K374" s="128"/>
      <c r="L374" s="128">
        <v>4.3400000000000001E-2</v>
      </c>
      <c r="O374" s="2"/>
    </row>
    <row r="375" spans="2:15" x14ac:dyDescent="0.2">
      <c r="B375" s="1">
        <v>360</v>
      </c>
      <c r="C375" s="5">
        <f ca="1">_xlfn.NORM.S.INV(RAND())</f>
        <v>-2.9305383031292687</v>
      </c>
      <c r="D375" s="5">
        <f ca="1">S0*EXP((μ-0.5*σ*σ)*T+σ*SQRT(T)*$C375)</f>
        <v>0.49776550407149789</v>
      </c>
      <c r="E375" s="5">
        <f ca="1">MAX(0,CP*(D375-K))</f>
        <v>0</v>
      </c>
      <c r="F375" s="4">
        <f ca="1">(CP*(D375-K)&gt;0)*1</f>
        <v>0</v>
      </c>
      <c r="H375" s="4">
        <v>360</v>
      </c>
      <c r="I375" s="3">
        <v>0.66781708350903879</v>
      </c>
      <c r="J375" s="128">
        <v>1.4567758478961736E-3</v>
      </c>
      <c r="K375" s="128"/>
      <c r="L375" s="128">
        <v>4.3200000000000002E-2</v>
      </c>
      <c r="O375" s="2"/>
    </row>
    <row r="376" spans="2:15" x14ac:dyDescent="0.2">
      <c r="B376" s="1">
        <v>361</v>
      </c>
      <c r="C376" s="5">
        <f ca="1">_xlfn.NORM.S.INV(RAND())</f>
        <v>0.60991162857090575</v>
      </c>
      <c r="D376" s="5">
        <f ca="1">S0*EXP((μ-0.5*σ*σ)*T+σ*SQRT(T)*$C376)</f>
        <v>0.70568791377766094</v>
      </c>
      <c r="E376" s="5">
        <f ca="1">MAX(0,CP*(D376-K))</f>
        <v>0</v>
      </c>
      <c r="F376" s="4">
        <f ca="1">(CP*(D376-K)&gt;0)*1</f>
        <v>0</v>
      </c>
      <c r="H376" s="4">
        <v>361</v>
      </c>
      <c r="I376" s="3">
        <v>0.66772830852894227</v>
      </c>
      <c r="J376" s="128">
        <v>1.3934226944614259E-3</v>
      </c>
      <c r="K376" s="128"/>
      <c r="L376" s="128">
        <v>3.6600000000000001E-2</v>
      </c>
      <c r="O376" s="2"/>
    </row>
    <row r="377" spans="2:15" x14ac:dyDescent="0.2">
      <c r="B377" s="1">
        <v>362</v>
      </c>
      <c r="C377" s="5">
        <f ca="1">_xlfn.NORM.S.INV(RAND())</f>
        <v>1.0725441728185912</v>
      </c>
      <c r="D377" s="5">
        <f ca="1">S0*EXP((μ-0.5*σ*σ)*T+σ*SQRT(T)*$C377)</f>
        <v>0.73861947036351849</v>
      </c>
      <c r="E377" s="5">
        <f ca="1">MAX(0,CP*(D377-K))</f>
        <v>0</v>
      </c>
      <c r="F377" s="4">
        <f ca="1">(CP*(D377-K)&gt;0)*1</f>
        <v>0</v>
      </c>
      <c r="H377" s="4">
        <v>362</v>
      </c>
      <c r="I377" s="3">
        <v>0.66769102433725402</v>
      </c>
      <c r="J377" s="128">
        <v>1.3826506026029706E-3</v>
      </c>
      <c r="K377" s="128"/>
      <c r="L377" s="128">
        <v>4.2200000000000001E-2</v>
      </c>
      <c r="O377" s="2"/>
    </row>
    <row r="378" spans="2:15" x14ac:dyDescent="0.2">
      <c r="B378" s="1">
        <v>363</v>
      </c>
      <c r="C378" s="5">
        <f ca="1">_xlfn.NORM.S.INV(RAND())</f>
        <v>-2.1730167041571082</v>
      </c>
      <c r="D378" s="5">
        <f ca="1">S0*EXP((μ-0.5*σ*σ)*T+σ*SQRT(T)*$C378)</f>
        <v>0.53636303101992433</v>
      </c>
      <c r="E378" s="5">
        <f ca="1">MAX(0,CP*(D378-K))</f>
        <v>0</v>
      </c>
      <c r="F378" s="4">
        <f ca="1">(CP*(D378-K)&gt;0)*1</f>
        <v>0</v>
      </c>
      <c r="H378" s="4">
        <v>363</v>
      </c>
      <c r="I378" s="3">
        <v>0.66778850498701292</v>
      </c>
      <c r="J378" s="128">
        <v>1.5110051750710984E-3</v>
      </c>
      <c r="K378" s="128"/>
      <c r="L378" s="128">
        <v>4.4400000000000002E-2</v>
      </c>
      <c r="O378" s="2"/>
    </row>
    <row r="379" spans="2:15" x14ac:dyDescent="0.2">
      <c r="B379" s="1">
        <v>364</v>
      </c>
      <c r="C379" s="5">
        <f ca="1">_xlfn.NORM.S.INV(RAND())</f>
        <v>-0.36993293568073976</v>
      </c>
      <c r="D379" s="5">
        <f ca="1">S0*EXP((μ-0.5*σ*σ)*T+σ*SQRT(T)*$C379)</f>
        <v>0.64070728243718866</v>
      </c>
      <c r="E379" s="5">
        <f ca="1">MAX(0,CP*(D379-K))</f>
        <v>0</v>
      </c>
      <c r="F379" s="4">
        <f ca="1">(CP*(D379-K)&gt;0)*1</f>
        <v>0</v>
      </c>
      <c r="H379" s="4">
        <v>364</v>
      </c>
      <c r="I379" s="3">
        <v>0.66771829343821087</v>
      </c>
      <c r="J379" s="128">
        <v>1.3358155701320067E-3</v>
      </c>
      <c r="K379" s="128"/>
      <c r="L379" s="128">
        <v>4.3200000000000002E-2</v>
      </c>
      <c r="O379" s="2"/>
    </row>
    <row r="380" spans="2:15" x14ac:dyDescent="0.2">
      <c r="B380" s="1">
        <v>365</v>
      </c>
      <c r="C380" s="5">
        <f ca="1">_xlfn.NORM.S.INV(RAND())</f>
        <v>0.35028022017196098</v>
      </c>
      <c r="D380" s="5">
        <f ca="1">S0*EXP((μ-0.5*σ*σ)*T+σ*SQRT(T)*$C380)</f>
        <v>0.68785405609873429</v>
      </c>
      <c r="E380" s="5">
        <f ca="1">MAX(0,CP*(D380-K))</f>
        <v>0</v>
      </c>
      <c r="F380" s="4">
        <f ca="1">(CP*(D380-K)&gt;0)*1</f>
        <v>0</v>
      </c>
      <c r="H380" s="4">
        <v>365</v>
      </c>
      <c r="I380" s="3">
        <v>0.6678007794505022</v>
      </c>
      <c r="J380" s="128">
        <v>1.5077660695184925E-3</v>
      </c>
      <c r="K380" s="128"/>
      <c r="L380" s="128">
        <v>4.2999999999999997E-2</v>
      </c>
      <c r="O380" s="2"/>
    </row>
    <row r="381" spans="2:15" x14ac:dyDescent="0.2">
      <c r="B381" s="1">
        <v>366</v>
      </c>
      <c r="C381" s="5">
        <f ca="1">_xlfn.NORM.S.INV(RAND())</f>
        <v>1.0949987442471267</v>
      </c>
      <c r="D381" s="5">
        <f ca="1">S0*EXP((μ-0.5*σ*σ)*T+σ*SQRT(T)*$C381)</f>
        <v>0.74025639256393028</v>
      </c>
      <c r="E381" s="5">
        <f ca="1">MAX(0,CP*(D381-K))</f>
        <v>0</v>
      </c>
      <c r="F381" s="4">
        <f ca="1">(CP*(D381-K)&gt;0)*1</f>
        <v>0</v>
      </c>
      <c r="H381" s="4">
        <v>366</v>
      </c>
      <c r="I381" s="3">
        <v>0.66781211707216703</v>
      </c>
      <c r="J381" s="128">
        <v>1.5185749715643283E-3</v>
      </c>
      <c r="K381" s="128"/>
      <c r="L381" s="128">
        <v>4.1200000000000001E-2</v>
      </c>
      <c r="O381" s="2"/>
    </row>
    <row r="382" spans="2:15" x14ac:dyDescent="0.2">
      <c r="B382" s="1">
        <v>367</v>
      </c>
      <c r="C382" s="5">
        <f ca="1">_xlfn.NORM.S.INV(RAND())</f>
        <v>-0.7903555733951152</v>
      </c>
      <c r="D382" s="5">
        <f ca="1">S0*EXP((μ-0.5*σ*σ)*T+σ*SQRT(T)*$C382)</f>
        <v>0.61469382043268506</v>
      </c>
      <c r="E382" s="5">
        <f ca="1">MAX(0,CP*(D382-K))</f>
        <v>0</v>
      </c>
      <c r="F382" s="4">
        <f ca="1">(CP*(D382-K)&gt;0)*1</f>
        <v>0</v>
      </c>
      <c r="H382" s="4">
        <v>367</v>
      </c>
      <c r="I382" s="3">
        <v>0.66774980162387354</v>
      </c>
      <c r="J382" s="128">
        <v>1.3246500378706835E-3</v>
      </c>
      <c r="K382" s="128"/>
      <c r="L382" s="128">
        <v>4.0800000000000003E-2</v>
      </c>
      <c r="O382" s="2"/>
    </row>
    <row r="383" spans="2:15" x14ac:dyDescent="0.2">
      <c r="B383" s="1">
        <v>368</v>
      </c>
      <c r="C383" s="5">
        <f ca="1">_xlfn.NORM.S.INV(RAND())</f>
        <v>0.21757085443517607</v>
      </c>
      <c r="D383" s="5">
        <f ca="1">S0*EXP((μ-0.5*σ*σ)*T+σ*SQRT(T)*$C383)</f>
        <v>0.67891314755590459</v>
      </c>
      <c r="E383" s="5">
        <f ca="1">MAX(0,CP*(D383-K))</f>
        <v>0</v>
      </c>
      <c r="F383" s="4">
        <f ca="1">(CP*(D383-K)&gt;0)*1</f>
        <v>0</v>
      </c>
      <c r="H383" s="4">
        <v>368</v>
      </c>
      <c r="I383" s="3">
        <v>0.66781859238511532</v>
      </c>
      <c r="J383" s="128">
        <v>1.5439306085084661E-3</v>
      </c>
      <c r="K383" s="128"/>
      <c r="L383" s="128">
        <v>4.3200000000000002E-2</v>
      </c>
      <c r="O383" s="2"/>
    </row>
    <row r="384" spans="2:15" x14ac:dyDescent="0.2">
      <c r="B384" s="1">
        <v>369</v>
      </c>
      <c r="C384" s="5">
        <f ca="1">_xlfn.NORM.S.INV(RAND())</f>
        <v>-0.44740073126553098</v>
      </c>
      <c r="D384" s="5">
        <f ca="1">S0*EXP((μ-0.5*σ*σ)*T+σ*SQRT(T)*$C384)</f>
        <v>0.63583261262476087</v>
      </c>
      <c r="E384" s="5">
        <f ca="1">MAX(0,CP*(D384-K))</f>
        <v>0</v>
      </c>
      <c r="F384" s="4">
        <f ca="1">(CP*(D384-K)&gt;0)*1</f>
        <v>0</v>
      </c>
      <c r="H384" s="4">
        <v>369</v>
      </c>
      <c r="I384" s="3">
        <v>0.66766648552908903</v>
      </c>
      <c r="J384" s="128">
        <v>1.2712839164276E-3</v>
      </c>
      <c r="K384" s="128"/>
      <c r="L384" s="128">
        <v>4.1000000000000002E-2</v>
      </c>
      <c r="O384" s="2"/>
    </row>
    <row r="385" spans="2:15" x14ac:dyDescent="0.2">
      <c r="B385" s="1">
        <v>370</v>
      </c>
      <c r="C385" s="5">
        <f ca="1">_xlfn.NORM.S.INV(RAND())</f>
        <v>-0.66792340781973658</v>
      </c>
      <c r="D385" s="5">
        <f ca="1">S0*EXP((μ-0.5*σ*σ)*T+σ*SQRT(T)*$C385)</f>
        <v>0.62215830394073335</v>
      </c>
      <c r="E385" s="5">
        <f ca="1">MAX(0,CP*(D385-K))</f>
        <v>0</v>
      </c>
      <c r="F385" s="4">
        <f ca="1">(CP*(D385-K)&gt;0)*1</f>
        <v>0</v>
      </c>
      <c r="H385" s="4">
        <v>370</v>
      </c>
      <c r="I385" s="3">
        <v>0.66779582608238086</v>
      </c>
      <c r="J385" s="128">
        <v>1.4089406863895064E-3</v>
      </c>
      <c r="K385" s="128"/>
      <c r="L385" s="128">
        <v>4.1599999999999998E-2</v>
      </c>
      <c r="O385" s="2"/>
    </row>
    <row r="386" spans="2:15" x14ac:dyDescent="0.2">
      <c r="B386" s="1">
        <v>371</v>
      </c>
      <c r="C386" s="5">
        <f ca="1">_xlfn.NORM.S.INV(RAND())</f>
        <v>-0.55517693758048126</v>
      </c>
      <c r="D386" s="5">
        <f ca="1">S0*EXP((μ-0.5*σ*σ)*T+σ*SQRT(T)*$C386)</f>
        <v>0.62911241286195763</v>
      </c>
      <c r="E386" s="5">
        <f ca="1">MAX(0,CP*(D386-K))</f>
        <v>0</v>
      </c>
      <c r="F386" s="4">
        <f ca="1">(CP*(D386-K)&gt;0)*1</f>
        <v>0</v>
      </c>
      <c r="H386" s="4">
        <v>371</v>
      </c>
      <c r="I386" s="3">
        <v>0.66769172316130654</v>
      </c>
      <c r="J386" s="128">
        <v>1.261631637180405E-3</v>
      </c>
      <c r="K386" s="128"/>
      <c r="L386" s="128">
        <v>4.02E-2</v>
      </c>
      <c r="O386" s="2"/>
    </row>
    <row r="387" spans="2:15" x14ac:dyDescent="0.2">
      <c r="B387" s="1">
        <v>372</v>
      </c>
      <c r="C387" s="5">
        <f ca="1">_xlfn.NORM.S.INV(RAND())</f>
        <v>-0.53917194403413449</v>
      </c>
      <c r="D387" s="5">
        <f ca="1">S0*EXP((μ-0.5*σ*σ)*T+σ*SQRT(T)*$C387)</f>
        <v>0.63010586776623834</v>
      </c>
      <c r="E387" s="5">
        <f ca="1">MAX(0,CP*(D387-K))</f>
        <v>0</v>
      </c>
      <c r="F387" s="4">
        <f ca="1">(CP*(D387-K)&gt;0)*1</f>
        <v>0</v>
      </c>
      <c r="H387" s="4">
        <v>372</v>
      </c>
      <c r="I387" s="3">
        <v>0.66779167249082105</v>
      </c>
      <c r="J387" s="128">
        <v>1.4281563431899074E-3</v>
      </c>
      <c r="K387" s="128"/>
      <c r="L387" s="128">
        <v>4.1399999999999999E-2</v>
      </c>
      <c r="O387" s="2"/>
    </row>
    <row r="388" spans="2:15" x14ac:dyDescent="0.2">
      <c r="B388" s="1">
        <v>373</v>
      </c>
      <c r="C388" s="5">
        <f ca="1">_xlfn.NORM.S.INV(RAND())</f>
        <v>-0.44797832143153155</v>
      </c>
      <c r="D388" s="5">
        <f ca="1">S0*EXP((μ-0.5*σ*σ)*T+σ*SQRT(T)*$C388)</f>
        <v>0.63579640734184006</v>
      </c>
      <c r="E388" s="5">
        <f ca="1">MAX(0,CP*(D388-K))</f>
        <v>0</v>
      </c>
      <c r="F388" s="4">
        <f ca="1">(CP*(D388-K)&gt;0)*1</f>
        <v>0</v>
      </c>
      <c r="H388" s="4">
        <v>373</v>
      </c>
      <c r="I388" s="3">
        <v>0.6678142740972991</v>
      </c>
      <c r="J388" s="128">
        <v>1.3787116763526426E-3</v>
      </c>
      <c r="K388" s="128"/>
      <c r="L388" s="128">
        <v>0.04</v>
      </c>
      <c r="O388" s="2"/>
    </row>
    <row r="389" spans="2:15" x14ac:dyDescent="0.2">
      <c r="B389" s="1">
        <v>374</v>
      </c>
      <c r="C389" s="5">
        <f ca="1">_xlfn.NORM.S.INV(RAND())</f>
        <v>6.2241557591158583E-2</v>
      </c>
      <c r="D389" s="5">
        <f ca="1">S0*EXP((μ-0.5*σ*σ)*T+σ*SQRT(T)*$C389)</f>
        <v>0.6685957950204211</v>
      </c>
      <c r="E389" s="5">
        <f ca="1">MAX(0,CP*(D389-K))</f>
        <v>0</v>
      </c>
      <c r="F389" s="4">
        <f ca="1">(CP*(D389-K)&gt;0)*1</f>
        <v>0</v>
      </c>
      <c r="H389" s="4">
        <v>374</v>
      </c>
      <c r="I389" s="3">
        <v>0.66753018892384619</v>
      </c>
      <c r="J389" s="128">
        <v>1.0865735780211218E-3</v>
      </c>
      <c r="K389" s="128"/>
      <c r="L389" s="128">
        <v>3.6999999999999998E-2</v>
      </c>
      <c r="O389" s="2"/>
    </row>
    <row r="390" spans="2:15" x14ac:dyDescent="0.2">
      <c r="B390" s="1">
        <v>375</v>
      </c>
      <c r="C390" s="5">
        <f ca="1">_xlfn.NORM.S.INV(RAND())</f>
        <v>0.40452142771472566</v>
      </c>
      <c r="D390" s="5">
        <f ca="1">S0*EXP((μ-0.5*σ*σ)*T+σ*SQRT(T)*$C390)</f>
        <v>0.69154221042766195</v>
      </c>
      <c r="E390" s="5">
        <f ca="1">MAX(0,CP*(D390-K))</f>
        <v>0</v>
      </c>
      <c r="F390" s="4">
        <f ca="1">(CP*(D390-K)&gt;0)*1</f>
        <v>0</v>
      </c>
      <c r="H390" s="4">
        <v>375</v>
      </c>
      <c r="I390" s="3">
        <v>0.66769102636408972</v>
      </c>
      <c r="J390" s="128">
        <v>1.3914487751568877E-3</v>
      </c>
      <c r="K390" s="128"/>
      <c r="L390" s="128">
        <v>3.9399999999999998E-2</v>
      </c>
      <c r="O390" s="2"/>
    </row>
    <row r="391" spans="2:15" x14ac:dyDescent="0.2">
      <c r="B391" s="1">
        <v>376</v>
      </c>
      <c r="C391" s="5">
        <f ca="1">_xlfn.NORM.S.INV(RAND())</f>
        <v>-0.85157188602337452</v>
      </c>
      <c r="D391" s="5">
        <f ca="1">S0*EXP((μ-0.5*σ*σ)*T+σ*SQRT(T)*$C391)</f>
        <v>0.61099521609707719</v>
      </c>
      <c r="E391" s="5">
        <f ca="1">MAX(0,CP*(D391-K))</f>
        <v>0</v>
      </c>
      <c r="F391" s="4">
        <f ca="1">(CP*(D391-K)&gt;0)*1</f>
        <v>0</v>
      </c>
      <c r="H391" s="4">
        <v>376</v>
      </c>
      <c r="I391" s="3">
        <v>0.66776697196373425</v>
      </c>
      <c r="J391" s="128">
        <v>1.2726040810933713E-3</v>
      </c>
      <c r="K391" s="128"/>
      <c r="L391" s="128">
        <v>3.9600000000000003E-2</v>
      </c>
      <c r="O391" s="2"/>
    </row>
    <row r="392" spans="2:15" x14ac:dyDescent="0.2">
      <c r="B392" s="1">
        <v>377</v>
      </c>
      <c r="C392" s="5">
        <f ca="1">_xlfn.NORM.S.INV(RAND())</f>
        <v>-0.2487369253876556</v>
      </c>
      <c r="D392" s="5">
        <f ca="1">S0*EXP((μ-0.5*σ*σ)*T+σ*SQRT(T)*$C392)</f>
        <v>0.64840863226678358</v>
      </c>
      <c r="E392" s="5">
        <f ca="1">MAX(0,CP*(D392-K))</f>
        <v>0</v>
      </c>
      <c r="F392" s="4">
        <f ca="1">(CP*(D392-K)&gt;0)*1</f>
        <v>0</v>
      </c>
      <c r="H392" s="4">
        <v>377</v>
      </c>
      <c r="I392" s="3">
        <v>0.66788008973579482</v>
      </c>
      <c r="J392" s="128">
        <v>1.5760345714386519E-3</v>
      </c>
      <c r="K392" s="128"/>
      <c r="L392" s="128">
        <v>4.4600000000000001E-2</v>
      </c>
      <c r="O392" s="2"/>
    </row>
    <row r="393" spans="2:15" x14ac:dyDescent="0.2">
      <c r="B393" s="1">
        <v>378</v>
      </c>
      <c r="C393" s="5">
        <f ca="1">_xlfn.NORM.S.INV(RAND())</f>
        <v>0.66403102379678014</v>
      </c>
      <c r="D393" s="5">
        <f ca="1">S0*EXP((μ-0.5*σ*σ)*T+σ*SQRT(T)*$C393)</f>
        <v>0.70946317004943171</v>
      </c>
      <c r="E393" s="5">
        <f ca="1">MAX(0,CP*(D393-K))</f>
        <v>0</v>
      </c>
      <c r="F393" s="4">
        <f ca="1">(CP*(D393-K)&gt;0)*1</f>
        <v>0</v>
      </c>
      <c r="H393" s="4">
        <v>378</v>
      </c>
      <c r="I393" s="3">
        <v>0.66771921340449414</v>
      </c>
      <c r="J393" s="128">
        <v>1.3447618529424208E-3</v>
      </c>
      <c r="K393" s="128"/>
      <c r="L393" s="128">
        <v>4.3400000000000001E-2</v>
      </c>
      <c r="O393" s="2"/>
    </row>
    <row r="394" spans="2:15" x14ac:dyDescent="0.2">
      <c r="B394" s="1">
        <v>379</v>
      </c>
      <c r="C394" s="5">
        <f ca="1">_xlfn.NORM.S.INV(RAND())</f>
        <v>-1.0653292477219032</v>
      </c>
      <c r="D394" s="5">
        <f ca="1">S0*EXP((μ-0.5*σ*σ)*T+σ*SQRT(T)*$C394)</f>
        <v>0.59825395163098039</v>
      </c>
      <c r="E394" s="5">
        <f ca="1">MAX(0,CP*(D394-K))</f>
        <v>0</v>
      </c>
      <c r="F394" s="4">
        <f ca="1">(CP*(D394-K)&gt;0)*1</f>
        <v>0</v>
      </c>
      <c r="H394" s="4">
        <v>379</v>
      </c>
      <c r="I394" s="3">
        <v>0.66782330266096557</v>
      </c>
      <c r="J394" s="128">
        <v>1.5766181444568565E-3</v>
      </c>
      <c r="K394" s="128"/>
      <c r="L394" s="128">
        <v>4.5999999999999999E-2</v>
      </c>
      <c r="O394" s="2"/>
    </row>
    <row r="395" spans="2:15" x14ac:dyDescent="0.2">
      <c r="B395" s="1">
        <v>380</v>
      </c>
      <c r="C395" s="5">
        <f ca="1">_xlfn.NORM.S.INV(RAND())</f>
        <v>-0.69438935231562282</v>
      </c>
      <c r="D395" s="5">
        <f ca="1">S0*EXP((μ-0.5*σ*σ)*T+σ*SQRT(T)*$C395)</f>
        <v>0.62053707793978308</v>
      </c>
      <c r="E395" s="5">
        <f ca="1">MAX(0,CP*(D395-K))</f>
        <v>0</v>
      </c>
      <c r="F395" s="4">
        <f ca="1">(CP*(D395-K)&gt;0)*1</f>
        <v>0</v>
      </c>
      <c r="H395" s="4">
        <v>380</v>
      </c>
      <c r="I395" s="3">
        <v>0.66774167449113886</v>
      </c>
      <c r="J395" s="128">
        <v>1.2907001640677105E-3</v>
      </c>
      <c r="K395" s="128"/>
      <c r="L395" s="128">
        <v>4.2000000000000003E-2</v>
      </c>
      <c r="O395" s="2"/>
    </row>
    <row r="396" spans="2:15" x14ac:dyDescent="0.2">
      <c r="B396" s="1">
        <v>381</v>
      </c>
      <c r="C396" s="5">
        <f ca="1">_xlfn.NORM.S.INV(RAND())</f>
        <v>-1.0108214512654001</v>
      </c>
      <c r="D396" s="5">
        <f ca="1">S0*EXP((μ-0.5*σ*σ)*T+σ*SQRT(T)*$C396)</f>
        <v>0.60147749373646364</v>
      </c>
      <c r="E396" s="5">
        <f ca="1">MAX(0,CP*(D396-K))</f>
        <v>0</v>
      </c>
      <c r="F396" s="4">
        <f ca="1">(CP*(D396-K)&gt;0)*1</f>
        <v>0</v>
      </c>
      <c r="H396" s="4">
        <v>381</v>
      </c>
      <c r="I396" s="3">
        <v>0.66753566105240747</v>
      </c>
      <c r="J396" s="128">
        <v>1.1596325027645761E-3</v>
      </c>
      <c r="K396" s="128"/>
      <c r="L396" s="128">
        <v>3.7199999999999997E-2</v>
      </c>
      <c r="O396" s="2"/>
    </row>
    <row r="397" spans="2:15" x14ac:dyDescent="0.2">
      <c r="B397" s="1">
        <v>382</v>
      </c>
      <c r="C397" s="5">
        <f ca="1">_xlfn.NORM.S.INV(RAND())</f>
        <v>-1.1297242547628421</v>
      </c>
      <c r="D397" s="5">
        <f ca="1">S0*EXP((μ-0.5*σ*σ)*T+σ*SQRT(T)*$C397)</f>
        <v>0.59446794253789637</v>
      </c>
      <c r="E397" s="5">
        <f ca="1">MAX(0,CP*(D397-K))</f>
        <v>0</v>
      </c>
      <c r="F397" s="4">
        <f ca="1">(CP*(D397-K)&gt;0)*1</f>
        <v>0</v>
      </c>
      <c r="H397" s="4">
        <v>382</v>
      </c>
      <c r="I397" s="3">
        <v>0.66770541881222789</v>
      </c>
      <c r="J397" s="128">
        <v>1.3312558009004559E-3</v>
      </c>
      <c r="K397" s="128"/>
      <c r="L397" s="128">
        <v>4.1799999999999997E-2</v>
      </c>
      <c r="O397" s="2"/>
    </row>
    <row r="398" spans="2:15" x14ac:dyDescent="0.2">
      <c r="B398" s="1">
        <v>383</v>
      </c>
      <c r="C398" s="5">
        <f ca="1">_xlfn.NORM.S.INV(RAND())</f>
        <v>0.15531165340800313</v>
      </c>
      <c r="D398" s="5">
        <f ca="1">S0*EXP((μ-0.5*σ*σ)*T+σ*SQRT(T)*$C398)</f>
        <v>0.67475875702495625</v>
      </c>
      <c r="E398" s="5">
        <f ca="1">MAX(0,CP*(D398-K))</f>
        <v>0</v>
      </c>
      <c r="F398" s="4">
        <f ca="1">(CP*(D398-K)&gt;0)*1</f>
        <v>0</v>
      </c>
      <c r="H398" s="4">
        <v>383</v>
      </c>
      <c r="I398" s="3">
        <v>0.66775024675678329</v>
      </c>
      <c r="J398" s="128">
        <v>1.3311224438748521E-3</v>
      </c>
      <c r="K398" s="128"/>
      <c r="L398" s="128">
        <v>4.1599999999999998E-2</v>
      </c>
      <c r="O398" s="2"/>
    </row>
    <row r="399" spans="2:15" x14ac:dyDescent="0.2">
      <c r="B399" s="1">
        <v>384</v>
      </c>
      <c r="C399" s="5">
        <f ca="1">_xlfn.NORM.S.INV(RAND())</f>
        <v>-0.65062964592297934</v>
      </c>
      <c r="D399" s="5">
        <f ca="1">S0*EXP((μ-0.5*σ*σ)*T+σ*SQRT(T)*$C399)</f>
        <v>0.62321995641248773</v>
      </c>
      <c r="E399" s="5">
        <f ca="1">MAX(0,CP*(D399-K))</f>
        <v>0</v>
      </c>
      <c r="F399" s="4">
        <f ca="1">(CP*(D399-K)&gt;0)*1</f>
        <v>0</v>
      </c>
      <c r="H399" s="4">
        <v>384</v>
      </c>
      <c r="I399" s="3">
        <v>0.66771100197185862</v>
      </c>
      <c r="J399" s="128">
        <v>1.3435717773092476E-3</v>
      </c>
      <c r="K399" s="128"/>
      <c r="L399" s="128">
        <v>4.3799999999999999E-2</v>
      </c>
      <c r="O399" s="2"/>
    </row>
    <row r="400" spans="2:15" x14ac:dyDescent="0.2">
      <c r="B400" s="1">
        <v>385</v>
      </c>
      <c r="C400" s="5">
        <f ca="1">_xlfn.NORM.S.INV(RAND())</f>
        <v>0.51627425829793827</v>
      </c>
      <c r="D400" s="5">
        <f ca="1">S0*EXP((μ-0.5*σ*σ)*T+σ*SQRT(T)*$C400)</f>
        <v>0.69920335304787762</v>
      </c>
      <c r="E400" s="5">
        <f ca="1">MAX(0,CP*(D400-K))</f>
        <v>0</v>
      </c>
      <c r="F400" s="4">
        <f ca="1">(CP*(D400-K)&gt;0)*1</f>
        <v>0</v>
      </c>
      <c r="H400" s="4">
        <v>385</v>
      </c>
      <c r="I400" s="3">
        <v>0.66776449104276425</v>
      </c>
      <c r="J400" s="128">
        <v>1.436139336523235E-3</v>
      </c>
      <c r="K400" s="128"/>
      <c r="L400" s="128">
        <v>4.4400000000000002E-2</v>
      </c>
      <c r="O400" s="2"/>
    </row>
    <row r="401" spans="2:15" x14ac:dyDescent="0.2">
      <c r="B401" s="1">
        <v>386</v>
      </c>
      <c r="C401" s="5">
        <f ca="1">_xlfn.NORM.S.INV(RAND())</f>
        <v>-0.81527169921291309</v>
      </c>
      <c r="D401" s="5">
        <f ca="1">S0*EXP((μ-0.5*σ*σ)*T+σ*SQRT(T)*$C401)</f>
        <v>0.61318572860064524</v>
      </c>
      <c r="E401" s="5">
        <f ca="1">MAX(0,CP*(D401-K))</f>
        <v>0</v>
      </c>
      <c r="F401" s="4">
        <f ca="1">(CP*(D401-K)&gt;0)*1</f>
        <v>0</v>
      </c>
      <c r="H401" s="4">
        <v>386</v>
      </c>
      <c r="I401" s="3">
        <v>0.66775507959531455</v>
      </c>
      <c r="J401" s="128">
        <v>1.3513447579795031E-3</v>
      </c>
      <c r="K401" s="128"/>
      <c r="L401" s="128">
        <v>4.1599999999999998E-2</v>
      </c>
      <c r="O401" s="2"/>
    </row>
    <row r="402" spans="2:15" x14ac:dyDescent="0.2">
      <c r="B402" s="1">
        <v>387</v>
      </c>
      <c r="C402" s="5">
        <f ca="1">_xlfn.NORM.S.INV(RAND())</f>
        <v>1.7509937661010055</v>
      </c>
      <c r="D402" s="5">
        <f ca="1">S0*EXP((μ-0.5*σ*σ)*T+σ*SQRT(T)*$C402)</f>
        <v>0.78971292393467052</v>
      </c>
      <c r="E402" s="5">
        <f ca="1">MAX(0,CP*(D402-K))</f>
        <v>1.512923934670507E-3</v>
      </c>
      <c r="F402" s="4">
        <f ca="1">(CP*(D402-K)&gt;0)*1</f>
        <v>1</v>
      </c>
      <c r="H402" s="4">
        <v>387</v>
      </c>
      <c r="I402" s="3">
        <v>0.6677373407613062</v>
      </c>
      <c r="J402" s="128">
        <v>1.3975542189997717E-3</v>
      </c>
      <c r="K402" s="128"/>
      <c r="L402" s="128">
        <v>4.2799999999999998E-2</v>
      </c>
      <c r="O402" s="2"/>
    </row>
    <row r="403" spans="2:15" x14ac:dyDescent="0.2">
      <c r="B403" s="1">
        <v>388</v>
      </c>
      <c r="C403" s="5">
        <f ca="1">_xlfn.NORM.S.INV(RAND())</f>
        <v>1.4501263252460341</v>
      </c>
      <c r="D403" s="5">
        <f ca="1">S0*EXP((μ-0.5*σ*σ)*T+σ*SQRT(T)*$C403)</f>
        <v>0.76663264200702086</v>
      </c>
      <c r="E403" s="5">
        <f ca="1">MAX(0,CP*(D403-K))</f>
        <v>0</v>
      </c>
      <c r="F403" s="4">
        <f ca="1">(CP*(D403-K)&gt;0)*1</f>
        <v>0</v>
      </c>
      <c r="H403" s="4">
        <v>388</v>
      </c>
      <c r="I403" s="3">
        <v>0.66770759172510974</v>
      </c>
      <c r="J403" s="128">
        <v>1.324190222794736E-3</v>
      </c>
      <c r="K403" s="128"/>
      <c r="L403" s="128">
        <v>4.2599999999999999E-2</v>
      </c>
      <c r="O403" s="2"/>
    </row>
    <row r="404" spans="2:15" x14ac:dyDescent="0.2">
      <c r="B404" s="1">
        <v>389</v>
      </c>
      <c r="C404" s="5">
        <f ca="1">_xlfn.NORM.S.INV(RAND())</f>
        <v>-0.37527408761671355</v>
      </c>
      <c r="D404" s="5">
        <f ca="1">S0*EXP((μ-0.5*σ*σ)*T+σ*SQRT(T)*$C404)</f>
        <v>0.640369993594886</v>
      </c>
      <c r="E404" s="5">
        <f ca="1">MAX(0,CP*(D404-K))</f>
        <v>0</v>
      </c>
      <c r="F404" s="4">
        <f ca="1">(CP*(D404-K)&gt;0)*1</f>
        <v>0</v>
      </c>
      <c r="H404" s="4">
        <v>389</v>
      </c>
      <c r="I404" s="3">
        <v>0.66768561424951633</v>
      </c>
      <c r="J404" s="128">
        <v>1.3693228152586035E-3</v>
      </c>
      <c r="K404" s="128"/>
      <c r="L404" s="128">
        <v>4.1399999999999999E-2</v>
      </c>
      <c r="O404" s="2"/>
    </row>
    <row r="405" spans="2:15" x14ac:dyDescent="0.2">
      <c r="B405" s="1">
        <v>390</v>
      </c>
      <c r="C405" s="5">
        <f ca="1">_xlfn.NORM.S.INV(RAND())</f>
        <v>5.7632681059272682E-2</v>
      </c>
      <c r="D405" s="5">
        <f ca="1">S0*EXP((μ-0.5*σ*σ)*T+σ*SQRT(T)*$C405)</f>
        <v>0.66829206915917938</v>
      </c>
      <c r="E405" s="5">
        <f ca="1">MAX(0,CP*(D405-K))</f>
        <v>0</v>
      </c>
      <c r="F405" s="4">
        <f ca="1">(CP*(D405-K)&gt;0)*1</f>
        <v>0</v>
      </c>
      <c r="H405" s="4">
        <v>390</v>
      </c>
      <c r="I405" s="3">
        <v>0.66772333778784965</v>
      </c>
      <c r="J405" s="128">
        <v>1.2888115427878545E-3</v>
      </c>
      <c r="K405" s="128"/>
      <c r="L405" s="128">
        <v>4.36E-2</v>
      </c>
      <c r="O405" s="2"/>
    </row>
    <row r="406" spans="2:15" x14ac:dyDescent="0.2">
      <c r="B406" s="1">
        <v>391</v>
      </c>
      <c r="C406" s="5">
        <f ca="1">_xlfn.NORM.S.INV(RAND())</f>
        <v>-0.98291006517744361</v>
      </c>
      <c r="D406" s="5">
        <f ca="1">S0*EXP((μ-0.5*σ*σ)*T+σ*SQRT(T)*$C406)</f>
        <v>0.6031348663950391</v>
      </c>
      <c r="E406" s="5">
        <f ca="1">MAX(0,CP*(D406-K))</f>
        <v>0</v>
      </c>
      <c r="F406" s="4">
        <f ca="1">(CP*(D406-K)&gt;0)*1</f>
        <v>0</v>
      </c>
      <c r="H406" s="4">
        <v>391</v>
      </c>
      <c r="I406" s="3">
        <v>0.66757341578455576</v>
      </c>
      <c r="J406" s="128">
        <v>1.2143716536798669E-3</v>
      </c>
      <c r="K406" s="128"/>
      <c r="L406" s="128">
        <v>3.8800000000000001E-2</v>
      </c>
      <c r="O406" s="2"/>
    </row>
    <row r="407" spans="2:15" x14ac:dyDescent="0.2">
      <c r="B407" s="1">
        <v>392</v>
      </c>
      <c r="C407" s="5">
        <f ca="1">_xlfn.NORM.S.INV(RAND())</f>
        <v>-0.10753477362279229</v>
      </c>
      <c r="D407" s="5">
        <f ca="1">S0*EXP((μ-0.5*σ*σ)*T+σ*SQRT(T)*$C407)</f>
        <v>0.65749809441461715</v>
      </c>
      <c r="E407" s="5">
        <f ca="1">MAX(0,CP*(D407-K))</f>
        <v>0</v>
      </c>
      <c r="F407" s="4">
        <f ca="1">(CP*(D407-K)&gt;0)*1</f>
        <v>0</v>
      </c>
      <c r="H407" s="4">
        <v>392</v>
      </c>
      <c r="I407" s="3">
        <v>0.66770819668546022</v>
      </c>
      <c r="J407" s="128">
        <v>1.2912655895822064E-3</v>
      </c>
      <c r="K407" s="128"/>
      <c r="L407" s="128">
        <v>4.2000000000000003E-2</v>
      </c>
      <c r="O407" s="2"/>
    </row>
    <row r="408" spans="2:15" x14ac:dyDescent="0.2">
      <c r="B408" s="1">
        <v>393</v>
      </c>
      <c r="C408" s="5">
        <f ca="1">_xlfn.NORM.S.INV(RAND())</f>
        <v>0.68078424922707348</v>
      </c>
      <c r="D408" s="5">
        <f ca="1">S0*EXP((μ-0.5*σ*σ)*T+σ*SQRT(T)*$C408)</f>
        <v>0.71063592887629479</v>
      </c>
      <c r="E408" s="5">
        <f ca="1">MAX(0,CP*(D408-K))</f>
        <v>0</v>
      </c>
      <c r="F408" s="4">
        <f ca="1">(CP*(D408-K)&gt;0)*1</f>
        <v>0</v>
      </c>
      <c r="H408" s="4">
        <v>393</v>
      </c>
      <c r="I408" s="3">
        <v>0.66775726768053756</v>
      </c>
      <c r="J408" s="128">
        <v>1.4487747937673432E-3</v>
      </c>
      <c r="K408" s="128"/>
      <c r="L408" s="128">
        <v>4.1399999999999999E-2</v>
      </c>
      <c r="O408" s="2"/>
    </row>
    <row r="409" spans="2:15" x14ac:dyDescent="0.2">
      <c r="B409" s="1">
        <v>394</v>
      </c>
      <c r="C409" s="5">
        <f ca="1">_xlfn.NORM.S.INV(RAND())</f>
        <v>1.1532354598032095</v>
      </c>
      <c r="D409" s="5">
        <f ca="1">S0*EXP((μ-0.5*σ*σ)*T+σ*SQRT(T)*$C409)</f>
        <v>0.74451873255222345</v>
      </c>
      <c r="E409" s="5">
        <f ca="1">MAX(0,CP*(D409-K))</f>
        <v>0</v>
      </c>
      <c r="F409" s="4">
        <f ca="1">(CP*(D409-K)&gt;0)*1</f>
        <v>0</v>
      </c>
      <c r="H409" s="4">
        <v>394</v>
      </c>
      <c r="I409" s="3">
        <v>0.66766516101453977</v>
      </c>
      <c r="J409" s="128">
        <v>1.2375452810718321E-3</v>
      </c>
      <c r="K409" s="128"/>
      <c r="L409" s="128">
        <v>3.9800000000000002E-2</v>
      </c>
      <c r="O409" s="2"/>
    </row>
    <row r="410" spans="2:15" x14ac:dyDescent="0.2">
      <c r="B410" s="1">
        <v>395</v>
      </c>
      <c r="C410" s="5">
        <f ca="1">_xlfn.NORM.S.INV(RAND())</f>
        <v>0.42368553631542932</v>
      </c>
      <c r="D410" s="5">
        <f ca="1">S0*EXP((μ-0.5*σ*σ)*T+σ*SQRT(T)*$C410)</f>
        <v>0.69285000450847212</v>
      </c>
      <c r="E410" s="5">
        <f ca="1">MAX(0,CP*(D410-K))</f>
        <v>0</v>
      </c>
      <c r="F410" s="4">
        <f ca="1">(CP*(D410-K)&gt;0)*1</f>
        <v>0</v>
      </c>
      <c r="H410" s="4">
        <v>395</v>
      </c>
      <c r="I410" s="3">
        <v>0.66758998774177891</v>
      </c>
      <c r="J410" s="128">
        <v>1.230089065595602E-3</v>
      </c>
      <c r="K410" s="128"/>
      <c r="L410" s="128">
        <v>3.7600000000000001E-2</v>
      </c>
      <c r="O410" s="2"/>
    </row>
    <row r="411" spans="2:15" x14ac:dyDescent="0.2">
      <c r="B411" s="1">
        <v>396</v>
      </c>
      <c r="C411" s="5">
        <f ca="1">_xlfn.NORM.S.INV(RAND())</f>
        <v>-1.0387345059497386</v>
      </c>
      <c r="D411" s="5">
        <f ca="1">S0*EXP((μ-0.5*σ*σ)*T+σ*SQRT(T)*$C411)</f>
        <v>0.59982457674989897</v>
      </c>
      <c r="E411" s="5">
        <f ca="1">MAX(0,CP*(D411-K))</f>
        <v>0</v>
      </c>
      <c r="F411" s="4">
        <f ca="1">(CP*(D411-K)&gt;0)*1</f>
        <v>0</v>
      </c>
      <c r="H411" s="4">
        <v>396</v>
      </c>
      <c r="I411" s="3">
        <v>0.6676794813969178</v>
      </c>
      <c r="J411" s="128">
        <v>1.3304073332509794E-3</v>
      </c>
      <c r="K411" s="128"/>
      <c r="L411" s="128">
        <v>4.24E-2</v>
      </c>
      <c r="O411" s="2"/>
    </row>
    <row r="412" spans="2:15" x14ac:dyDescent="0.2">
      <c r="B412" s="1">
        <v>397</v>
      </c>
      <c r="C412" s="5">
        <f ca="1">_xlfn.NORM.S.INV(RAND())</f>
        <v>0.2303641774120129</v>
      </c>
      <c r="D412" s="5">
        <f ca="1">S0*EXP((μ-0.5*σ*σ)*T+σ*SQRT(T)*$C412)</f>
        <v>0.67976997469130396</v>
      </c>
      <c r="E412" s="5">
        <f ca="1">MAX(0,CP*(D412-K))</f>
        <v>0</v>
      </c>
      <c r="F412" s="4">
        <f ca="1">(CP*(D412-K)&gt;0)*1</f>
        <v>0</v>
      </c>
      <c r="H412" s="4">
        <v>397</v>
      </c>
      <c r="I412" s="3">
        <v>0.66771930361583531</v>
      </c>
      <c r="J412" s="128">
        <v>1.387905122848556E-3</v>
      </c>
      <c r="K412" s="128"/>
      <c r="L412" s="128">
        <v>4.1000000000000002E-2</v>
      </c>
      <c r="O412" s="2"/>
    </row>
    <row r="413" spans="2:15" x14ac:dyDescent="0.2">
      <c r="B413" s="1">
        <v>398</v>
      </c>
      <c r="C413" s="5">
        <f ca="1">_xlfn.NORM.S.INV(RAND())</f>
        <v>0.60474541474102772</v>
      </c>
      <c r="D413" s="5">
        <f ca="1">S0*EXP((μ-0.5*σ*σ)*T+σ*SQRT(T)*$C413)</f>
        <v>0.70532858153822908</v>
      </c>
      <c r="E413" s="5">
        <f ca="1">MAX(0,CP*(D413-K))</f>
        <v>0</v>
      </c>
      <c r="F413" s="4">
        <f ca="1">(CP*(D413-K)&gt;0)*1</f>
        <v>0</v>
      </c>
      <c r="H413" s="4">
        <v>398</v>
      </c>
      <c r="I413" s="3">
        <v>0.66760173121243527</v>
      </c>
      <c r="J413" s="128">
        <v>1.1342463836148215E-3</v>
      </c>
      <c r="K413" s="128"/>
      <c r="L413" s="128">
        <v>3.6999999999999998E-2</v>
      </c>
      <c r="O413" s="2"/>
    </row>
    <row r="414" spans="2:15" x14ac:dyDescent="0.2">
      <c r="B414" s="1">
        <v>399</v>
      </c>
      <c r="C414" s="5">
        <f ca="1">_xlfn.NORM.S.INV(RAND())</f>
        <v>0.96912661799689359</v>
      </c>
      <c r="D414" s="5">
        <f ca="1">S0*EXP((μ-0.5*σ*σ)*T+σ*SQRT(T)*$C414)</f>
        <v>0.73112700652084406</v>
      </c>
      <c r="E414" s="5">
        <f ca="1">MAX(0,CP*(D414-K))</f>
        <v>0</v>
      </c>
      <c r="F414" s="4">
        <f ca="1">(CP*(D414-K)&gt;0)*1</f>
        <v>0</v>
      </c>
      <c r="H414" s="4">
        <v>399</v>
      </c>
      <c r="I414" s="3">
        <v>0.66762753084723236</v>
      </c>
      <c r="J414" s="128">
        <v>1.2238377644429935E-3</v>
      </c>
      <c r="K414" s="128"/>
      <c r="L414" s="128">
        <v>4.0399999999999998E-2</v>
      </c>
      <c r="O414" s="2"/>
    </row>
    <row r="415" spans="2:15" x14ac:dyDescent="0.2">
      <c r="B415" s="1">
        <v>400</v>
      </c>
      <c r="C415" s="5">
        <f ca="1">_xlfn.NORM.S.INV(RAND())</f>
        <v>1.4676265624368148</v>
      </c>
      <c r="D415" s="5">
        <f ca="1">S0*EXP((μ-0.5*σ*σ)*T+σ*SQRT(T)*$C415)</f>
        <v>0.76795645811525182</v>
      </c>
      <c r="E415" s="5">
        <f ca="1">MAX(0,CP*(D415-K))</f>
        <v>0</v>
      </c>
      <c r="F415" s="4">
        <f ca="1">(CP*(D415-K)&gt;0)*1</f>
        <v>0</v>
      </c>
      <c r="H415" s="4">
        <v>400</v>
      </c>
      <c r="I415" s="3">
        <v>0.6679210926537632</v>
      </c>
      <c r="J415" s="128">
        <v>1.5205669545989458E-3</v>
      </c>
      <c r="K415" s="128"/>
      <c r="L415" s="128">
        <v>4.48E-2</v>
      </c>
      <c r="O415" s="2"/>
    </row>
    <row r="416" spans="2:15" x14ac:dyDescent="0.2">
      <c r="B416" s="1">
        <v>401</v>
      </c>
      <c r="C416" s="5">
        <f ca="1">_xlfn.NORM.S.INV(RAND())</f>
        <v>-1.2043074671613425</v>
      </c>
      <c r="D416" s="5">
        <f ca="1">S0*EXP((μ-0.5*σ*σ)*T+σ*SQRT(T)*$C416)</f>
        <v>0.59011286846090993</v>
      </c>
      <c r="E416" s="5">
        <f ca="1">MAX(0,CP*(D416-K))</f>
        <v>0</v>
      </c>
      <c r="F416" s="4">
        <f ca="1">(CP*(D416-K)&gt;0)*1</f>
        <v>0</v>
      </c>
      <c r="H416" s="4">
        <v>401</v>
      </c>
      <c r="I416" s="3">
        <v>0.66776433578279282</v>
      </c>
      <c r="J416" s="128">
        <v>1.3541664947985706E-3</v>
      </c>
      <c r="K416" s="128"/>
      <c r="L416" s="128">
        <v>4.5199999999999997E-2</v>
      </c>
      <c r="O416" s="2"/>
    </row>
    <row r="417" spans="2:15" x14ac:dyDescent="0.2">
      <c r="B417" s="1">
        <v>402</v>
      </c>
      <c r="C417" s="5">
        <f ca="1">_xlfn.NORM.S.INV(RAND())</f>
        <v>-1.5796539214289644</v>
      </c>
      <c r="D417" s="5">
        <f ca="1">S0*EXP((μ-0.5*σ*σ)*T+σ*SQRT(T)*$C417)</f>
        <v>0.5686751537917758</v>
      </c>
      <c r="E417" s="5">
        <f ca="1">MAX(0,CP*(D417-K))</f>
        <v>0</v>
      </c>
      <c r="F417" s="4">
        <f ca="1">(CP*(D417-K)&gt;0)*1</f>
        <v>0</v>
      </c>
      <c r="H417" s="4">
        <v>402</v>
      </c>
      <c r="I417" s="3">
        <v>0.66763817201952913</v>
      </c>
      <c r="J417" s="128">
        <v>1.1969520057073422E-3</v>
      </c>
      <c r="K417" s="128"/>
      <c r="L417" s="128">
        <v>3.9E-2</v>
      </c>
      <c r="O417" s="2"/>
    </row>
    <row r="418" spans="2:15" x14ac:dyDescent="0.2">
      <c r="B418" s="1">
        <v>403</v>
      </c>
      <c r="C418" s="5">
        <f ca="1">_xlfn.NORM.S.INV(RAND())</f>
        <v>-1.4299624053923652</v>
      </c>
      <c r="D418" s="5">
        <f ca="1">S0*EXP((μ-0.5*σ*σ)*T+σ*SQRT(T)*$C418)</f>
        <v>0.57712972716802435</v>
      </c>
      <c r="E418" s="5">
        <f ca="1">MAX(0,CP*(D418-K))</f>
        <v>0</v>
      </c>
      <c r="F418" s="4">
        <f ca="1">(CP*(D418-K)&gt;0)*1</f>
        <v>0</v>
      </c>
      <c r="H418" s="4">
        <v>403</v>
      </c>
      <c r="I418" s="3">
        <v>0.66759114711751477</v>
      </c>
      <c r="J418" s="128">
        <v>1.26097334703576E-3</v>
      </c>
      <c r="K418" s="128"/>
      <c r="L418" s="128">
        <v>3.8600000000000002E-2</v>
      </c>
      <c r="O418" s="2"/>
    </row>
    <row r="419" spans="2:15" x14ac:dyDescent="0.2">
      <c r="B419" s="1">
        <v>404</v>
      </c>
      <c r="C419" s="5">
        <f ca="1">_xlfn.NORM.S.INV(RAND())</f>
        <v>-0.29028833162792173</v>
      </c>
      <c r="D419" s="5">
        <f ca="1">S0*EXP((μ-0.5*σ*σ)*T+σ*SQRT(T)*$C419)</f>
        <v>0.64575789303292841</v>
      </c>
      <c r="E419" s="5">
        <f ca="1">MAX(0,CP*(D419-K))</f>
        <v>0</v>
      </c>
      <c r="F419" s="4">
        <f ca="1">(CP*(D419-K)&gt;0)*1</f>
        <v>0</v>
      </c>
      <c r="H419" s="4">
        <v>404</v>
      </c>
      <c r="I419" s="3">
        <v>0.66780963610926569</v>
      </c>
      <c r="J419" s="128">
        <v>1.5162680116299239E-3</v>
      </c>
      <c r="K419" s="128"/>
      <c r="L419" s="128">
        <v>4.7399999999999998E-2</v>
      </c>
      <c r="O419" s="2"/>
    </row>
    <row r="420" spans="2:15" x14ac:dyDescent="0.2">
      <c r="B420" s="1">
        <v>405</v>
      </c>
      <c r="C420" s="5">
        <f ca="1">_xlfn.NORM.S.INV(RAND())</f>
        <v>-6.9125978385860293E-2</v>
      </c>
      <c r="D420" s="5">
        <f ca="1">S0*EXP((μ-0.5*σ*σ)*T+σ*SQRT(T)*$C420)</f>
        <v>0.65999251348875709</v>
      </c>
      <c r="E420" s="5">
        <f ca="1">MAX(0,CP*(D420-K))</f>
        <v>0</v>
      </c>
      <c r="F420" s="4">
        <f ca="1">(CP*(D420-K)&gt;0)*1</f>
        <v>0</v>
      </c>
      <c r="H420" s="4">
        <v>405</v>
      </c>
      <c r="I420" s="3">
        <v>0.66781640092882477</v>
      </c>
      <c r="J420" s="128">
        <v>1.2992914550495707E-3</v>
      </c>
      <c r="K420" s="128"/>
      <c r="L420" s="128">
        <v>4.0800000000000003E-2</v>
      </c>
      <c r="O420" s="2"/>
    </row>
    <row r="421" spans="2:15" x14ac:dyDescent="0.2">
      <c r="B421" s="1">
        <v>406</v>
      </c>
      <c r="C421" s="5">
        <f ca="1">_xlfn.NORM.S.INV(RAND())</f>
        <v>-0.72511033888045417</v>
      </c>
      <c r="D421" s="5">
        <f ca="1">S0*EXP((μ-0.5*σ*σ)*T+σ*SQRT(T)*$C421)</f>
        <v>0.61866049784040711</v>
      </c>
      <c r="E421" s="5">
        <f ca="1">MAX(0,CP*(D421-K))</f>
        <v>0</v>
      </c>
      <c r="F421" s="4">
        <f ca="1">(CP*(D421-K)&gt;0)*1</f>
        <v>0</v>
      </c>
      <c r="H421" s="4">
        <v>406</v>
      </c>
      <c r="I421" s="3">
        <v>0.66779713258701157</v>
      </c>
      <c r="J421" s="128">
        <v>1.3580933882377006E-3</v>
      </c>
      <c r="K421" s="128"/>
      <c r="L421" s="128">
        <v>4.2000000000000003E-2</v>
      </c>
      <c r="O421" s="2"/>
    </row>
    <row r="422" spans="2:15" x14ac:dyDescent="0.2">
      <c r="B422" s="1">
        <v>407</v>
      </c>
      <c r="C422" s="5">
        <f ca="1">_xlfn.NORM.S.INV(RAND())</f>
        <v>-0.22107187574293877</v>
      </c>
      <c r="D422" s="5">
        <f ca="1">S0*EXP((μ-0.5*σ*σ)*T+σ*SQRT(T)*$C422)</f>
        <v>0.65017953354058255</v>
      </c>
      <c r="E422" s="5">
        <f ca="1">MAX(0,CP*(D422-K))</f>
        <v>0</v>
      </c>
      <c r="F422" s="4">
        <f ca="1">(CP*(D422-K)&gt;0)*1</f>
        <v>0</v>
      </c>
      <c r="H422" s="4">
        <v>407</v>
      </c>
      <c r="I422" s="3">
        <v>0.66787140435441916</v>
      </c>
      <c r="J422" s="128">
        <v>1.4541512027195266E-3</v>
      </c>
      <c r="K422" s="128"/>
      <c r="L422" s="128">
        <v>4.4400000000000002E-2</v>
      </c>
      <c r="O422" s="2"/>
    </row>
    <row r="423" spans="2:15" x14ac:dyDescent="0.2">
      <c r="B423" s="1">
        <v>408</v>
      </c>
      <c r="C423" s="5">
        <f ca="1">_xlfn.NORM.S.INV(RAND())</f>
        <v>-1.4858463288311716</v>
      </c>
      <c r="D423" s="5">
        <f ca="1">S0*EXP((μ-0.5*σ*σ)*T+σ*SQRT(T)*$C423)</f>
        <v>0.57395880019145873</v>
      </c>
      <c r="E423" s="5">
        <f ca="1">MAX(0,CP*(D423-K))</f>
        <v>0</v>
      </c>
      <c r="F423" s="4">
        <f ca="1">(CP*(D423-K)&gt;0)*1</f>
        <v>0</v>
      </c>
      <c r="H423" s="4">
        <v>408</v>
      </c>
      <c r="I423" s="3">
        <v>0.66783426909440846</v>
      </c>
      <c r="J423" s="128">
        <v>1.4308947167358424E-3</v>
      </c>
      <c r="K423" s="128"/>
      <c r="L423" s="128">
        <v>4.2200000000000001E-2</v>
      </c>
      <c r="O423" s="2"/>
    </row>
    <row r="424" spans="2:15" x14ac:dyDescent="0.2">
      <c r="B424" s="1">
        <v>409</v>
      </c>
      <c r="C424" s="5">
        <f ca="1">_xlfn.NORM.S.INV(RAND())</f>
        <v>0.18721672385873595</v>
      </c>
      <c r="D424" s="5">
        <f ca="1">S0*EXP((μ-0.5*σ*σ)*T+σ*SQRT(T)*$C424)</f>
        <v>0.6768845117873753</v>
      </c>
      <c r="E424" s="5">
        <f ca="1">MAX(0,CP*(D424-K))</f>
        <v>0</v>
      </c>
      <c r="F424" s="4">
        <f ca="1">(CP*(D424-K)&gt;0)*1</f>
        <v>0</v>
      </c>
      <c r="H424" s="4">
        <v>409</v>
      </c>
      <c r="I424" s="3">
        <v>0.66759415419141177</v>
      </c>
      <c r="J424" s="128">
        <v>1.2785386207795242E-3</v>
      </c>
      <c r="K424" s="128"/>
      <c r="L424" s="128">
        <v>3.9800000000000002E-2</v>
      </c>
      <c r="O424" s="2"/>
    </row>
    <row r="425" spans="2:15" x14ac:dyDescent="0.2">
      <c r="B425" s="1">
        <v>410</v>
      </c>
      <c r="C425" s="5">
        <f ca="1">_xlfn.NORM.S.INV(RAND())</f>
        <v>0.74222362778198092</v>
      </c>
      <c r="D425" s="5">
        <f ca="1">S0*EXP((μ-0.5*σ*σ)*T+σ*SQRT(T)*$C425)</f>
        <v>0.71495342199299039</v>
      </c>
      <c r="E425" s="5">
        <f ca="1">MAX(0,CP*(D425-K))</f>
        <v>0</v>
      </c>
      <c r="F425" s="4">
        <f ca="1">(CP*(D425-K)&gt;0)*1</f>
        <v>0</v>
      </c>
      <c r="H425" s="4">
        <v>410</v>
      </c>
      <c r="I425" s="3">
        <v>0.66762872626658387</v>
      </c>
      <c r="J425" s="128">
        <v>1.3531096261787444E-3</v>
      </c>
      <c r="K425" s="128"/>
      <c r="L425" s="128">
        <v>3.8800000000000001E-2</v>
      </c>
      <c r="O425" s="2"/>
    </row>
    <row r="426" spans="2:15" x14ac:dyDescent="0.2">
      <c r="B426" s="1">
        <v>411</v>
      </c>
      <c r="C426" s="5">
        <f ca="1">_xlfn.NORM.S.INV(RAND())</f>
        <v>-0.46748470224528554</v>
      </c>
      <c r="D426" s="5">
        <f ca="1">S0*EXP((μ-0.5*σ*σ)*T+σ*SQRT(T)*$C426)</f>
        <v>0.634574891895898</v>
      </c>
      <c r="E426" s="5">
        <f ca="1">MAX(0,CP*(D426-K))</f>
        <v>0</v>
      </c>
      <c r="F426" s="4">
        <f ca="1">(CP*(D426-K)&gt;0)*1</f>
        <v>0</v>
      </c>
      <c r="H426" s="4">
        <v>411</v>
      </c>
      <c r="I426" s="3">
        <v>0.6675855035415158</v>
      </c>
      <c r="J426" s="128">
        <v>1.1607797229069611E-3</v>
      </c>
      <c r="K426" s="128"/>
      <c r="L426" s="128">
        <v>3.9600000000000003E-2</v>
      </c>
      <c r="O426" s="2"/>
    </row>
    <row r="427" spans="2:15" x14ac:dyDescent="0.2">
      <c r="B427" s="1">
        <v>412</v>
      </c>
      <c r="C427" s="5">
        <f ca="1">_xlfn.NORM.S.INV(RAND())</f>
        <v>8.4773810112815498E-2</v>
      </c>
      <c r="D427" s="5">
        <f ca="1">S0*EXP((μ-0.5*σ*σ)*T+σ*SQRT(T)*$C427)</f>
        <v>0.67008266307557174</v>
      </c>
      <c r="E427" s="5">
        <f ca="1">MAX(0,CP*(D427-K))</f>
        <v>0</v>
      </c>
      <c r="F427" s="4">
        <f ca="1">(CP*(D427-K)&gt;0)*1</f>
        <v>0</v>
      </c>
      <c r="H427" s="4">
        <v>412</v>
      </c>
      <c r="I427" s="3">
        <v>0.66780527004838153</v>
      </c>
      <c r="J427" s="128">
        <v>1.3212340830425441E-3</v>
      </c>
      <c r="K427" s="128"/>
      <c r="L427" s="128">
        <v>4.3200000000000002E-2</v>
      </c>
      <c r="O427" s="2"/>
    </row>
    <row r="428" spans="2:15" x14ac:dyDescent="0.2">
      <c r="B428" s="1">
        <v>413</v>
      </c>
      <c r="C428" s="5">
        <f ca="1">_xlfn.NORM.S.INV(RAND())</f>
        <v>0.31290817981236041</v>
      </c>
      <c r="D428" s="5">
        <f ca="1">S0*EXP((μ-0.5*σ*σ)*T+σ*SQRT(T)*$C428)</f>
        <v>0.68532437941757174</v>
      </c>
      <c r="E428" s="5">
        <f ca="1">MAX(0,CP*(D428-K))</f>
        <v>0</v>
      </c>
      <c r="F428" s="4">
        <f ca="1">(CP*(D428-K)&gt;0)*1</f>
        <v>0</v>
      </c>
      <c r="H428" s="4">
        <v>413</v>
      </c>
      <c r="I428" s="3">
        <v>0.66760398260050635</v>
      </c>
      <c r="J428" s="128">
        <v>1.1813443735133103E-3</v>
      </c>
      <c r="K428" s="128"/>
      <c r="L428" s="128">
        <v>3.7600000000000001E-2</v>
      </c>
      <c r="O428" s="2"/>
    </row>
    <row r="429" spans="2:15" x14ac:dyDescent="0.2">
      <c r="B429" s="1">
        <v>414</v>
      </c>
      <c r="C429" s="5">
        <f ca="1">_xlfn.NORM.S.INV(RAND())</f>
        <v>0.44587337791263959</v>
      </c>
      <c r="D429" s="5">
        <f ca="1">S0*EXP((μ-0.5*σ*σ)*T+σ*SQRT(T)*$C429)</f>
        <v>0.69436723333413974</v>
      </c>
      <c r="E429" s="5">
        <f ca="1">MAX(0,CP*(D429-K))</f>
        <v>0</v>
      </c>
      <c r="F429" s="4">
        <f ca="1">(CP*(D429-K)&gt;0)*1</f>
        <v>0</v>
      </c>
      <c r="H429" s="4">
        <v>414</v>
      </c>
      <c r="I429" s="3">
        <v>0.66782387638037244</v>
      </c>
      <c r="J429" s="128">
        <v>1.4707806723792754E-3</v>
      </c>
      <c r="K429" s="128"/>
      <c r="L429" s="128">
        <v>4.5999999999999999E-2</v>
      </c>
      <c r="O429" s="2"/>
    </row>
    <row r="430" spans="2:15" x14ac:dyDescent="0.2">
      <c r="B430" s="1">
        <v>415</v>
      </c>
      <c r="C430" s="5">
        <f ca="1">_xlfn.NORM.S.INV(RAND())</f>
        <v>-1.1492077625150481</v>
      </c>
      <c r="D430" s="5">
        <f ca="1">S0*EXP((μ-0.5*σ*σ)*T+σ*SQRT(T)*$C430)</f>
        <v>0.5933271668084571</v>
      </c>
      <c r="E430" s="5">
        <f ca="1">MAX(0,CP*(D430-K))</f>
        <v>0</v>
      </c>
      <c r="F430" s="4">
        <f ca="1">(CP*(D430-K)&gt;0)*1</f>
        <v>0</v>
      </c>
      <c r="H430" s="4">
        <v>415</v>
      </c>
      <c r="I430" s="3">
        <v>0.66789942101475608</v>
      </c>
      <c r="J430" s="128">
        <v>1.4285065472968385E-3</v>
      </c>
      <c r="K430" s="128"/>
      <c r="L430" s="128">
        <v>4.3999999999999997E-2</v>
      </c>
      <c r="O430" s="2"/>
    </row>
    <row r="431" spans="2:15" x14ac:dyDescent="0.2">
      <c r="B431" s="1">
        <v>416</v>
      </c>
      <c r="C431" s="5">
        <f ca="1">_xlfn.NORM.S.INV(RAND())</f>
        <v>-1.1953863561090867</v>
      </c>
      <c r="D431" s="5">
        <f ca="1">S0*EXP((μ-0.5*σ*σ)*T+σ*SQRT(T)*$C431)</f>
        <v>0.59063210679584899</v>
      </c>
      <c r="E431" s="5">
        <f ca="1">MAX(0,CP*(D431-K))</f>
        <v>0</v>
      </c>
      <c r="F431" s="4">
        <f ca="1">(CP*(D431-K)&gt;0)*1</f>
        <v>0</v>
      </c>
      <c r="H431" s="4">
        <v>416</v>
      </c>
      <c r="I431" s="3">
        <v>0.66762252552072932</v>
      </c>
      <c r="J431" s="128">
        <v>1.2718337169214734E-3</v>
      </c>
      <c r="K431" s="128"/>
      <c r="L431" s="128">
        <v>4.0399999999999998E-2</v>
      </c>
      <c r="O431" s="2"/>
    </row>
    <row r="432" spans="2:15" x14ac:dyDescent="0.2">
      <c r="B432" s="1">
        <v>417</v>
      </c>
      <c r="C432" s="5">
        <f ca="1">_xlfn.NORM.S.INV(RAND())</f>
        <v>-1.4041316688159193</v>
      </c>
      <c r="D432" s="5">
        <f ca="1">S0*EXP((μ-0.5*σ*σ)*T+σ*SQRT(T)*$C432)</f>
        <v>0.57860131116887703</v>
      </c>
      <c r="E432" s="5">
        <f ca="1">MAX(0,CP*(D432-K))</f>
        <v>0</v>
      </c>
      <c r="F432" s="4">
        <f ca="1">(CP*(D432-K)&gt;0)*1</f>
        <v>0</v>
      </c>
      <c r="H432" s="4">
        <v>417</v>
      </c>
      <c r="I432" s="3">
        <v>0.66770176868655284</v>
      </c>
      <c r="J432" s="128">
        <v>1.3389677706332158E-3</v>
      </c>
      <c r="K432" s="128"/>
      <c r="L432" s="128">
        <v>3.8600000000000002E-2</v>
      </c>
      <c r="O432" s="2"/>
    </row>
    <row r="433" spans="2:15" x14ac:dyDescent="0.2">
      <c r="B433" s="1">
        <v>418</v>
      </c>
      <c r="C433" s="5">
        <f ca="1">_xlfn.NORM.S.INV(RAND())</f>
        <v>0.71779938179947267</v>
      </c>
      <c r="D433" s="5">
        <f ca="1">S0*EXP((μ-0.5*σ*σ)*T+σ*SQRT(T)*$C433)</f>
        <v>0.71323393907531651</v>
      </c>
      <c r="E433" s="5">
        <f ca="1">MAX(0,CP*(D433-K))</f>
        <v>0</v>
      </c>
      <c r="F433" s="4">
        <f ca="1">(CP*(D433-K)&gt;0)*1</f>
        <v>0</v>
      </c>
      <c r="H433" s="4">
        <v>418</v>
      </c>
      <c r="I433" s="3">
        <v>0.66785683440823373</v>
      </c>
      <c r="J433" s="128">
        <v>1.3972951980944501E-3</v>
      </c>
      <c r="K433" s="128"/>
      <c r="L433" s="128">
        <v>4.24E-2</v>
      </c>
      <c r="O433" s="2"/>
    </row>
    <row r="434" spans="2:15" x14ac:dyDescent="0.2">
      <c r="B434" s="1">
        <v>419</v>
      </c>
      <c r="C434" s="5">
        <f ca="1">_xlfn.NORM.S.INV(RAND())</f>
        <v>-0.3446314953642185</v>
      </c>
      <c r="D434" s="5">
        <f ca="1">S0*EXP((μ-0.5*σ*σ)*T+σ*SQRT(T)*$C434)</f>
        <v>0.64230746079101297</v>
      </c>
      <c r="E434" s="5">
        <f ca="1">MAX(0,CP*(D434-K))</f>
        <v>0</v>
      </c>
      <c r="F434" s="4">
        <f ca="1">(CP*(D434-K)&gt;0)*1</f>
        <v>0</v>
      </c>
      <c r="H434" s="4">
        <v>419</v>
      </c>
      <c r="I434" s="3">
        <v>0.66758597162965816</v>
      </c>
      <c r="J434" s="128">
        <v>1.298045509254318E-3</v>
      </c>
      <c r="K434" s="128"/>
      <c r="L434" s="128">
        <v>3.8399999999999997E-2</v>
      </c>
      <c r="O434" s="2"/>
    </row>
    <row r="435" spans="2:15" x14ac:dyDescent="0.2">
      <c r="B435" s="1">
        <v>420</v>
      </c>
      <c r="C435" s="5">
        <f ca="1">_xlfn.NORM.S.INV(RAND())</f>
        <v>-1.9578472132023381</v>
      </c>
      <c r="D435" s="5">
        <f ca="1">S0*EXP((μ-0.5*σ*σ)*T+σ*SQRT(T)*$C435)</f>
        <v>0.5478624458227106</v>
      </c>
      <c r="E435" s="5">
        <f ca="1">MAX(0,CP*(D435-K))</f>
        <v>0</v>
      </c>
      <c r="F435" s="4">
        <f ca="1">(CP*(D435-K)&gt;0)*1</f>
        <v>0</v>
      </c>
      <c r="H435" s="4">
        <v>420</v>
      </c>
      <c r="I435" s="3">
        <v>0.66780322611132481</v>
      </c>
      <c r="J435" s="128">
        <v>1.3742234961957066E-3</v>
      </c>
      <c r="K435" s="128"/>
      <c r="L435" s="128">
        <v>4.36E-2</v>
      </c>
      <c r="O435" s="2"/>
    </row>
    <row r="436" spans="2:15" x14ac:dyDescent="0.2">
      <c r="B436" s="1">
        <v>421</v>
      </c>
      <c r="C436" s="5">
        <f ca="1">_xlfn.NORM.S.INV(RAND())</f>
        <v>-1.062015800813128</v>
      </c>
      <c r="D436" s="5">
        <f ca="1">S0*EXP((μ-0.5*σ*σ)*T+σ*SQRT(T)*$C436)</f>
        <v>0.59844941179054312</v>
      </c>
      <c r="E436" s="5">
        <f ca="1">MAX(0,CP*(D436-K))</f>
        <v>0</v>
      </c>
      <c r="F436" s="4">
        <f ca="1">(CP*(D436-K)&gt;0)*1</f>
        <v>0</v>
      </c>
      <c r="H436" s="4">
        <v>421</v>
      </c>
      <c r="I436" s="3">
        <v>0.66769372465189614</v>
      </c>
      <c r="J436" s="128">
        <v>1.2714695825492834E-3</v>
      </c>
      <c r="K436" s="128"/>
      <c r="L436" s="128">
        <v>4.02E-2</v>
      </c>
      <c r="O436" s="2"/>
    </row>
    <row r="437" spans="2:15" x14ac:dyDescent="0.2">
      <c r="B437" s="1">
        <v>422</v>
      </c>
      <c r="C437" s="5">
        <f ca="1">_xlfn.NORM.S.INV(RAND())</f>
        <v>-1.1844535360761876</v>
      </c>
      <c r="D437" s="5">
        <f ca="1">S0*EXP((μ-0.5*σ*σ)*T+σ*SQRT(T)*$C437)</f>
        <v>0.59126905635601823</v>
      </c>
      <c r="E437" s="5">
        <f ca="1">MAX(0,CP*(D437-K))</f>
        <v>0</v>
      </c>
      <c r="F437" s="4">
        <f ca="1">(CP*(D437-K)&gt;0)*1</f>
        <v>0</v>
      </c>
      <c r="H437" s="4">
        <v>422</v>
      </c>
      <c r="I437" s="3">
        <v>0.66780976978328943</v>
      </c>
      <c r="J437" s="128">
        <v>1.3640834927227783E-3</v>
      </c>
      <c r="K437" s="128"/>
      <c r="L437" s="128">
        <v>4.36E-2</v>
      </c>
      <c r="O437" s="2"/>
    </row>
    <row r="438" spans="2:15" x14ac:dyDescent="0.2">
      <c r="B438" s="1">
        <v>423</v>
      </c>
      <c r="C438" s="5">
        <f ca="1">_xlfn.NORM.S.INV(RAND())</f>
        <v>7.5957350425172029E-2</v>
      </c>
      <c r="D438" s="5">
        <f ca="1">S0*EXP((μ-0.5*σ*σ)*T+σ*SQRT(T)*$C438)</f>
        <v>0.669500485331048</v>
      </c>
      <c r="E438" s="5">
        <f ca="1">MAX(0,CP*(D438-K))</f>
        <v>0</v>
      </c>
      <c r="F438" s="4">
        <f ca="1">(CP*(D438-K)&gt;0)*1</f>
        <v>0</v>
      </c>
      <c r="H438" s="4">
        <v>423</v>
      </c>
      <c r="I438" s="3">
        <v>0.66774920663583748</v>
      </c>
      <c r="J438" s="128">
        <v>1.390931962591165E-3</v>
      </c>
      <c r="K438" s="128"/>
      <c r="L438" s="128">
        <v>4.24E-2</v>
      </c>
      <c r="O438" s="2"/>
    </row>
    <row r="439" spans="2:15" x14ac:dyDescent="0.2">
      <c r="B439" s="1">
        <v>424</v>
      </c>
      <c r="C439" s="5">
        <f ca="1">_xlfn.NORM.S.INV(RAND())</f>
        <v>-0.81494790407578344</v>
      </c>
      <c r="D439" s="5">
        <f ca="1">S0*EXP((μ-0.5*σ*σ)*T+σ*SQRT(T)*$C439)</f>
        <v>0.61320530311576238</v>
      </c>
      <c r="E439" s="5">
        <f ca="1">MAX(0,CP*(D439-K))</f>
        <v>0</v>
      </c>
      <c r="F439" s="4">
        <f ca="1">(CP*(D439-K)&gt;0)*1</f>
        <v>0</v>
      </c>
      <c r="H439" s="4">
        <v>424</v>
      </c>
      <c r="I439" s="3">
        <v>0.66791410603963153</v>
      </c>
      <c r="J439" s="128">
        <v>1.5432326504346157E-3</v>
      </c>
      <c r="K439" s="128"/>
      <c r="L439" s="128">
        <v>4.48E-2</v>
      </c>
      <c r="O439" s="2"/>
    </row>
    <row r="440" spans="2:15" x14ac:dyDescent="0.2">
      <c r="B440" s="1">
        <v>425</v>
      </c>
      <c r="C440" s="5">
        <f ca="1">_xlfn.NORM.S.INV(RAND())</f>
        <v>0.73225411116957373</v>
      </c>
      <c r="D440" s="5">
        <f ca="1">S0*EXP((μ-0.5*σ*σ)*T+σ*SQRT(T)*$C440)</f>
        <v>0.7142510613605989</v>
      </c>
      <c r="E440" s="5">
        <f ca="1">MAX(0,CP*(D440-K))</f>
        <v>0</v>
      </c>
      <c r="F440" s="4">
        <f ca="1">(CP*(D440-K)&gt;0)*1</f>
        <v>0</v>
      </c>
      <c r="H440" s="4">
        <v>425</v>
      </c>
      <c r="I440" s="3">
        <v>0.66765920103747534</v>
      </c>
      <c r="J440" s="128">
        <v>1.2866771268641231E-3</v>
      </c>
      <c r="K440" s="128"/>
      <c r="L440" s="128">
        <v>4.02E-2</v>
      </c>
      <c r="O440" s="2"/>
    </row>
    <row r="441" spans="2:15" x14ac:dyDescent="0.2">
      <c r="B441" s="1">
        <v>426</v>
      </c>
      <c r="C441" s="5">
        <f ca="1">_xlfn.NORM.S.INV(RAND())</f>
        <v>-0.25861665185801203</v>
      </c>
      <c r="D441" s="5">
        <f ca="1">S0*EXP((μ-0.5*σ*σ)*T+σ*SQRT(T)*$C441)</f>
        <v>0.64777737855988138</v>
      </c>
      <c r="E441" s="5">
        <f ca="1">MAX(0,CP*(D441-K))</f>
        <v>0</v>
      </c>
      <c r="F441" s="4">
        <f ca="1">(CP*(D441-K)&gt;0)*1</f>
        <v>0</v>
      </c>
      <c r="H441" s="4">
        <v>426</v>
      </c>
      <c r="I441" s="3">
        <v>0.6677112266613271</v>
      </c>
      <c r="J441" s="128">
        <v>1.3682728031406935E-3</v>
      </c>
      <c r="K441" s="128"/>
      <c r="L441" s="128">
        <v>3.9800000000000002E-2</v>
      </c>
      <c r="O441" s="2"/>
    </row>
    <row r="442" spans="2:15" x14ac:dyDescent="0.2">
      <c r="B442" s="1">
        <v>427</v>
      </c>
      <c r="C442" s="5">
        <f ca="1">_xlfn.NORM.S.INV(RAND())</f>
        <v>0.74109394533080064</v>
      </c>
      <c r="D442" s="5">
        <f ca="1">S0*EXP((μ-0.5*σ*σ)*T+σ*SQRT(T)*$C442)</f>
        <v>0.71487380025227132</v>
      </c>
      <c r="E442" s="5">
        <f ca="1">MAX(0,CP*(D442-K))</f>
        <v>0</v>
      </c>
      <c r="F442" s="4">
        <f ca="1">(CP*(D442-K)&gt;0)*1</f>
        <v>0</v>
      </c>
      <c r="H442" s="4">
        <v>427</v>
      </c>
      <c r="I442" s="3">
        <v>0.66776294094662292</v>
      </c>
      <c r="J442" s="128">
        <v>1.3109622980886865E-3</v>
      </c>
      <c r="K442" s="128"/>
      <c r="L442" s="128">
        <v>4.1200000000000001E-2</v>
      </c>
      <c r="O442" s="2"/>
    </row>
    <row r="443" spans="2:15" x14ac:dyDescent="0.2">
      <c r="B443" s="1">
        <v>428</v>
      </c>
      <c r="C443" s="5">
        <f ca="1">_xlfn.NORM.S.INV(RAND())</f>
        <v>-0.72824580287020435</v>
      </c>
      <c r="D443" s="5">
        <f ca="1">S0*EXP((μ-0.5*σ*σ)*T+σ*SQRT(T)*$C443)</f>
        <v>0.61846928863253281</v>
      </c>
      <c r="E443" s="5">
        <f ca="1">MAX(0,CP*(D443-K))</f>
        <v>0</v>
      </c>
      <c r="F443" s="4">
        <f ca="1">(CP*(D443-K)&gt;0)*1</f>
        <v>0</v>
      </c>
      <c r="H443" s="4">
        <v>428</v>
      </c>
      <c r="I443" s="3">
        <v>0.66767877445781154</v>
      </c>
      <c r="J443" s="128">
        <v>1.3404848054002245E-3</v>
      </c>
      <c r="K443" s="128"/>
      <c r="L443" s="128">
        <v>3.9199999999999999E-2</v>
      </c>
      <c r="O443" s="2"/>
    </row>
    <row r="444" spans="2:15" x14ac:dyDescent="0.2">
      <c r="B444" s="1">
        <v>429</v>
      </c>
      <c r="C444" s="5">
        <f ca="1">_xlfn.NORM.S.INV(RAND())</f>
        <v>-1.5476203918636573</v>
      </c>
      <c r="D444" s="5">
        <f ca="1">S0*EXP((μ-0.5*σ*σ)*T+σ*SQRT(T)*$C444)</f>
        <v>0.57047392829010768</v>
      </c>
      <c r="E444" s="5">
        <f ca="1">MAX(0,CP*(D444-K))</f>
        <v>0</v>
      </c>
      <c r="F444" s="4">
        <f ca="1">(CP*(D444-K)&gt;0)*1</f>
        <v>0</v>
      </c>
      <c r="H444" s="4">
        <v>429</v>
      </c>
      <c r="I444" s="3">
        <v>0.6676123590855666</v>
      </c>
      <c r="J444" s="128">
        <v>1.1582494016221937E-3</v>
      </c>
      <c r="K444" s="128"/>
      <c r="L444" s="128">
        <v>3.9199999999999999E-2</v>
      </c>
      <c r="O444" s="2"/>
    </row>
    <row r="445" spans="2:15" x14ac:dyDescent="0.2">
      <c r="B445" s="1">
        <v>430</v>
      </c>
      <c r="C445" s="5">
        <f ca="1">_xlfn.NORM.S.INV(RAND())</f>
        <v>-3.4104144781571658E-2</v>
      </c>
      <c r="D445" s="5">
        <f ca="1">S0*EXP((μ-0.5*σ*σ)*T+σ*SQRT(T)*$C445)</f>
        <v>0.66227521734812811</v>
      </c>
      <c r="E445" s="5">
        <f ca="1">MAX(0,CP*(D445-K))</f>
        <v>0</v>
      </c>
      <c r="F445" s="4">
        <f ca="1">(CP*(D445-K)&gt;0)*1</f>
        <v>0</v>
      </c>
      <c r="H445" s="4">
        <v>430</v>
      </c>
      <c r="I445" s="3">
        <v>0.66775947957679349</v>
      </c>
      <c r="J445" s="128">
        <v>1.405608587115563E-3</v>
      </c>
      <c r="K445" s="128"/>
      <c r="L445" s="128">
        <v>3.6999999999999998E-2</v>
      </c>
      <c r="O445" s="2"/>
    </row>
    <row r="446" spans="2:15" x14ac:dyDescent="0.2">
      <c r="B446" s="1">
        <v>431</v>
      </c>
      <c r="C446" s="5">
        <f ca="1">_xlfn.NORM.S.INV(RAND())</f>
        <v>-0.12298626852272472</v>
      </c>
      <c r="D446" s="5">
        <f ca="1">S0*EXP((μ-0.5*σ*σ)*T+σ*SQRT(T)*$C446)</f>
        <v>0.65649727440818706</v>
      </c>
      <c r="E446" s="5">
        <f ca="1">MAX(0,CP*(D446-K))</f>
        <v>0</v>
      </c>
      <c r="F446" s="4">
        <f ca="1">(CP*(D446-K)&gt;0)*1</f>
        <v>0</v>
      </c>
      <c r="H446" s="4">
        <v>431</v>
      </c>
      <c r="I446" s="3">
        <v>0.667696724664265</v>
      </c>
      <c r="J446" s="128">
        <v>1.2107516887192413E-3</v>
      </c>
      <c r="K446" s="128"/>
      <c r="L446" s="128">
        <v>3.8800000000000001E-2</v>
      </c>
      <c r="O446" s="2"/>
    </row>
    <row r="447" spans="2:15" x14ac:dyDescent="0.2">
      <c r="B447" s="1">
        <v>432</v>
      </c>
      <c r="C447" s="5">
        <f ca="1">_xlfn.NORM.S.INV(RAND())</f>
        <v>1.056612609990097</v>
      </c>
      <c r="D447" s="5">
        <f ca="1">S0*EXP((μ-0.5*σ*σ)*T+σ*SQRT(T)*$C447)</f>
        <v>0.73746026646079255</v>
      </c>
      <c r="E447" s="5">
        <f ca="1">MAX(0,CP*(D447-K))</f>
        <v>0</v>
      </c>
      <c r="F447" s="4">
        <f ca="1">(CP*(D447-K)&gt;0)*1</f>
        <v>0</v>
      </c>
      <c r="H447" s="4">
        <v>432</v>
      </c>
      <c r="I447" s="3">
        <v>0.66782181193033352</v>
      </c>
      <c r="J447" s="128">
        <v>1.375768001930429E-3</v>
      </c>
      <c r="K447" s="128"/>
      <c r="L447" s="128">
        <v>4.2599999999999999E-2</v>
      </c>
      <c r="O447" s="2"/>
    </row>
    <row r="448" spans="2:15" x14ac:dyDescent="0.2">
      <c r="B448" s="1">
        <v>433</v>
      </c>
      <c r="C448" s="5">
        <f ca="1">_xlfn.NORM.S.INV(RAND())</f>
        <v>-1.7640876440095952</v>
      </c>
      <c r="D448" s="5">
        <f ca="1">S0*EXP((μ-0.5*σ*σ)*T+σ*SQRT(T)*$C448)</f>
        <v>0.55842845588666201</v>
      </c>
      <c r="E448" s="5">
        <f ca="1">MAX(0,CP*(D448-K))</f>
        <v>0</v>
      </c>
      <c r="F448" s="4">
        <f ca="1">(CP*(D448-K)&gt;0)*1</f>
        <v>0</v>
      </c>
      <c r="H448" s="4">
        <v>433</v>
      </c>
      <c r="I448" s="3">
        <v>0.66780072602950458</v>
      </c>
      <c r="J448" s="128">
        <v>1.3215773069652429E-3</v>
      </c>
      <c r="K448" s="128"/>
      <c r="L448" s="128">
        <v>4.2799999999999998E-2</v>
      </c>
      <c r="O448" s="2"/>
    </row>
    <row r="449" spans="2:15" x14ac:dyDescent="0.2">
      <c r="B449" s="1">
        <v>434</v>
      </c>
      <c r="C449" s="5">
        <f ca="1">_xlfn.NORM.S.INV(RAND())</f>
        <v>-0.56957265174979121</v>
      </c>
      <c r="D449" s="5">
        <f ca="1">S0*EXP((μ-0.5*σ*σ)*T+σ*SQRT(T)*$C449)</f>
        <v>0.62822018651648537</v>
      </c>
      <c r="E449" s="5">
        <f ca="1">MAX(0,CP*(D449-K))</f>
        <v>0</v>
      </c>
      <c r="F449" s="4">
        <f ca="1">(CP*(D449-K)&gt;0)*1</f>
        <v>0</v>
      </c>
      <c r="H449" s="4">
        <v>434</v>
      </c>
      <c r="I449" s="3">
        <v>0.66777786161279673</v>
      </c>
      <c r="J449" s="128">
        <v>1.2896282628324768E-3</v>
      </c>
      <c r="K449" s="128"/>
      <c r="L449" s="128">
        <v>4.2799999999999998E-2</v>
      </c>
      <c r="O449" s="2"/>
    </row>
    <row r="450" spans="2:15" x14ac:dyDescent="0.2">
      <c r="B450" s="1">
        <v>435</v>
      </c>
      <c r="C450" s="5">
        <f ca="1">_xlfn.NORM.S.INV(RAND())</f>
        <v>-0.42702605677101313</v>
      </c>
      <c r="D450" s="5">
        <f ca="1">S0*EXP((μ-0.5*σ*σ)*T+σ*SQRT(T)*$C450)</f>
        <v>0.63711108530900362</v>
      </c>
      <c r="E450" s="5">
        <f ca="1">MAX(0,CP*(D450-K))</f>
        <v>0</v>
      </c>
      <c r="F450" s="4">
        <f ca="1">(CP*(D450-K)&gt;0)*1</f>
        <v>0</v>
      </c>
      <c r="H450" s="4">
        <v>435</v>
      </c>
      <c r="I450" s="3">
        <v>0.66753728194430573</v>
      </c>
      <c r="J450" s="128">
        <v>1.2563173682266649E-3</v>
      </c>
      <c r="K450" s="128"/>
      <c r="L450" s="128">
        <v>3.9800000000000002E-2</v>
      </c>
      <c r="O450" s="2"/>
    </row>
    <row r="451" spans="2:15" x14ac:dyDescent="0.2">
      <c r="B451" s="1">
        <v>436</v>
      </c>
      <c r="C451" s="5">
        <f ca="1">_xlfn.NORM.S.INV(RAND())</f>
        <v>4.1539914711219962E-2</v>
      </c>
      <c r="D451" s="5">
        <f ca="1">S0*EXP((μ-0.5*σ*σ)*T+σ*SQRT(T)*$C451)</f>
        <v>0.66723263428402246</v>
      </c>
      <c r="E451" s="5">
        <f ca="1">MAX(0,CP*(D451-K))</f>
        <v>0</v>
      </c>
      <c r="F451" s="4">
        <f ca="1">(CP*(D451-K)&gt;0)*1</f>
        <v>0</v>
      </c>
      <c r="H451" s="4">
        <v>436</v>
      </c>
      <c r="I451" s="3">
        <v>0.66778509573236622</v>
      </c>
      <c r="J451" s="128">
        <v>1.5196152084223362E-3</v>
      </c>
      <c r="K451" s="128"/>
      <c r="L451" s="128">
        <v>4.5199999999999997E-2</v>
      </c>
      <c r="O451" s="2"/>
    </row>
    <row r="452" spans="2:15" x14ac:dyDescent="0.2">
      <c r="B452" s="1">
        <v>437</v>
      </c>
      <c r="C452" s="5">
        <f ca="1">_xlfn.NORM.S.INV(RAND())</f>
        <v>7.7321720454721882E-2</v>
      </c>
      <c r="D452" s="5">
        <f ca="1">S0*EXP((μ-0.5*σ*σ)*T+σ*SQRT(T)*$C452)</f>
        <v>0.66959054575693833</v>
      </c>
      <c r="E452" s="5">
        <f ca="1">MAX(0,CP*(D452-K))</f>
        <v>0</v>
      </c>
      <c r="F452" s="4">
        <f ca="1">(CP*(D452-K)&gt;0)*1</f>
        <v>0</v>
      </c>
      <c r="H452" s="4">
        <v>437</v>
      </c>
      <c r="I452" s="3">
        <v>0.66770401813378244</v>
      </c>
      <c r="J452" s="128">
        <v>1.3739941158781863E-3</v>
      </c>
      <c r="K452" s="128"/>
      <c r="L452" s="128">
        <v>4.0399999999999998E-2</v>
      </c>
      <c r="O452" s="2"/>
    </row>
    <row r="453" spans="2:15" x14ac:dyDescent="0.2">
      <c r="B453" s="1">
        <v>438</v>
      </c>
      <c r="C453" s="5">
        <f ca="1">_xlfn.NORM.S.INV(RAND())</f>
        <v>9.6387719392616727E-2</v>
      </c>
      <c r="D453" s="5">
        <f ca="1">S0*EXP((μ-0.5*σ*σ)*T+σ*SQRT(T)*$C453)</f>
        <v>0.67085033770099656</v>
      </c>
      <c r="E453" s="5">
        <f ca="1">MAX(0,CP*(D453-K))</f>
        <v>0</v>
      </c>
      <c r="F453" s="4">
        <f ca="1">(CP*(D453-K)&gt;0)*1</f>
        <v>0</v>
      </c>
      <c r="H453" s="4">
        <v>438</v>
      </c>
      <c r="I453" s="3">
        <v>0.66774144086372833</v>
      </c>
      <c r="J453" s="128">
        <v>1.3108188067883124E-3</v>
      </c>
      <c r="K453" s="128"/>
      <c r="L453" s="128">
        <v>4.3799999999999999E-2</v>
      </c>
      <c r="O453" s="2"/>
    </row>
    <row r="454" spans="2:15" x14ac:dyDescent="0.2">
      <c r="B454" s="1">
        <v>439</v>
      </c>
      <c r="C454" s="5">
        <f ca="1">_xlfn.NORM.S.INV(RAND())</f>
        <v>0.44567290348272404</v>
      </c>
      <c r="D454" s="5">
        <f ca="1">S0*EXP((μ-0.5*σ*σ)*T+σ*SQRT(T)*$C454)</f>
        <v>0.69435350981050548</v>
      </c>
      <c r="E454" s="5">
        <f ca="1">MAX(0,CP*(D454-K))</f>
        <v>0</v>
      </c>
      <c r="F454" s="4">
        <f ca="1">(CP*(D454-K)&gt;0)*1</f>
        <v>0</v>
      </c>
      <c r="H454" s="4">
        <v>439</v>
      </c>
      <c r="I454" s="3">
        <v>0.66785730479456074</v>
      </c>
      <c r="J454" s="128">
        <v>1.407397696739619E-3</v>
      </c>
      <c r="K454" s="128"/>
      <c r="L454" s="128">
        <v>4.2200000000000001E-2</v>
      </c>
      <c r="O454" s="2"/>
    </row>
    <row r="455" spans="2:15" x14ac:dyDescent="0.2">
      <c r="B455" s="1">
        <v>440</v>
      </c>
      <c r="C455" s="5">
        <f ca="1">_xlfn.NORM.S.INV(RAND())</f>
        <v>0.42680875095958976</v>
      </c>
      <c r="D455" s="5">
        <f ca="1">S0*EXP((μ-0.5*σ*σ)*T+σ*SQRT(T)*$C455)</f>
        <v>0.69306337268243678</v>
      </c>
      <c r="E455" s="5">
        <f ca="1">MAX(0,CP*(D455-K))</f>
        <v>0</v>
      </c>
      <c r="F455" s="4">
        <f ca="1">(CP*(D455-K)&gt;0)*1</f>
        <v>0</v>
      </c>
      <c r="H455" s="4">
        <v>440</v>
      </c>
      <c r="I455" s="3">
        <v>0.66778417881917418</v>
      </c>
      <c r="J455" s="128">
        <v>1.4929929919284884E-3</v>
      </c>
      <c r="K455" s="128"/>
      <c r="L455" s="128">
        <v>4.36E-2</v>
      </c>
      <c r="O455" s="2"/>
    </row>
    <row r="456" spans="2:15" x14ac:dyDescent="0.2">
      <c r="B456" s="1">
        <v>441</v>
      </c>
      <c r="C456" s="5">
        <f ca="1">_xlfn.NORM.S.INV(RAND())</f>
        <v>-1.6612710556485741</v>
      </c>
      <c r="D456" s="5">
        <f ca="1">S0*EXP((μ-0.5*σ*σ)*T+σ*SQRT(T)*$C456)</f>
        <v>0.56411771097619146</v>
      </c>
      <c r="E456" s="5">
        <f ca="1">MAX(0,CP*(D456-K))</f>
        <v>0</v>
      </c>
      <c r="F456" s="4">
        <f ca="1">(CP*(D456-K)&gt;0)*1</f>
        <v>0</v>
      </c>
      <c r="H456" s="4">
        <v>441</v>
      </c>
      <c r="I456" s="3">
        <v>0.66774214107405006</v>
      </c>
      <c r="J456" s="128">
        <v>1.3839661902906378E-3</v>
      </c>
      <c r="K456" s="128"/>
      <c r="L456" s="128">
        <v>4.2599999999999999E-2</v>
      </c>
      <c r="O456" s="2"/>
    </row>
    <row r="457" spans="2:15" x14ac:dyDescent="0.2">
      <c r="B457" s="1">
        <v>442</v>
      </c>
      <c r="C457" s="5">
        <f ca="1">_xlfn.NORM.S.INV(RAND())</f>
        <v>0.66964921959304535</v>
      </c>
      <c r="D457" s="5">
        <f ca="1">S0*EXP((μ-0.5*σ*σ)*T+σ*SQRT(T)*$C457)</f>
        <v>0.70985623898799222</v>
      </c>
      <c r="E457" s="5">
        <f ca="1">MAX(0,CP*(D457-K))</f>
        <v>0</v>
      </c>
      <c r="F457" s="4">
        <f ca="1">(CP*(D457-K)&gt;0)*1</f>
        <v>0</v>
      </c>
      <c r="H457" s="4">
        <v>442</v>
      </c>
      <c r="I457" s="3">
        <v>0.6677571893928852</v>
      </c>
      <c r="J457" s="128">
        <v>1.2639253325772916E-3</v>
      </c>
      <c r="K457" s="128"/>
      <c r="L457" s="128">
        <v>4.3999999999999997E-2</v>
      </c>
      <c r="O457" s="2"/>
    </row>
    <row r="458" spans="2:15" x14ac:dyDescent="0.2">
      <c r="B458" s="1">
        <v>443</v>
      </c>
      <c r="C458" s="5">
        <f ca="1">_xlfn.NORM.S.INV(RAND())</f>
        <v>-1.299113484691155</v>
      </c>
      <c r="D458" s="5">
        <f ca="1">S0*EXP((μ-0.5*σ*σ)*T+σ*SQRT(T)*$C458)</f>
        <v>0.5846229653034426</v>
      </c>
      <c r="E458" s="5">
        <f ca="1">MAX(0,CP*(D458-K))</f>
        <v>0</v>
      </c>
      <c r="F458" s="4">
        <f ca="1">(CP*(D458-K)&gt;0)*1</f>
        <v>0</v>
      </c>
      <c r="H458" s="4">
        <v>443</v>
      </c>
      <c r="I458" s="3">
        <v>0.66775494647488731</v>
      </c>
      <c r="J458" s="128">
        <v>1.3570484924539394E-3</v>
      </c>
      <c r="K458" s="128"/>
      <c r="L458" s="128">
        <v>4.1399999999999999E-2</v>
      </c>
      <c r="O458" s="2"/>
    </row>
    <row r="459" spans="2:15" x14ac:dyDescent="0.2">
      <c r="B459" s="1">
        <v>444</v>
      </c>
      <c r="C459" s="5">
        <f ca="1">_xlfn.NORM.S.INV(RAND())</f>
        <v>0.84868941028044254</v>
      </c>
      <c r="D459" s="5">
        <f ca="1">S0*EXP((μ-0.5*σ*σ)*T+σ*SQRT(T)*$C459)</f>
        <v>0.72249723184078862</v>
      </c>
      <c r="E459" s="5">
        <f ca="1">MAX(0,CP*(D459-K))</f>
        <v>0</v>
      </c>
      <c r="F459" s="4">
        <f ca="1">(CP*(D459-K)&gt;0)*1</f>
        <v>0</v>
      </c>
      <c r="H459" s="4">
        <v>444</v>
      </c>
      <c r="I459" s="3">
        <v>0.66760190674489872</v>
      </c>
      <c r="J459" s="128">
        <v>1.1281905667741392E-3</v>
      </c>
      <c r="K459" s="128"/>
      <c r="L459" s="128">
        <v>3.8199999999999998E-2</v>
      </c>
      <c r="O459" s="2"/>
    </row>
    <row r="460" spans="2:15" x14ac:dyDescent="0.2">
      <c r="B460" s="1">
        <v>445</v>
      </c>
      <c r="C460" s="5">
        <f ca="1">_xlfn.NORM.S.INV(RAND())</f>
        <v>-5.8162729589461601E-2</v>
      </c>
      <c r="D460" s="5">
        <f ca="1">S0*EXP((μ-0.5*σ*σ)*T+σ*SQRT(T)*$C460)</f>
        <v>0.66070624475478046</v>
      </c>
      <c r="E460" s="5">
        <f ca="1">MAX(0,CP*(D460-K))</f>
        <v>0</v>
      </c>
      <c r="F460" s="4">
        <f ca="1">(CP*(D460-K)&gt;0)*1</f>
        <v>0</v>
      </c>
      <c r="H460" s="4">
        <v>445</v>
      </c>
      <c r="I460" s="3">
        <v>0.66780308163304403</v>
      </c>
      <c r="J460" s="128">
        <v>1.4488013953313107E-3</v>
      </c>
      <c r="K460" s="128"/>
      <c r="L460" s="128">
        <v>4.3400000000000001E-2</v>
      </c>
      <c r="O460" s="2"/>
    </row>
    <row r="461" spans="2:15" x14ac:dyDescent="0.2">
      <c r="B461" s="1">
        <v>446</v>
      </c>
      <c r="C461" s="5">
        <f ca="1">_xlfn.NORM.S.INV(RAND())</f>
        <v>0.97453178106859961</v>
      </c>
      <c r="D461" s="5">
        <f ca="1">S0*EXP((μ-0.5*σ*σ)*T+σ*SQRT(T)*$C461)</f>
        <v>0.73151671429245602</v>
      </c>
      <c r="E461" s="5">
        <f ca="1">MAX(0,CP*(D461-K))</f>
        <v>0</v>
      </c>
      <c r="F461" s="4">
        <f ca="1">(CP*(D461-K)&gt;0)*1</f>
        <v>0</v>
      </c>
      <c r="H461" s="4">
        <v>446</v>
      </c>
      <c r="I461" s="3">
        <v>0.6678409015165897</v>
      </c>
      <c r="J461" s="128">
        <v>1.4322969476735213E-3</v>
      </c>
      <c r="K461" s="128"/>
      <c r="L461" s="128">
        <v>4.3799999999999999E-2</v>
      </c>
      <c r="O461" s="2"/>
    </row>
    <row r="462" spans="2:15" x14ac:dyDescent="0.2">
      <c r="B462" s="1">
        <v>447</v>
      </c>
      <c r="C462" s="5">
        <f ca="1">_xlfn.NORM.S.INV(RAND())</f>
        <v>1.1047758950991438</v>
      </c>
      <c r="D462" s="5">
        <f ca="1">S0*EXP((μ-0.5*σ*σ)*T+σ*SQRT(T)*$C462)</f>
        <v>0.74097027308017205</v>
      </c>
      <c r="E462" s="5">
        <f ca="1">MAX(0,CP*(D462-K))</f>
        <v>0</v>
      </c>
      <c r="F462" s="4">
        <f ca="1">(CP*(D462-K)&gt;0)*1</f>
        <v>0</v>
      </c>
      <c r="H462" s="4">
        <v>447</v>
      </c>
      <c r="I462" s="3">
        <v>0.66763413028082974</v>
      </c>
      <c r="J462" s="128">
        <v>1.1045906196518029E-3</v>
      </c>
      <c r="K462" s="128"/>
      <c r="L462" s="128">
        <v>3.6799999999999999E-2</v>
      </c>
      <c r="O462" s="2"/>
    </row>
    <row r="463" spans="2:15" x14ac:dyDescent="0.2">
      <c r="B463" s="1">
        <v>448</v>
      </c>
      <c r="C463" s="5">
        <f ca="1">_xlfn.NORM.S.INV(RAND())</f>
        <v>-1.2339605713209556E-2</v>
      </c>
      <c r="D463" s="5">
        <f ca="1">S0*EXP((μ-0.5*σ*σ)*T+σ*SQRT(T)*$C463)</f>
        <v>0.66369779413239005</v>
      </c>
      <c r="E463" s="5">
        <f ca="1">MAX(0,CP*(D463-K))</f>
        <v>0</v>
      </c>
      <c r="F463" s="4">
        <f ca="1">(CP*(D463-K)&gt;0)*1</f>
        <v>0</v>
      </c>
      <c r="H463" s="4">
        <v>448</v>
      </c>
      <c r="I463" s="3">
        <v>0.66769857984083758</v>
      </c>
      <c r="J463" s="128">
        <v>1.3847297340985286E-3</v>
      </c>
      <c r="K463" s="128"/>
      <c r="L463" s="128">
        <v>4.3999999999999997E-2</v>
      </c>
      <c r="O463" s="2"/>
    </row>
    <row r="464" spans="2:15" x14ac:dyDescent="0.2">
      <c r="B464" s="1">
        <v>449</v>
      </c>
      <c r="C464" s="5">
        <f ca="1">_xlfn.NORM.S.INV(RAND())</f>
        <v>-1.0027701168769418</v>
      </c>
      <c r="D464" s="5">
        <f ca="1">S0*EXP((μ-0.5*σ*σ)*T+σ*SQRT(T)*$C464)</f>
        <v>0.60195511245655609</v>
      </c>
      <c r="E464" s="5">
        <f ca="1">MAX(0,CP*(D464-K))</f>
        <v>0</v>
      </c>
      <c r="F464" s="4">
        <f ca="1">(CP*(D464-K)&gt;0)*1</f>
        <v>0</v>
      </c>
      <c r="H464" s="4">
        <v>449</v>
      </c>
      <c r="I464" s="3">
        <v>0.66775868397988536</v>
      </c>
      <c r="J464" s="128">
        <v>1.3770858709584465E-3</v>
      </c>
      <c r="K464" s="128"/>
      <c r="L464" s="128">
        <v>4.5400000000000003E-2</v>
      </c>
      <c r="O464" s="2"/>
    </row>
    <row r="465" spans="2:15" x14ac:dyDescent="0.2">
      <c r="B465" s="1">
        <v>450</v>
      </c>
      <c r="C465" s="5">
        <f ca="1">_xlfn.NORM.S.INV(RAND())</f>
        <v>-2.5612982945026164</v>
      </c>
      <c r="D465" s="5">
        <f ca="1">S0*EXP((μ-0.5*σ*σ)*T+σ*SQRT(T)*$C465)</f>
        <v>0.5162192245046443</v>
      </c>
      <c r="E465" s="5">
        <f ca="1">MAX(0,CP*(D465-K))</f>
        <v>0</v>
      </c>
      <c r="F465" s="4">
        <f ca="1">(CP*(D465-K)&gt;0)*1</f>
        <v>0</v>
      </c>
      <c r="H465" s="4">
        <v>450</v>
      </c>
      <c r="I465" s="3">
        <v>0.66771332424590246</v>
      </c>
      <c r="J465" s="128">
        <v>1.3461586194403116E-3</v>
      </c>
      <c r="K465" s="128"/>
      <c r="L465" s="128">
        <v>4.0800000000000003E-2</v>
      </c>
      <c r="O465" s="2"/>
    </row>
    <row r="466" spans="2:15" x14ac:dyDescent="0.2">
      <c r="B466" s="1">
        <v>451</v>
      </c>
      <c r="C466" s="5">
        <f ca="1">_xlfn.NORM.S.INV(RAND())</f>
        <v>1.5759306351042239</v>
      </c>
      <c r="D466" s="5">
        <f ca="1">S0*EXP((μ-0.5*σ*σ)*T+σ*SQRT(T)*$C466)</f>
        <v>0.77620018778634992</v>
      </c>
      <c r="E466" s="5">
        <f ca="1">MAX(0,CP*(D466-K))</f>
        <v>0</v>
      </c>
      <c r="F466" s="4">
        <f ca="1">(CP*(D466-K)&gt;0)*1</f>
        <v>0</v>
      </c>
      <c r="H466" s="4">
        <v>451</v>
      </c>
      <c r="I466" s="3">
        <v>0.66770829605676796</v>
      </c>
      <c r="J466" s="128">
        <v>1.3989627733686485E-3</v>
      </c>
      <c r="K466" s="128"/>
      <c r="L466" s="128">
        <v>4.2799999999999998E-2</v>
      </c>
      <c r="O466" s="2"/>
    </row>
    <row r="467" spans="2:15" x14ac:dyDescent="0.2">
      <c r="B467" s="1">
        <v>452</v>
      </c>
      <c r="C467" s="5">
        <f ca="1">_xlfn.NORM.S.INV(RAND())</f>
        <v>1.6045224734785899</v>
      </c>
      <c r="D467" s="5">
        <f ca="1">S0*EXP((μ-0.5*σ*σ)*T+σ*SQRT(T)*$C467)</f>
        <v>0.77839122514156933</v>
      </c>
      <c r="E467" s="5">
        <f ca="1">MAX(0,CP*(D467-K))</f>
        <v>0</v>
      </c>
      <c r="F467" s="4">
        <f ca="1">(CP*(D467-K)&gt;0)*1</f>
        <v>0</v>
      </c>
      <c r="H467" s="4">
        <v>452</v>
      </c>
      <c r="I467" s="3">
        <v>0.66791734309858197</v>
      </c>
      <c r="J467" s="128">
        <v>1.5771486802740131E-3</v>
      </c>
      <c r="K467" s="128"/>
      <c r="L467" s="128">
        <v>4.8000000000000001E-2</v>
      </c>
      <c r="O467" s="2"/>
    </row>
    <row r="468" spans="2:15" x14ac:dyDescent="0.2">
      <c r="B468" s="1">
        <v>453</v>
      </c>
      <c r="C468" s="5">
        <f ca="1">_xlfn.NORM.S.INV(RAND())</f>
        <v>0.3377422344763949</v>
      </c>
      <c r="D468" s="5">
        <f ca="1">S0*EXP((μ-0.5*σ*σ)*T+σ*SQRT(T)*$C468)</f>
        <v>0.68700433303248254</v>
      </c>
      <c r="E468" s="5">
        <f ca="1">MAX(0,CP*(D468-K))</f>
        <v>0</v>
      </c>
      <c r="F468" s="4">
        <f ca="1">(CP*(D468-K)&gt;0)*1</f>
        <v>0</v>
      </c>
      <c r="H468" s="4">
        <v>453</v>
      </c>
      <c r="I468" s="3">
        <v>0.66774957660084067</v>
      </c>
      <c r="J468" s="128">
        <v>1.323363536088928E-3</v>
      </c>
      <c r="K468" s="128"/>
      <c r="L468" s="128">
        <v>0.04</v>
      </c>
      <c r="O468" s="2"/>
    </row>
    <row r="469" spans="2:15" x14ac:dyDescent="0.2">
      <c r="B469" s="1">
        <v>454</v>
      </c>
      <c r="C469" s="5">
        <f ca="1">_xlfn.NORM.S.INV(RAND())</f>
        <v>0.31748738167357266</v>
      </c>
      <c r="D469" s="5">
        <f ca="1">S0*EXP((μ-0.5*σ*σ)*T+σ*SQRT(T)*$C469)</f>
        <v>0.68563384027596164</v>
      </c>
      <c r="E469" s="5">
        <f ca="1">MAX(0,CP*(D469-K))</f>
        <v>0</v>
      </c>
      <c r="F469" s="4">
        <f ca="1">(CP*(D469-K)&gt;0)*1</f>
        <v>0</v>
      </c>
      <c r="H469" s="4">
        <v>454</v>
      </c>
      <c r="I469" s="3">
        <v>0.66779568363838282</v>
      </c>
      <c r="J469" s="128">
        <v>1.4064555015453417E-3</v>
      </c>
      <c r="K469" s="128"/>
      <c r="L469" s="128">
        <v>4.4400000000000002E-2</v>
      </c>
      <c r="O469" s="2"/>
    </row>
    <row r="470" spans="2:15" x14ac:dyDescent="0.2">
      <c r="B470" s="1">
        <v>455</v>
      </c>
      <c r="C470" s="5">
        <f ca="1">_xlfn.NORM.S.INV(RAND())</f>
        <v>-1.0270631859284489</v>
      </c>
      <c r="D470" s="5">
        <f ca="1">S0*EXP((μ-0.5*σ*σ)*T+σ*SQRT(T)*$C470)</f>
        <v>0.60051515967754598</v>
      </c>
      <c r="E470" s="5">
        <f ca="1">MAX(0,CP*(D470-K))</f>
        <v>0</v>
      </c>
      <c r="F470" s="4">
        <f ca="1">(CP*(D470-K)&gt;0)*1</f>
        <v>0</v>
      </c>
      <c r="H470" s="4">
        <v>455</v>
      </c>
      <c r="I470" s="3">
        <v>0.66761435775132916</v>
      </c>
      <c r="J470" s="128">
        <v>1.2214431577792799E-3</v>
      </c>
      <c r="K470" s="128"/>
      <c r="L470" s="128">
        <v>0.04</v>
      </c>
      <c r="O470" s="2"/>
    </row>
    <row r="471" spans="2:15" x14ac:dyDescent="0.2">
      <c r="B471" s="1">
        <v>456</v>
      </c>
      <c r="C471" s="5">
        <f ca="1">_xlfn.NORM.S.INV(RAND())</f>
        <v>1.0493317139132028</v>
      </c>
      <c r="D471" s="5">
        <f ca="1">S0*EXP((μ-0.5*σ*σ)*T+σ*SQRT(T)*$C471)</f>
        <v>0.73693110364510017</v>
      </c>
      <c r="E471" s="5">
        <f ca="1">MAX(0,CP*(D471-K))</f>
        <v>0</v>
      </c>
      <c r="F471" s="4">
        <f ca="1">(CP*(D471-K)&gt;0)*1</f>
        <v>0</v>
      </c>
      <c r="H471" s="4">
        <v>456</v>
      </c>
      <c r="I471" s="3">
        <v>0.66771191761371451</v>
      </c>
      <c r="J471" s="128">
        <v>1.4557222707938142E-3</v>
      </c>
      <c r="K471" s="128"/>
      <c r="L471" s="128">
        <v>3.9199999999999999E-2</v>
      </c>
      <c r="O471" s="2"/>
    </row>
    <row r="472" spans="2:15" x14ac:dyDescent="0.2">
      <c r="B472" s="1">
        <v>457</v>
      </c>
      <c r="C472" s="5">
        <f ca="1">_xlfn.NORM.S.INV(RAND())</f>
        <v>0.13164980492512787</v>
      </c>
      <c r="D472" s="5">
        <f ca="1">S0*EXP((μ-0.5*σ*σ)*T+σ*SQRT(T)*$C472)</f>
        <v>0.67318654010840395</v>
      </c>
      <c r="E472" s="5">
        <f ca="1">MAX(0,CP*(D472-K))</f>
        <v>0</v>
      </c>
      <c r="F472" s="4">
        <f ca="1">(CP*(D472-K)&gt;0)*1</f>
        <v>0</v>
      </c>
      <c r="H472" s="4">
        <v>457</v>
      </c>
      <c r="I472" s="3">
        <v>0.6677386943482525</v>
      </c>
      <c r="J472" s="128">
        <v>1.3620328242724515E-3</v>
      </c>
      <c r="K472" s="128"/>
      <c r="L472" s="128">
        <v>4.0800000000000003E-2</v>
      </c>
      <c r="O472" s="2"/>
    </row>
    <row r="473" spans="2:15" x14ac:dyDescent="0.2">
      <c r="B473" s="1">
        <v>458</v>
      </c>
      <c r="C473" s="5">
        <f ca="1">_xlfn.NORM.S.INV(RAND())</f>
        <v>1.3696327065271598</v>
      </c>
      <c r="D473" s="5">
        <f ca="1">S0*EXP((μ-0.5*σ*σ)*T+σ*SQRT(T)*$C473)</f>
        <v>0.76057297984501748</v>
      </c>
      <c r="E473" s="5">
        <f ca="1">MAX(0,CP*(D473-K))</f>
        <v>0</v>
      </c>
      <c r="F473" s="4">
        <f ca="1">(CP*(D473-K)&gt;0)*1</f>
        <v>0</v>
      </c>
      <c r="H473" s="4">
        <v>458</v>
      </c>
      <c r="I473" s="3">
        <v>0.66768680031856731</v>
      </c>
      <c r="J473" s="128">
        <v>1.2881916701749055E-3</v>
      </c>
      <c r="K473" s="128"/>
      <c r="L473" s="128">
        <v>4.1200000000000001E-2</v>
      </c>
      <c r="O473" s="2"/>
    </row>
    <row r="474" spans="2:15" x14ac:dyDescent="0.2">
      <c r="B474" s="1">
        <v>459</v>
      </c>
      <c r="C474" s="5">
        <f ca="1">_xlfn.NORM.S.INV(RAND())</f>
        <v>-0.62044465171504848</v>
      </c>
      <c r="D474" s="5">
        <f ca="1">S0*EXP((μ-0.5*σ*σ)*T+σ*SQRT(T)*$C474)</f>
        <v>0.62507733540629828</v>
      </c>
      <c r="E474" s="5">
        <f ca="1">MAX(0,CP*(D474-K))</f>
        <v>0</v>
      </c>
      <c r="F474" s="4">
        <f ca="1">(CP*(D474-K)&gt;0)*1</f>
        <v>0</v>
      </c>
      <c r="H474" s="4">
        <v>459</v>
      </c>
      <c r="I474" s="3">
        <v>0.66780803646314957</v>
      </c>
      <c r="J474" s="128">
        <v>1.5440304081562547E-3</v>
      </c>
      <c r="K474" s="128"/>
      <c r="L474" s="128">
        <v>4.4400000000000002E-2</v>
      </c>
      <c r="O474" s="2"/>
    </row>
    <row r="475" spans="2:15" x14ac:dyDescent="0.2">
      <c r="B475" s="1">
        <v>460</v>
      </c>
      <c r="C475" s="5">
        <f ca="1">_xlfn.NORM.S.INV(RAND())</f>
        <v>-1.1517265611582435</v>
      </c>
      <c r="D475" s="5">
        <f ca="1">S0*EXP((μ-0.5*σ*σ)*T+σ*SQRT(T)*$C475)</f>
        <v>0.59317984892051845</v>
      </c>
      <c r="E475" s="5">
        <f ca="1">MAX(0,CP*(D475-K))</f>
        <v>0</v>
      </c>
      <c r="F475" s="4">
        <f ca="1">(CP*(D475-K)&gt;0)*1</f>
        <v>0</v>
      </c>
      <c r="H475" s="4">
        <v>460</v>
      </c>
      <c r="I475" s="3">
        <v>0.66769965985751367</v>
      </c>
      <c r="J475" s="128">
        <v>1.3703914376573178E-3</v>
      </c>
      <c r="K475" s="128"/>
      <c r="L475" s="128">
        <v>4.0399999999999998E-2</v>
      </c>
      <c r="O475" s="2"/>
    </row>
    <row r="476" spans="2:15" x14ac:dyDescent="0.2">
      <c r="B476" s="1">
        <v>461</v>
      </c>
      <c r="C476" s="5">
        <f ca="1">_xlfn.NORM.S.INV(RAND())</f>
        <v>-0.74511301584424117</v>
      </c>
      <c r="D476" s="5">
        <f ca="1">S0*EXP((μ-0.5*σ*σ)*T+σ*SQRT(T)*$C476)</f>
        <v>0.61744169324874476</v>
      </c>
      <c r="E476" s="5">
        <f ca="1">MAX(0,CP*(D476-K))</f>
        <v>0</v>
      </c>
      <c r="F476" s="4">
        <f ca="1">(CP*(D476-K)&gt;0)*1</f>
        <v>0</v>
      </c>
      <c r="H476" s="4">
        <v>461</v>
      </c>
      <c r="I476" s="3">
        <v>0.66767218202432965</v>
      </c>
      <c r="J476" s="128">
        <v>1.2786160677657797E-3</v>
      </c>
      <c r="K476" s="128"/>
      <c r="L476" s="128">
        <v>3.8800000000000001E-2</v>
      </c>
      <c r="O476" s="2"/>
    </row>
    <row r="477" spans="2:15" x14ac:dyDescent="0.2">
      <c r="B477" s="1">
        <v>462</v>
      </c>
      <c r="C477" s="5">
        <f ca="1">_xlfn.NORM.S.INV(RAND())</f>
        <v>0.19933165363686897</v>
      </c>
      <c r="D477" s="5">
        <f ca="1">S0*EXP((μ-0.5*σ*σ)*T+σ*SQRT(T)*$C477)</f>
        <v>0.67769345229043587</v>
      </c>
      <c r="E477" s="5">
        <f ca="1">MAX(0,CP*(D477-K))</f>
        <v>0</v>
      </c>
      <c r="F477" s="4">
        <f ca="1">(CP*(D477-K)&gt;0)*1</f>
        <v>0</v>
      </c>
      <c r="H477" s="4">
        <v>462</v>
      </c>
      <c r="I477" s="3">
        <v>0.66777222959037985</v>
      </c>
      <c r="J477" s="128">
        <v>1.4610724772420411E-3</v>
      </c>
      <c r="K477" s="128"/>
      <c r="L477" s="128">
        <v>4.2999999999999997E-2</v>
      </c>
      <c r="O477" s="2"/>
    </row>
    <row r="478" spans="2:15" x14ac:dyDescent="0.2">
      <c r="B478" s="1">
        <v>463</v>
      </c>
      <c r="C478" s="5">
        <f ca="1">_xlfn.NORM.S.INV(RAND())</f>
        <v>-7.7974852881192172E-2</v>
      </c>
      <c r="D478" s="5">
        <f ca="1">S0*EXP((μ-0.5*σ*σ)*T+σ*SQRT(T)*$C478)</f>
        <v>0.65941699491745653</v>
      </c>
      <c r="E478" s="5">
        <f ca="1">MAX(0,CP*(D478-K))</f>
        <v>0</v>
      </c>
      <c r="F478" s="4">
        <f ca="1">(CP*(D478-K)&gt;0)*1</f>
        <v>0</v>
      </c>
      <c r="H478" s="4">
        <v>463</v>
      </c>
      <c r="I478" s="3">
        <v>0.66754985455448346</v>
      </c>
      <c r="J478" s="128">
        <v>1.1039121166524083E-3</v>
      </c>
      <c r="K478" s="128"/>
      <c r="L478" s="128">
        <v>3.8800000000000001E-2</v>
      </c>
      <c r="O478" s="2"/>
    </row>
    <row r="479" spans="2:15" x14ac:dyDescent="0.2">
      <c r="B479" s="1">
        <v>464</v>
      </c>
      <c r="C479" s="5">
        <f ca="1">_xlfn.NORM.S.INV(RAND())</f>
        <v>-1.3213958660795986</v>
      </c>
      <c r="D479" s="5">
        <f ca="1">S0*EXP((μ-0.5*σ*σ)*T+σ*SQRT(T)*$C479)</f>
        <v>0.583340096448699</v>
      </c>
      <c r="E479" s="5">
        <f ca="1">MAX(0,CP*(D479-K))</f>
        <v>0</v>
      </c>
      <c r="F479" s="4">
        <f ca="1">(CP*(D479-K)&gt;0)*1</f>
        <v>0</v>
      </c>
      <c r="H479" s="4">
        <v>464</v>
      </c>
      <c r="I479" s="3">
        <v>0.66782864346236814</v>
      </c>
      <c r="J479" s="128">
        <v>1.423226590967072E-3</v>
      </c>
      <c r="K479" s="128"/>
      <c r="L479" s="128">
        <v>4.2999999999999997E-2</v>
      </c>
      <c r="O479" s="2"/>
    </row>
    <row r="480" spans="2:15" x14ac:dyDescent="0.2">
      <c r="B480" s="1">
        <v>465</v>
      </c>
      <c r="C480" s="5">
        <f ca="1">_xlfn.NORM.S.INV(RAND())</f>
        <v>1.4676334645613713</v>
      </c>
      <c r="D480" s="5">
        <f ca="1">S0*EXP((μ-0.5*σ*σ)*T+σ*SQRT(T)*$C480)</f>
        <v>0.76795698068138185</v>
      </c>
      <c r="E480" s="5">
        <f ca="1">MAX(0,CP*(D480-K))</f>
        <v>0</v>
      </c>
      <c r="F480" s="4">
        <f ca="1">(CP*(D480-K)&gt;0)*1</f>
        <v>0</v>
      </c>
      <c r="H480" s="4">
        <v>465</v>
      </c>
      <c r="I480" s="3">
        <v>0.6678291877995719</v>
      </c>
      <c r="J480" s="128">
        <v>1.6025957119635463E-3</v>
      </c>
      <c r="K480" s="128"/>
      <c r="L480" s="128">
        <v>4.36E-2</v>
      </c>
      <c r="O480" s="2"/>
    </row>
    <row r="481" spans="2:15" x14ac:dyDescent="0.2">
      <c r="B481" s="1">
        <v>466</v>
      </c>
      <c r="C481" s="5">
        <f ca="1">_xlfn.NORM.S.INV(RAND())</f>
        <v>0.45597498544875364</v>
      </c>
      <c r="D481" s="5">
        <f ca="1">S0*EXP((μ-0.5*σ*σ)*T+σ*SQRT(T)*$C481)</f>
        <v>0.69505909250771447</v>
      </c>
      <c r="E481" s="5">
        <f ca="1">MAX(0,CP*(D481-K))</f>
        <v>0</v>
      </c>
      <c r="F481" s="4">
        <f ca="1">(CP*(D481-K)&gt;0)*1</f>
        <v>0</v>
      </c>
      <c r="H481" s="4">
        <v>466</v>
      </c>
      <c r="I481" s="3">
        <v>0.66776337504741656</v>
      </c>
      <c r="J481" s="128">
        <v>1.4645235198871287E-3</v>
      </c>
      <c r="K481" s="128"/>
      <c r="L481" s="128">
        <v>4.02E-2</v>
      </c>
      <c r="O481" s="2"/>
    </row>
    <row r="482" spans="2:15" x14ac:dyDescent="0.2">
      <c r="B482" s="1">
        <v>467</v>
      </c>
      <c r="C482" s="5">
        <f ca="1">_xlfn.NORM.S.INV(RAND())</f>
        <v>-0.12450423382332253</v>
      </c>
      <c r="D482" s="5">
        <f ca="1">S0*EXP((μ-0.5*σ*σ)*T+σ*SQRT(T)*$C482)</f>
        <v>0.65639903539399047</v>
      </c>
      <c r="E482" s="5">
        <f ca="1">MAX(0,CP*(D482-K))</f>
        <v>0</v>
      </c>
      <c r="F482" s="4">
        <f ca="1">(CP*(D482-K)&gt;0)*1</f>
        <v>0</v>
      </c>
      <c r="H482" s="4">
        <v>467</v>
      </c>
      <c r="I482" s="3">
        <v>0.66778397804570178</v>
      </c>
      <c r="J482" s="128">
        <v>1.3977437192423388E-3</v>
      </c>
      <c r="K482" s="128"/>
      <c r="L482" s="128">
        <v>4.0399999999999998E-2</v>
      </c>
      <c r="O482" s="2"/>
    </row>
    <row r="483" spans="2:15" x14ac:dyDescent="0.2">
      <c r="B483" s="1">
        <v>468</v>
      </c>
      <c r="C483" s="5">
        <f ca="1">_xlfn.NORM.S.INV(RAND())</f>
        <v>0.57670354213594532</v>
      </c>
      <c r="D483" s="5">
        <f ca="1">S0*EXP((μ-0.5*σ*σ)*T+σ*SQRT(T)*$C483)</f>
        <v>0.70338133906729805</v>
      </c>
      <c r="E483" s="5">
        <f ca="1">MAX(0,CP*(D483-K))</f>
        <v>0</v>
      </c>
      <c r="F483" s="4">
        <f ca="1">(CP*(D483-K)&gt;0)*1</f>
        <v>0</v>
      </c>
      <c r="H483" s="4">
        <v>468</v>
      </c>
      <c r="I483" s="3">
        <v>0.66786224975622122</v>
      </c>
      <c r="J483" s="128">
        <v>1.5695504903962365E-3</v>
      </c>
      <c r="K483" s="128"/>
      <c r="L483" s="128">
        <v>4.4200000000000003E-2</v>
      </c>
      <c r="O483" s="2"/>
    </row>
    <row r="484" spans="2:15" x14ac:dyDescent="0.2">
      <c r="B484" s="1">
        <v>469</v>
      </c>
      <c r="C484" s="5">
        <f ca="1">_xlfn.NORM.S.INV(RAND())</f>
        <v>0.61864039809502702</v>
      </c>
      <c r="D484" s="5">
        <f ca="1">S0*EXP((μ-0.5*σ*σ)*T+σ*SQRT(T)*$C484)</f>
        <v>0.7062954529780765</v>
      </c>
      <c r="E484" s="5">
        <f ca="1">MAX(0,CP*(D484-K))</f>
        <v>0</v>
      </c>
      <c r="F484" s="4">
        <f ca="1">(CP*(D484-K)&gt;0)*1</f>
        <v>0</v>
      </c>
      <c r="H484" s="4">
        <v>469</v>
      </c>
      <c r="I484" s="3">
        <v>0.66773133824406616</v>
      </c>
      <c r="J484" s="128">
        <v>1.4614279852631E-3</v>
      </c>
      <c r="K484" s="128"/>
      <c r="L484" s="128">
        <v>4.24E-2</v>
      </c>
      <c r="O484" s="2"/>
    </row>
    <row r="485" spans="2:15" x14ac:dyDescent="0.2">
      <c r="B485" s="1">
        <v>470</v>
      </c>
      <c r="C485" s="5">
        <f ca="1">_xlfn.NORM.S.INV(RAND())</f>
        <v>0.67858220792002133</v>
      </c>
      <c r="D485" s="5">
        <f ca="1">S0*EXP((μ-0.5*σ*σ)*T+σ*SQRT(T)*$C485)</f>
        <v>0.71048167105164017</v>
      </c>
      <c r="E485" s="5">
        <f ca="1">MAX(0,CP*(D485-K))</f>
        <v>0</v>
      </c>
      <c r="F485" s="4">
        <f ca="1">(CP*(D485-K)&gt;0)*1</f>
        <v>0</v>
      </c>
      <c r="H485" s="4">
        <v>470</v>
      </c>
      <c r="I485" s="3">
        <v>0.66779132227301186</v>
      </c>
      <c r="J485" s="128">
        <v>1.4018154413849664E-3</v>
      </c>
      <c r="K485" s="128"/>
      <c r="L485" s="128">
        <v>4.2599999999999999E-2</v>
      </c>
      <c r="O485" s="2"/>
    </row>
    <row r="486" spans="2:15" x14ac:dyDescent="0.2">
      <c r="B486" s="1">
        <v>471</v>
      </c>
      <c r="C486" s="5">
        <f ca="1">_xlfn.NORM.S.INV(RAND())</f>
        <v>0.58359469597260516</v>
      </c>
      <c r="D486" s="5">
        <f ca="1">S0*EXP((μ-0.5*σ*σ)*T+σ*SQRT(T)*$C486)</f>
        <v>0.70385936564329288</v>
      </c>
      <c r="E486" s="5">
        <f ca="1">MAX(0,CP*(D486-K))</f>
        <v>0</v>
      </c>
      <c r="F486" s="4">
        <f ca="1">(CP*(D486-K)&gt;0)*1</f>
        <v>0</v>
      </c>
      <c r="H486" s="4">
        <v>471</v>
      </c>
      <c r="I486" s="3">
        <v>0.66762534096383774</v>
      </c>
      <c r="J486" s="128">
        <v>1.1946130626612672E-3</v>
      </c>
      <c r="K486" s="128"/>
      <c r="L486" s="128">
        <v>3.7999999999999999E-2</v>
      </c>
      <c r="O486" s="2"/>
    </row>
    <row r="487" spans="2:15" x14ac:dyDescent="0.2">
      <c r="B487" s="1">
        <v>472</v>
      </c>
      <c r="C487" s="5">
        <f ca="1">_xlfn.NORM.S.INV(RAND())</f>
        <v>-1.1172527727386461</v>
      </c>
      <c r="D487" s="5">
        <f ca="1">S0*EXP((μ-0.5*σ*σ)*T+σ*SQRT(T)*$C487)</f>
        <v>0.59519930933829257</v>
      </c>
      <c r="E487" s="5">
        <f ca="1">MAX(0,CP*(D487-K))</f>
        <v>0</v>
      </c>
      <c r="F487" s="4">
        <f ca="1">(CP*(D487-K)&gt;0)*1</f>
        <v>0</v>
      </c>
      <c r="H487" s="4">
        <v>472</v>
      </c>
      <c r="I487" s="3">
        <v>0.66778746576029402</v>
      </c>
      <c r="J487" s="128">
        <v>1.3916769536152674E-3</v>
      </c>
      <c r="K487" s="128"/>
      <c r="L487" s="128">
        <v>4.4600000000000001E-2</v>
      </c>
      <c r="O487" s="2"/>
    </row>
    <row r="488" spans="2:15" x14ac:dyDescent="0.2">
      <c r="B488" s="1">
        <v>473</v>
      </c>
      <c r="C488" s="5">
        <f ca="1">_xlfn.NORM.S.INV(RAND())</f>
        <v>-2.596825810148494</v>
      </c>
      <c r="D488" s="5">
        <f ca="1">S0*EXP((μ-0.5*σ*σ)*T+σ*SQRT(T)*$C488)</f>
        <v>0.51441429442336273</v>
      </c>
      <c r="E488" s="5">
        <f ca="1">MAX(0,CP*(D488-K))</f>
        <v>0</v>
      </c>
      <c r="F488" s="4">
        <f ca="1">(CP*(D488-K)&gt;0)*1</f>
        <v>0</v>
      </c>
      <c r="H488" s="4">
        <v>473</v>
      </c>
      <c r="I488" s="3">
        <v>0.66769459042941404</v>
      </c>
      <c r="J488" s="128">
        <v>1.3008915704409588E-3</v>
      </c>
      <c r="K488" s="128"/>
      <c r="L488" s="128">
        <v>4.1200000000000001E-2</v>
      </c>
      <c r="O488" s="2"/>
    </row>
    <row r="489" spans="2:15" x14ac:dyDescent="0.2">
      <c r="B489" s="1">
        <v>474</v>
      </c>
      <c r="C489" s="5">
        <f ca="1">_xlfn.NORM.S.INV(RAND())</f>
        <v>-1.1771957256984078</v>
      </c>
      <c r="D489" s="5">
        <f ca="1">S0*EXP((μ-0.5*σ*σ)*T+σ*SQRT(T)*$C489)</f>
        <v>0.59169227800350777</v>
      </c>
      <c r="E489" s="5">
        <f ca="1">MAX(0,CP*(D489-K))</f>
        <v>0</v>
      </c>
      <c r="F489" s="4">
        <f ca="1">(CP*(D489-K)&gt;0)*1</f>
        <v>0</v>
      </c>
      <c r="H489" s="4">
        <v>474</v>
      </c>
      <c r="I489" s="3">
        <v>0.66778239190597422</v>
      </c>
      <c r="J489" s="128">
        <v>1.3669572607716153E-3</v>
      </c>
      <c r="K489" s="128"/>
      <c r="L489" s="128">
        <v>4.2999999999999997E-2</v>
      </c>
      <c r="O489" s="2"/>
    </row>
    <row r="490" spans="2:15" x14ac:dyDescent="0.2">
      <c r="B490" s="1">
        <v>475</v>
      </c>
      <c r="C490" s="5">
        <f ca="1">_xlfn.NORM.S.INV(RAND())</f>
        <v>-1.0687047919746462</v>
      </c>
      <c r="D490" s="5">
        <f ca="1">S0*EXP((μ-0.5*σ*σ)*T+σ*SQRT(T)*$C490)</f>
        <v>0.59805489399561429</v>
      </c>
      <c r="E490" s="5">
        <f ca="1">MAX(0,CP*(D490-K))</f>
        <v>0</v>
      </c>
      <c r="F490" s="4">
        <f ca="1">(CP*(D490-K)&gt;0)*1</f>
        <v>0</v>
      </c>
      <c r="H490" s="4">
        <v>475</v>
      </c>
      <c r="I490" s="3">
        <v>0.66780455123241123</v>
      </c>
      <c r="J490" s="128">
        <v>1.357387259888455E-3</v>
      </c>
      <c r="K490" s="128"/>
      <c r="L490" s="128">
        <v>4.1399999999999999E-2</v>
      </c>
      <c r="O490" s="2"/>
    </row>
    <row r="491" spans="2:15" x14ac:dyDescent="0.2">
      <c r="B491" s="1">
        <v>476</v>
      </c>
      <c r="C491" s="5">
        <f ca="1">_xlfn.NORM.S.INV(RAND())</f>
        <v>-0.83965221925369871</v>
      </c>
      <c r="D491" s="5">
        <f ca="1">S0*EXP((μ-0.5*σ*σ)*T+σ*SQRT(T)*$C491)</f>
        <v>0.6117136368113445</v>
      </c>
      <c r="E491" s="5">
        <f ca="1">MAX(0,CP*(D491-K))</f>
        <v>0</v>
      </c>
      <c r="F491" s="4">
        <f ca="1">(CP*(D491-K)&gt;0)*1</f>
        <v>0</v>
      </c>
      <c r="H491" s="4">
        <v>476</v>
      </c>
      <c r="I491" s="3">
        <v>0.66771845851786438</v>
      </c>
      <c r="J491" s="128">
        <v>1.298929224828623E-3</v>
      </c>
      <c r="K491" s="128"/>
      <c r="L491" s="128">
        <v>0.04</v>
      </c>
      <c r="O491" s="2"/>
    </row>
    <row r="492" spans="2:15" x14ac:dyDescent="0.2">
      <c r="B492" s="1">
        <v>477</v>
      </c>
      <c r="C492" s="5">
        <f ca="1">_xlfn.NORM.S.INV(RAND())</f>
        <v>0.92736274018964471</v>
      </c>
      <c r="D492" s="5">
        <f ca="1">S0*EXP((μ-0.5*σ*σ)*T+σ*SQRT(T)*$C492)</f>
        <v>0.72812285669072818</v>
      </c>
      <c r="E492" s="5">
        <f ca="1">MAX(0,CP*(D492-K))</f>
        <v>0</v>
      </c>
      <c r="F492" s="4">
        <f ca="1">(CP*(D492-K)&gt;0)*1</f>
        <v>0</v>
      </c>
      <c r="H492" s="4">
        <v>477</v>
      </c>
      <c r="I492" s="3">
        <v>0.66780175081389592</v>
      </c>
      <c r="J492" s="128">
        <v>1.3958532580432496E-3</v>
      </c>
      <c r="K492" s="128"/>
      <c r="L492" s="128">
        <v>4.1799999999999997E-2</v>
      </c>
      <c r="O492" s="2"/>
    </row>
    <row r="493" spans="2:15" x14ac:dyDescent="0.2">
      <c r="B493" s="1">
        <v>478</v>
      </c>
      <c r="C493" s="5">
        <f ca="1">_xlfn.NORM.S.INV(RAND())</f>
        <v>0.51165107851529779</v>
      </c>
      <c r="D493" s="5">
        <f ca="1">S0*EXP((μ-0.5*σ*σ)*T+σ*SQRT(T)*$C493)</f>
        <v>0.69888473744785662</v>
      </c>
      <c r="E493" s="5">
        <f ca="1">MAX(0,CP*(D493-K))</f>
        <v>0</v>
      </c>
      <c r="F493" s="4">
        <f ca="1">(CP*(D493-K)&gt;0)*1</f>
        <v>0</v>
      </c>
      <c r="H493" s="4">
        <v>478</v>
      </c>
      <c r="I493" s="3">
        <v>0.66776071970758566</v>
      </c>
      <c r="J493" s="128">
        <v>1.4237370637833647E-3</v>
      </c>
      <c r="K493" s="128"/>
      <c r="L493" s="128">
        <v>4.3400000000000001E-2</v>
      </c>
      <c r="O493" s="2"/>
    </row>
    <row r="494" spans="2:15" x14ac:dyDescent="0.2">
      <c r="B494" s="1">
        <v>479</v>
      </c>
      <c r="C494" s="5">
        <f ca="1">_xlfn.NORM.S.INV(RAND())</f>
        <v>0.32464172104109584</v>
      </c>
      <c r="D494" s="5">
        <f ca="1">S0*EXP((μ-0.5*σ*σ)*T+σ*SQRT(T)*$C494)</f>
        <v>0.68611760775667352</v>
      </c>
      <c r="E494" s="5">
        <f ca="1">MAX(0,CP*(D494-K))</f>
        <v>0</v>
      </c>
      <c r="F494" s="4">
        <f ca="1">(CP*(D494-K)&gt;0)*1</f>
        <v>0</v>
      </c>
      <c r="H494" s="4">
        <v>479</v>
      </c>
      <c r="I494" s="3">
        <v>0.66775375520070712</v>
      </c>
      <c r="J494" s="128">
        <v>1.3340753652082674E-3</v>
      </c>
      <c r="K494" s="128"/>
      <c r="L494" s="128">
        <v>4.24E-2</v>
      </c>
      <c r="O494" s="2"/>
    </row>
    <row r="495" spans="2:15" x14ac:dyDescent="0.2">
      <c r="B495" s="1">
        <v>480</v>
      </c>
      <c r="C495" s="5">
        <f ca="1">_xlfn.NORM.S.INV(RAND())</f>
        <v>-0.93789141754975458</v>
      </c>
      <c r="D495" s="5">
        <f ca="1">S0*EXP((μ-0.5*σ*σ)*T+σ*SQRT(T)*$C495)</f>
        <v>0.60581769368746841</v>
      </c>
      <c r="E495" s="5">
        <f ca="1">MAX(0,CP*(D495-K))</f>
        <v>0</v>
      </c>
      <c r="F495" s="4">
        <f ca="1">(CP*(D495-K)&gt;0)*1</f>
        <v>0</v>
      </c>
      <c r="H495" s="4">
        <v>480</v>
      </c>
      <c r="I495" s="3">
        <v>0.66773501662695267</v>
      </c>
      <c r="J495" s="128">
        <v>1.3254865945455008E-3</v>
      </c>
      <c r="K495" s="128"/>
      <c r="L495" s="128">
        <v>4.4400000000000002E-2</v>
      </c>
      <c r="O495" s="2"/>
    </row>
    <row r="496" spans="2:15" x14ac:dyDescent="0.2">
      <c r="B496" s="1">
        <v>481</v>
      </c>
      <c r="C496" s="5">
        <f ca="1">_xlfn.NORM.S.INV(RAND())</f>
        <v>-1.1533232990866285</v>
      </c>
      <c r="D496" s="5">
        <f ca="1">S0*EXP((μ-0.5*σ*σ)*T+σ*SQRT(T)*$C496)</f>
        <v>0.5930864788754141</v>
      </c>
      <c r="E496" s="5">
        <f ca="1">MAX(0,CP*(D496-K))</f>
        <v>0</v>
      </c>
      <c r="F496" s="4">
        <f ca="1">(CP*(D496-K)&gt;0)*1</f>
        <v>0</v>
      </c>
      <c r="H496" s="4">
        <v>481</v>
      </c>
      <c r="I496" s="3">
        <v>0.66772515989567705</v>
      </c>
      <c r="J496" s="128">
        <v>1.3473879133847765E-3</v>
      </c>
      <c r="K496" s="128"/>
      <c r="L496" s="128">
        <v>4.0800000000000003E-2</v>
      </c>
      <c r="O496" s="2"/>
    </row>
    <row r="497" spans="2:15" x14ac:dyDescent="0.2">
      <c r="B497" s="1">
        <v>482</v>
      </c>
      <c r="C497" s="5">
        <f ca="1">_xlfn.NORM.S.INV(RAND())</f>
        <v>-0.18513005685167186</v>
      </c>
      <c r="D497" s="5">
        <f ca="1">S0*EXP((μ-0.5*σ*σ)*T+σ*SQRT(T)*$C497)</f>
        <v>0.65248747472018975</v>
      </c>
      <c r="E497" s="5">
        <f ca="1">MAX(0,CP*(D497-K))</f>
        <v>0</v>
      </c>
      <c r="F497" s="4">
        <f ca="1">(CP*(D497-K)&gt;0)*1</f>
        <v>0</v>
      </c>
      <c r="H497" s="4">
        <v>482</v>
      </c>
      <c r="I497" s="3">
        <v>0.66774999745396924</v>
      </c>
      <c r="J497" s="128">
        <v>1.4030538289839115E-3</v>
      </c>
      <c r="K497" s="128"/>
      <c r="L497" s="128">
        <v>4.3400000000000001E-2</v>
      </c>
      <c r="O497" s="2"/>
    </row>
    <row r="498" spans="2:15" x14ac:dyDescent="0.2">
      <c r="B498" s="1">
        <v>483</v>
      </c>
      <c r="C498" s="5">
        <f ca="1">_xlfn.NORM.S.INV(RAND())</f>
        <v>0.81554831431178509</v>
      </c>
      <c r="D498" s="5">
        <f ca="1">S0*EXP((μ-0.5*σ*σ)*T+σ*SQRT(T)*$C498)</f>
        <v>0.72014047116491697</v>
      </c>
      <c r="E498" s="5">
        <f ca="1">MAX(0,CP*(D498-K))</f>
        <v>0</v>
      </c>
      <c r="F498" s="4">
        <f ca="1">(CP*(D498-K)&gt;0)*1</f>
        <v>0</v>
      </c>
      <c r="H498" s="4">
        <v>483</v>
      </c>
      <c r="I498" s="3">
        <v>0.66772308162773375</v>
      </c>
      <c r="J498" s="128">
        <v>1.2895011785324288E-3</v>
      </c>
      <c r="K498" s="128"/>
      <c r="L498" s="128">
        <v>0.04</v>
      </c>
      <c r="O498" s="2"/>
    </row>
    <row r="499" spans="2:15" x14ac:dyDescent="0.2">
      <c r="B499" s="1">
        <v>484</v>
      </c>
      <c r="C499" s="5">
        <f ca="1">_xlfn.NORM.S.INV(RAND())</f>
        <v>1.7804023715003237</v>
      </c>
      <c r="D499" s="5">
        <f ca="1">S0*EXP((μ-0.5*σ*σ)*T+σ*SQRT(T)*$C499)</f>
        <v>0.79200587680115675</v>
      </c>
      <c r="E499" s="5">
        <f ca="1">MAX(0,CP*(D499-K))</f>
        <v>3.8058768011567379E-3</v>
      </c>
      <c r="F499" s="4">
        <f ca="1">(CP*(D499-K)&gt;0)*1</f>
        <v>1</v>
      </c>
      <c r="H499" s="4">
        <v>484</v>
      </c>
      <c r="I499" s="3">
        <v>0.6678013907119722</v>
      </c>
      <c r="J499" s="128">
        <v>1.4604334053820347E-3</v>
      </c>
      <c r="K499" s="128"/>
      <c r="L499" s="128">
        <v>4.5400000000000003E-2</v>
      </c>
      <c r="O499" s="2"/>
    </row>
    <row r="500" spans="2:15" x14ac:dyDescent="0.2">
      <c r="B500" s="1">
        <v>485</v>
      </c>
      <c r="C500" s="5">
        <f ca="1">_xlfn.NORM.S.INV(RAND())</f>
        <v>0.70766152335414689</v>
      </c>
      <c r="D500" s="5">
        <f ca="1">S0*EXP((μ-0.5*σ*σ)*T+σ*SQRT(T)*$C500)</f>
        <v>0.71252144225414582</v>
      </c>
      <c r="E500" s="5">
        <f ca="1">MAX(0,CP*(D500-K))</f>
        <v>0</v>
      </c>
      <c r="F500" s="4">
        <f ca="1">(CP*(D500-K)&gt;0)*1</f>
        <v>0</v>
      </c>
      <c r="H500" s="4">
        <v>485</v>
      </c>
      <c r="I500" s="3">
        <v>0.66786761430399511</v>
      </c>
      <c r="J500" s="128">
        <v>1.4387867088914879E-3</v>
      </c>
      <c r="K500" s="128"/>
      <c r="L500" s="128">
        <v>4.5199999999999997E-2</v>
      </c>
      <c r="O500" s="2"/>
    </row>
    <row r="501" spans="2:15" x14ac:dyDescent="0.2">
      <c r="B501" s="1">
        <v>486</v>
      </c>
      <c r="C501" s="5">
        <f ca="1">_xlfn.NORM.S.INV(RAND())</f>
        <v>0.48183195376002952</v>
      </c>
      <c r="D501" s="5">
        <f ca="1">S0*EXP((μ-0.5*σ*σ)*T+σ*SQRT(T)*$C501)</f>
        <v>0.69683317870173667</v>
      </c>
      <c r="E501" s="5">
        <f ca="1">MAX(0,CP*(D501-K))</f>
        <v>0</v>
      </c>
      <c r="F501" s="4">
        <f ca="1">(CP*(D501-K)&gt;0)*1</f>
        <v>0</v>
      </c>
      <c r="H501" s="4">
        <v>486</v>
      </c>
      <c r="I501" s="3">
        <v>0.66779311422401155</v>
      </c>
      <c r="J501" s="128">
        <v>1.4972261065062523E-3</v>
      </c>
      <c r="K501" s="128"/>
      <c r="L501" s="128">
        <v>4.2799999999999998E-2</v>
      </c>
      <c r="O501" s="2"/>
    </row>
    <row r="502" spans="2:15" x14ac:dyDescent="0.2">
      <c r="B502" s="1">
        <v>487</v>
      </c>
      <c r="C502" s="5">
        <f ca="1">_xlfn.NORM.S.INV(RAND())</f>
        <v>-4.1017415456536297E-4</v>
      </c>
      <c r="D502" s="5">
        <f ca="1">S0*EXP((μ-0.5*σ*σ)*T+σ*SQRT(T)*$C502)</f>
        <v>0.66447882330354691</v>
      </c>
      <c r="E502" s="5">
        <f ca="1">MAX(0,CP*(D502-K))</f>
        <v>0</v>
      </c>
      <c r="F502" s="4">
        <f ca="1">(CP*(D502-K)&gt;0)*1</f>
        <v>0</v>
      </c>
      <c r="H502" s="4">
        <v>487</v>
      </c>
      <c r="I502" s="3">
        <v>0.66771495360939503</v>
      </c>
      <c r="J502" s="128">
        <v>1.078864267901315E-3</v>
      </c>
      <c r="K502" s="128"/>
      <c r="L502" s="128">
        <v>3.9800000000000002E-2</v>
      </c>
      <c r="O502" s="2"/>
    </row>
    <row r="503" spans="2:15" x14ac:dyDescent="0.2">
      <c r="B503" s="1">
        <v>488</v>
      </c>
      <c r="C503" s="5">
        <f ca="1">_xlfn.NORM.S.INV(RAND())</f>
        <v>-1.7583497526625491</v>
      </c>
      <c r="D503" s="5">
        <f ca="1">S0*EXP((μ-0.5*σ*σ)*T+σ*SQRT(T)*$C503)</f>
        <v>0.55874443940017304</v>
      </c>
      <c r="E503" s="5">
        <f ca="1">MAX(0,CP*(D503-K))</f>
        <v>0</v>
      </c>
      <c r="F503" s="4">
        <f ca="1">(CP*(D503-K)&gt;0)*1</f>
        <v>0</v>
      </c>
      <c r="H503" s="4">
        <v>488</v>
      </c>
      <c r="I503" s="3">
        <v>0.66774241678079216</v>
      </c>
      <c r="J503" s="128">
        <v>1.4019586609822425E-3</v>
      </c>
      <c r="K503" s="128"/>
      <c r="L503" s="128">
        <v>4.0399999999999998E-2</v>
      </c>
      <c r="O503" s="2"/>
    </row>
    <row r="504" spans="2:15" x14ac:dyDescent="0.2">
      <c r="B504" s="1">
        <v>489</v>
      </c>
      <c r="C504" s="5">
        <f ca="1">_xlfn.NORM.S.INV(RAND())</f>
        <v>0.4721838164379783</v>
      </c>
      <c r="D504" s="5">
        <f ca="1">S0*EXP((μ-0.5*σ*σ)*T+σ*SQRT(T)*$C504)</f>
        <v>0.69617067625494022</v>
      </c>
      <c r="E504" s="5">
        <f ca="1">MAX(0,CP*(D504-K))</f>
        <v>0</v>
      </c>
      <c r="F504" s="4">
        <f ca="1">(CP*(D504-K)&gt;0)*1</f>
        <v>0</v>
      </c>
      <c r="H504" s="4">
        <v>489</v>
      </c>
      <c r="I504" s="3">
        <v>0.66754990665517822</v>
      </c>
      <c r="J504" s="128">
        <v>1.1968303238591522E-3</v>
      </c>
      <c r="K504" s="128"/>
      <c r="L504" s="128">
        <v>3.9399999999999998E-2</v>
      </c>
      <c r="O504" s="2"/>
    </row>
    <row r="505" spans="2:15" x14ac:dyDescent="0.2">
      <c r="B505" s="1">
        <v>490</v>
      </c>
      <c r="C505" s="5">
        <f ca="1">_xlfn.NORM.S.INV(RAND())</f>
        <v>1.0574550117101482</v>
      </c>
      <c r="D505" s="5">
        <f ca="1">S0*EXP((μ-0.5*σ*σ)*T+σ*SQRT(T)*$C505)</f>
        <v>0.73752151526663046</v>
      </c>
      <c r="E505" s="5">
        <f ca="1">MAX(0,CP*(D505-K))</f>
        <v>0</v>
      </c>
      <c r="F505" s="4">
        <f ca="1">(CP*(D505-K)&gt;0)*1</f>
        <v>0</v>
      </c>
      <c r="H505" s="4">
        <v>490</v>
      </c>
      <c r="I505" s="3">
        <v>0.66769306338883128</v>
      </c>
      <c r="J505" s="128">
        <v>1.2835975196206907E-3</v>
      </c>
      <c r="K505" s="128"/>
      <c r="L505" s="128">
        <v>4.4200000000000003E-2</v>
      </c>
      <c r="O505" s="2"/>
    </row>
    <row r="506" spans="2:15" x14ac:dyDescent="0.2">
      <c r="B506" s="1">
        <v>491</v>
      </c>
      <c r="C506" s="5">
        <f ca="1">_xlfn.NORM.S.INV(RAND())</f>
        <v>-0.2086077877276</v>
      </c>
      <c r="D506" s="5">
        <f ca="1">S0*EXP((μ-0.5*σ*σ)*T+σ*SQRT(T)*$C506)</f>
        <v>0.65097896710952485</v>
      </c>
      <c r="E506" s="5">
        <f ca="1">MAX(0,CP*(D506-K))</f>
        <v>0</v>
      </c>
      <c r="F506" s="4">
        <f ca="1">(CP*(D506-K)&gt;0)*1</f>
        <v>0</v>
      </c>
      <c r="H506" s="4">
        <v>491</v>
      </c>
      <c r="I506" s="3">
        <v>0.66767666063515141</v>
      </c>
      <c r="J506" s="128">
        <v>1.2643956653301354E-3</v>
      </c>
      <c r="K506" s="128"/>
      <c r="L506" s="128">
        <v>4.0599999999999997E-2</v>
      </c>
      <c r="O506" s="2"/>
    </row>
    <row r="507" spans="2:15" x14ac:dyDescent="0.2">
      <c r="B507" s="1">
        <v>492</v>
      </c>
      <c r="C507" s="5">
        <f ca="1">_xlfn.NORM.S.INV(RAND())</f>
        <v>-0.91936983823187957</v>
      </c>
      <c r="D507" s="5">
        <f ca="1">S0*EXP((μ-0.5*σ*σ)*T+σ*SQRT(T)*$C507)</f>
        <v>0.60692492474702975</v>
      </c>
      <c r="E507" s="5">
        <f ca="1">MAX(0,CP*(D507-K))</f>
        <v>0</v>
      </c>
      <c r="F507" s="4">
        <f ca="1">(CP*(D507-K)&gt;0)*1</f>
        <v>0</v>
      </c>
      <c r="H507" s="4">
        <v>492</v>
      </c>
      <c r="I507" s="3">
        <v>0.66776223506022314</v>
      </c>
      <c r="J507" s="128">
        <v>1.4499783100834147E-3</v>
      </c>
      <c r="K507" s="128"/>
      <c r="L507" s="128">
        <v>4.3200000000000002E-2</v>
      </c>
      <c r="O507" s="2"/>
    </row>
    <row r="508" spans="2:15" x14ac:dyDescent="0.2">
      <c r="B508" s="1">
        <v>493</v>
      </c>
      <c r="C508" s="5">
        <f ca="1">_xlfn.NORM.S.INV(RAND())</f>
        <v>0.95007560385786782</v>
      </c>
      <c r="D508" s="5">
        <f ca="1">S0*EXP((μ-0.5*σ*σ)*T+σ*SQRT(T)*$C508)</f>
        <v>0.72975509890837442</v>
      </c>
      <c r="E508" s="5">
        <f ca="1">MAX(0,CP*(D508-K))</f>
        <v>0</v>
      </c>
      <c r="F508" s="4">
        <f ca="1">(CP*(D508-K)&gt;0)*1</f>
        <v>0</v>
      </c>
      <c r="H508" s="4">
        <v>493</v>
      </c>
      <c r="I508" s="3">
        <v>0.6678212070157572</v>
      </c>
      <c r="J508" s="128">
        <v>1.3638388473948488E-3</v>
      </c>
      <c r="K508" s="128"/>
      <c r="L508" s="128">
        <v>4.3400000000000001E-2</v>
      </c>
      <c r="O508" s="2"/>
    </row>
    <row r="509" spans="2:15" x14ac:dyDescent="0.2">
      <c r="B509" s="1">
        <v>494</v>
      </c>
      <c r="C509" s="5">
        <f ca="1">_xlfn.NORM.S.INV(RAND())</f>
        <v>-6.4360451732328239E-2</v>
      </c>
      <c r="D509" s="5">
        <f ca="1">S0*EXP((μ-0.5*σ*σ)*T+σ*SQRT(T)*$C509)</f>
        <v>0.66030266482531352</v>
      </c>
      <c r="E509" s="5">
        <f ca="1">MAX(0,CP*(D509-K))</f>
        <v>0</v>
      </c>
      <c r="F509" s="4">
        <f ca="1">(CP*(D509-K)&gt;0)*1</f>
        <v>0</v>
      </c>
      <c r="H509" s="4">
        <v>494</v>
      </c>
      <c r="I509" s="3">
        <v>0.66770067631109609</v>
      </c>
      <c r="J509" s="128">
        <v>1.2629693456025271E-3</v>
      </c>
      <c r="K509" s="128"/>
      <c r="L509" s="128">
        <v>3.6200000000000003E-2</v>
      </c>
      <c r="O509" s="2"/>
    </row>
    <row r="510" spans="2:15" x14ac:dyDescent="0.2">
      <c r="B510" s="1">
        <v>495</v>
      </c>
      <c r="C510" s="5">
        <f ca="1">_xlfn.NORM.S.INV(RAND())</f>
        <v>-0.63080471298970586</v>
      </c>
      <c r="D510" s="5">
        <f ca="1">S0*EXP((μ-0.5*σ*σ)*T+σ*SQRT(T)*$C510)</f>
        <v>0.62443922470565272</v>
      </c>
      <c r="E510" s="5">
        <f ca="1">MAX(0,CP*(D510-K))</f>
        <v>0</v>
      </c>
      <c r="F510" s="4">
        <f ca="1">(CP*(D510-K)&gt;0)*1</f>
        <v>0</v>
      </c>
      <c r="H510" s="4">
        <v>495</v>
      </c>
      <c r="I510" s="3">
        <v>0.6674618922092177</v>
      </c>
      <c r="J510" s="128">
        <v>1.0890517328254214E-3</v>
      </c>
      <c r="K510" s="128"/>
      <c r="L510" s="128">
        <v>3.5999999999999997E-2</v>
      </c>
      <c r="O510" s="2"/>
    </row>
    <row r="511" spans="2:15" x14ac:dyDescent="0.2">
      <c r="B511" s="1">
        <v>496</v>
      </c>
      <c r="C511" s="5">
        <f ca="1">_xlfn.NORM.S.INV(RAND())</f>
        <v>-1.971832597511797</v>
      </c>
      <c r="D511" s="5">
        <f ca="1">S0*EXP((μ-0.5*σ*σ)*T+σ*SQRT(T)*$C511)</f>
        <v>0.54710758255477043</v>
      </c>
      <c r="E511" s="5">
        <f ca="1">MAX(0,CP*(D511-K))</f>
        <v>0</v>
      </c>
      <c r="F511" s="4">
        <f ca="1">(CP*(D511-K)&gt;0)*1</f>
        <v>0</v>
      </c>
      <c r="H511" s="4">
        <v>496</v>
      </c>
      <c r="I511" s="3">
        <v>0.66759713620052208</v>
      </c>
      <c r="J511" s="128">
        <v>1.2919501115259075E-3</v>
      </c>
      <c r="K511" s="128"/>
      <c r="L511" s="128">
        <v>4.02E-2</v>
      </c>
      <c r="O511" s="2"/>
    </row>
    <row r="512" spans="2:15" x14ac:dyDescent="0.2">
      <c r="B512" s="1">
        <v>497</v>
      </c>
      <c r="C512" s="5">
        <f ca="1">_xlfn.NORM.S.INV(RAND())</f>
        <v>-0.82282341309288098</v>
      </c>
      <c r="D512" s="5">
        <f ca="1">S0*EXP((μ-0.5*σ*σ)*T+σ*SQRT(T)*$C512)</f>
        <v>0.61272937904817071</v>
      </c>
      <c r="E512" s="5">
        <f ca="1">MAX(0,CP*(D512-K))</f>
        <v>0</v>
      </c>
      <c r="F512" s="4">
        <f ca="1">(CP*(D512-K)&gt;0)*1</f>
        <v>0</v>
      </c>
      <c r="H512" s="4">
        <v>497</v>
      </c>
      <c r="I512" s="3">
        <v>0.66784596533288654</v>
      </c>
      <c r="J512" s="128">
        <v>1.3940314878179731E-3</v>
      </c>
      <c r="K512" s="128"/>
      <c r="L512" s="128">
        <v>4.3799999999999999E-2</v>
      </c>
      <c r="O512" s="2"/>
    </row>
    <row r="513" spans="2:15" x14ac:dyDescent="0.2">
      <c r="B513" s="1">
        <v>498</v>
      </c>
      <c r="C513" s="5">
        <f ca="1">_xlfn.NORM.S.INV(RAND())</f>
        <v>0.10953161936977726</v>
      </c>
      <c r="D513" s="5">
        <f ca="1">S0*EXP((μ-0.5*σ*σ)*T+σ*SQRT(T)*$C513)</f>
        <v>0.67172020503823204</v>
      </c>
      <c r="E513" s="5">
        <f ca="1">MAX(0,CP*(D513-K))</f>
        <v>0</v>
      </c>
      <c r="F513" s="4">
        <f ca="1">(CP*(D513-K)&gt;0)*1</f>
        <v>0</v>
      </c>
      <c r="H513" s="4">
        <v>498</v>
      </c>
      <c r="I513" s="3">
        <v>0.66773509250957896</v>
      </c>
      <c r="J513" s="128">
        <v>1.3673903689468813E-3</v>
      </c>
      <c r="K513" s="128"/>
      <c r="L513" s="128">
        <v>4.1799999999999997E-2</v>
      </c>
      <c r="O513" s="2"/>
    </row>
    <row r="514" spans="2:15" x14ac:dyDescent="0.2">
      <c r="B514" s="1">
        <v>499</v>
      </c>
      <c r="C514" s="5">
        <f ca="1">_xlfn.NORM.S.INV(RAND())</f>
        <v>1.0050243151072031</v>
      </c>
      <c r="D514" s="5">
        <f ca="1">S0*EXP((μ-0.5*σ*σ)*T+σ*SQRT(T)*$C514)</f>
        <v>0.73371909522858991</v>
      </c>
      <c r="E514" s="5">
        <f ca="1">MAX(0,CP*(D514-K))</f>
        <v>0</v>
      </c>
      <c r="F514" s="4">
        <f ca="1">(CP*(D514-K)&gt;0)*1</f>
        <v>0</v>
      </c>
      <c r="H514" s="4">
        <v>499</v>
      </c>
      <c r="I514" s="3">
        <v>0.66778413565549466</v>
      </c>
      <c r="J514" s="128">
        <v>1.4326827982059408E-3</v>
      </c>
      <c r="K514" s="128"/>
      <c r="L514" s="128">
        <v>4.1599999999999998E-2</v>
      </c>
      <c r="O514" s="2"/>
    </row>
    <row r="515" spans="2:15" x14ac:dyDescent="0.2">
      <c r="B515" s="1">
        <v>500</v>
      </c>
      <c r="C515" s="5">
        <f ca="1">_xlfn.NORM.S.INV(RAND())</f>
        <v>-2.6840779008954385</v>
      </c>
      <c r="D515" s="5">
        <f ca="1">S0*EXP((μ-0.5*σ*σ)*T+σ*SQRT(T)*$C515)</f>
        <v>0.51000829904215872</v>
      </c>
      <c r="E515" s="5">
        <f ca="1">MAX(0,CP*(D515-K))</f>
        <v>0</v>
      </c>
      <c r="F515" s="4">
        <f ca="1">(CP*(D515-K)&gt;0)*1</f>
        <v>0</v>
      </c>
      <c r="H515" s="4">
        <v>500</v>
      </c>
      <c r="I515" s="3">
        <v>0.66777728190962693</v>
      </c>
      <c r="J515" s="128">
        <v>1.4119543325111824E-3</v>
      </c>
      <c r="K515" s="128"/>
      <c r="L515" s="128">
        <v>4.3999999999999997E-2</v>
      </c>
      <c r="O515" s="2"/>
    </row>
    <row r="516" spans="2:15" x14ac:dyDescent="0.2">
      <c r="B516" s="1">
        <v>501</v>
      </c>
      <c r="C516" s="5">
        <f ca="1">_xlfn.NORM.S.INV(RAND())</f>
        <v>0.77412884226396717</v>
      </c>
      <c r="D516" s="5">
        <f ca="1">S0*EXP((μ-0.5*σ*σ)*T+σ*SQRT(T)*$C516)</f>
        <v>0.71720581590072519</v>
      </c>
      <c r="E516" s="5">
        <f ca="1">MAX(0,CP*(D516-K))</f>
        <v>0</v>
      </c>
      <c r="F516" s="4">
        <f ca="1">(CP*(D516-K)&gt;0)*1</f>
        <v>0</v>
      </c>
      <c r="H516" s="4">
        <v>501</v>
      </c>
      <c r="I516" s="3">
        <v>0.66769574002768584</v>
      </c>
      <c r="J516" s="128">
        <v>1.2713935290038804E-3</v>
      </c>
      <c r="K516" s="128"/>
      <c r="L516" s="128">
        <v>4.0399999999999998E-2</v>
      </c>
      <c r="O516" s="2"/>
    </row>
    <row r="517" spans="2:15" x14ac:dyDescent="0.2">
      <c r="B517" s="1">
        <v>502</v>
      </c>
      <c r="C517" s="5">
        <f ca="1">_xlfn.NORM.S.INV(RAND())</f>
        <v>1.4402754066642949</v>
      </c>
      <c r="D517" s="5">
        <f ca="1">S0*EXP((μ-0.5*σ*σ)*T+σ*SQRT(T)*$C517)</f>
        <v>0.76588846733335836</v>
      </c>
      <c r="E517" s="5">
        <f ca="1">MAX(0,CP*(D517-K))</f>
        <v>0</v>
      </c>
      <c r="F517" s="4">
        <f ca="1">(CP*(D517-K)&gt;0)*1</f>
        <v>0</v>
      </c>
      <c r="H517" s="4">
        <v>502</v>
      </c>
      <c r="I517" s="3">
        <v>0.66791231887993907</v>
      </c>
      <c r="J517" s="128">
        <v>1.5914471945405303E-3</v>
      </c>
      <c r="K517" s="128"/>
      <c r="L517" s="128">
        <v>4.7800000000000002E-2</v>
      </c>
      <c r="O517" s="2"/>
    </row>
    <row r="518" spans="2:15" x14ac:dyDescent="0.2">
      <c r="B518" s="1">
        <v>503</v>
      </c>
      <c r="C518" s="5">
        <f ca="1">_xlfn.NORM.S.INV(RAND())</f>
        <v>-0.76246176708688285</v>
      </c>
      <c r="D518" s="5">
        <f ca="1">S0*EXP((μ-0.5*σ*σ)*T+σ*SQRT(T)*$C518)</f>
        <v>0.6163865424219771</v>
      </c>
      <c r="E518" s="5">
        <f ca="1">MAX(0,CP*(D518-K))</f>
        <v>0</v>
      </c>
      <c r="F518" s="4">
        <f ca="1">(CP*(D518-K)&gt;0)*1</f>
        <v>0</v>
      </c>
      <c r="H518" s="4">
        <v>503</v>
      </c>
      <c r="I518" s="3">
        <v>0.66778212572468054</v>
      </c>
      <c r="J518" s="128">
        <v>1.4778780838172554E-3</v>
      </c>
      <c r="K518" s="128"/>
      <c r="L518" s="128">
        <v>4.1200000000000001E-2</v>
      </c>
      <c r="O518" s="2"/>
    </row>
    <row r="519" spans="2:15" x14ac:dyDescent="0.2">
      <c r="B519" s="1">
        <v>504</v>
      </c>
      <c r="C519" s="5">
        <f ca="1">_xlfn.NORM.S.INV(RAND())</f>
        <v>2.6677278602037728</v>
      </c>
      <c r="D519" s="5">
        <f ca="1">S0*EXP((μ-0.5*σ*σ)*T+σ*SQRT(T)*$C519)</f>
        <v>0.86441068588891123</v>
      </c>
      <c r="E519" s="5">
        <f ca="1">MAX(0,CP*(D519-K))</f>
        <v>7.6210685888911223E-2</v>
      </c>
      <c r="F519" s="4">
        <f ca="1">(CP*(D519-K)&gt;0)*1</f>
        <v>1</v>
      </c>
      <c r="H519" s="4">
        <v>504</v>
      </c>
      <c r="I519" s="3">
        <v>0.6677423458391285</v>
      </c>
      <c r="J519" s="128">
        <v>1.5183908336265579E-3</v>
      </c>
      <c r="K519" s="128"/>
      <c r="L519" s="128">
        <v>4.1399999999999999E-2</v>
      </c>
      <c r="O519" s="2"/>
    </row>
    <row r="520" spans="2:15" x14ac:dyDescent="0.2">
      <c r="B520" s="1">
        <v>505</v>
      </c>
      <c r="C520" s="5">
        <f ca="1">_xlfn.NORM.S.INV(RAND())</f>
        <v>-1.0560658094409208</v>
      </c>
      <c r="D520" s="5">
        <f ca="1">S0*EXP((μ-0.5*σ*σ)*T+σ*SQRT(T)*$C520)</f>
        <v>0.5988005619618354</v>
      </c>
      <c r="E520" s="5">
        <f ca="1">MAX(0,CP*(D520-K))</f>
        <v>0</v>
      </c>
      <c r="F520" s="4">
        <f ca="1">(CP*(D520-K)&gt;0)*1</f>
        <v>0</v>
      </c>
      <c r="H520" s="4">
        <v>505</v>
      </c>
      <c r="I520" s="3">
        <v>0.66789883500942471</v>
      </c>
      <c r="J520" s="128">
        <v>1.5853655517437104E-3</v>
      </c>
      <c r="K520" s="128"/>
      <c r="L520" s="128">
        <v>5.0200000000000002E-2</v>
      </c>
      <c r="O520" s="2"/>
    </row>
    <row r="521" spans="2:15" x14ac:dyDescent="0.2">
      <c r="B521" s="1">
        <v>506</v>
      </c>
      <c r="C521" s="5">
        <f ca="1">_xlfn.NORM.S.INV(RAND())</f>
        <v>0.61894944817108744</v>
      </c>
      <c r="D521" s="5">
        <f ca="1">S0*EXP((μ-0.5*σ*σ)*T+σ*SQRT(T)*$C521)</f>
        <v>0.70631697304422125</v>
      </c>
      <c r="E521" s="5">
        <f ca="1">MAX(0,CP*(D521-K))</f>
        <v>0</v>
      </c>
      <c r="F521" s="4">
        <f ca="1">(CP*(D521-K)&gt;0)*1</f>
        <v>0</v>
      </c>
      <c r="H521" s="4">
        <v>506</v>
      </c>
      <c r="I521" s="3">
        <v>0.66757917380964393</v>
      </c>
      <c r="J521" s="128">
        <v>1.1500545747147434E-3</v>
      </c>
      <c r="K521" s="128"/>
      <c r="L521" s="128">
        <v>3.6799999999999999E-2</v>
      </c>
      <c r="O521" s="2"/>
    </row>
    <row r="522" spans="2:15" x14ac:dyDescent="0.2">
      <c r="B522" s="1">
        <v>507</v>
      </c>
      <c r="C522" s="5">
        <f ca="1">_xlfn.NORM.S.INV(RAND())</f>
        <v>0.8037572661483755</v>
      </c>
      <c r="D522" s="5">
        <f ca="1">S0*EXP((μ-0.5*σ*σ)*T+σ*SQRT(T)*$C522)</f>
        <v>0.71930383052985214</v>
      </c>
      <c r="E522" s="5">
        <f ca="1">MAX(0,CP*(D522-K))</f>
        <v>0</v>
      </c>
      <c r="F522" s="4">
        <f ca="1">(CP*(D522-K)&gt;0)*1</f>
        <v>0</v>
      </c>
      <c r="H522" s="4">
        <v>507</v>
      </c>
      <c r="I522" s="3">
        <v>0.66771478406166951</v>
      </c>
      <c r="J522" s="128">
        <v>1.3608812660684682E-3</v>
      </c>
      <c r="K522" s="128"/>
      <c r="L522" s="128">
        <v>4.0599999999999997E-2</v>
      </c>
      <c r="O522" s="2"/>
    </row>
    <row r="523" spans="2:15" x14ac:dyDescent="0.2">
      <c r="B523" s="1">
        <v>508</v>
      </c>
      <c r="C523" s="5">
        <f ca="1">_xlfn.NORM.S.INV(RAND())</f>
        <v>-0.23900832573236955</v>
      </c>
      <c r="D523" s="5">
        <f ca="1">S0*EXP((μ-0.5*σ*σ)*T+σ*SQRT(T)*$C523)</f>
        <v>0.64903083100632508</v>
      </c>
      <c r="E523" s="5">
        <f ca="1">MAX(0,CP*(D523-K))</f>
        <v>0</v>
      </c>
      <c r="F523" s="4">
        <f ca="1">(CP*(D523-K)&gt;0)*1</f>
        <v>0</v>
      </c>
      <c r="H523" s="4">
        <v>508</v>
      </c>
      <c r="I523" s="3">
        <v>0.66774953917812963</v>
      </c>
      <c r="J523" s="128">
        <v>1.3947796928287489E-3</v>
      </c>
      <c r="K523" s="128"/>
      <c r="L523" s="128">
        <v>0.04</v>
      </c>
      <c r="O523" s="2"/>
    </row>
    <row r="524" spans="2:15" x14ac:dyDescent="0.2">
      <c r="B524" s="1">
        <v>509</v>
      </c>
      <c r="C524" s="5">
        <f ca="1">_xlfn.NORM.S.INV(RAND())</f>
        <v>-0.70608418461866618</v>
      </c>
      <c r="D524" s="5">
        <f ca="1">S0*EXP((μ-0.5*σ*σ)*T+σ*SQRT(T)*$C524)</f>
        <v>0.61982203336379305</v>
      </c>
      <c r="E524" s="5">
        <f ca="1">MAX(0,CP*(D524-K))</f>
        <v>0</v>
      </c>
      <c r="F524" s="4">
        <f ca="1">(CP*(D524-K)&gt;0)*1</f>
        <v>0</v>
      </c>
      <c r="H524" s="4">
        <v>509</v>
      </c>
      <c r="I524" s="3">
        <v>0.66787183658426452</v>
      </c>
      <c r="J524" s="128">
        <v>1.5906141626187626E-3</v>
      </c>
      <c r="K524" s="128"/>
      <c r="L524" s="128">
        <v>4.4600000000000001E-2</v>
      </c>
      <c r="O524" s="2"/>
    </row>
    <row r="525" spans="2:15" x14ac:dyDescent="0.2">
      <c r="B525" s="1">
        <v>510</v>
      </c>
      <c r="C525" s="5">
        <f ca="1">_xlfn.NORM.S.INV(RAND())</f>
        <v>1.0214702418712092</v>
      </c>
      <c r="D525" s="5">
        <f ca="1">S0*EXP((μ-0.5*σ*σ)*T+σ*SQRT(T)*$C525)</f>
        <v>0.73490968464127482</v>
      </c>
      <c r="E525" s="5">
        <f ca="1">MAX(0,CP*(D525-K))</f>
        <v>0</v>
      </c>
      <c r="F525" s="4">
        <f ca="1">(CP*(D525-K)&gt;0)*1</f>
        <v>0</v>
      </c>
      <c r="H525" s="4">
        <v>510</v>
      </c>
      <c r="I525" s="3">
        <v>0.66765338239511307</v>
      </c>
      <c r="J525" s="128">
        <v>1.2236908270279276E-3</v>
      </c>
      <c r="K525" s="128"/>
      <c r="L525" s="128">
        <v>3.6600000000000001E-2</v>
      </c>
      <c r="O525" s="2"/>
    </row>
    <row r="526" spans="2:15" x14ac:dyDescent="0.2">
      <c r="B526" s="1">
        <v>511</v>
      </c>
      <c r="C526" s="5">
        <f ca="1">_xlfn.NORM.S.INV(RAND())</f>
        <v>1.6690481485561466E-2</v>
      </c>
      <c r="D526" s="5">
        <f ca="1">S0*EXP((μ-0.5*σ*σ)*T+σ*SQRT(T)*$C526)</f>
        <v>0.66560001989565221</v>
      </c>
      <c r="E526" s="5">
        <f ca="1">MAX(0,CP*(D526-K))</f>
        <v>0</v>
      </c>
      <c r="F526" s="4">
        <f ca="1">(CP*(D526-K)&gt;0)*1</f>
        <v>0</v>
      </c>
      <c r="H526" s="4">
        <v>511</v>
      </c>
      <c r="I526" s="3">
        <v>0.66766130910360089</v>
      </c>
      <c r="J526" s="128">
        <v>1.2775087796016917E-3</v>
      </c>
      <c r="K526" s="128"/>
      <c r="L526" s="128">
        <v>4.0399999999999998E-2</v>
      </c>
      <c r="O526" s="2"/>
    </row>
    <row r="527" spans="2:15" x14ac:dyDescent="0.2">
      <c r="B527" s="1">
        <v>512</v>
      </c>
      <c r="C527" s="5">
        <f ca="1">_xlfn.NORM.S.INV(RAND())</f>
        <v>0.83725739262252097</v>
      </c>
      <c r="D527" s="5">
        <f ca="1">S0*EXP((μ-0.5*σ*σ)*T+σ*SQRT(T)*$C527)</f>
        <v>0.72168339736977227</v>
      </c>
      <c r="E527" s="5">
        <f ca="1">MAX(0,CP*(D527-K))</f>
        <v>0</v>
      </c>
      <c r="F527" s="4">
        <f ca="1">(CP*(D527-K)&gt;0)*1</f>
        <v>0</v>
      </c>
      <c r="H527" s="4">
        <v>512</v>
      </c>
      <c r="I527" s="3">
        <v>0.66774898387376902</v>
      </c>
      <c r="J527" s="128">
        <v>1.3063816027670723E-3</v>
      </c>
      <c r="K527" s="128"/>
      <c r="L527" s="128">
        <v>3.9399999999999998E-2</v>
      </c>
      <c r="O527" s="2"/>
    </row>
    <row r="528" spans="2:15" x14ac:dyDescent="0.2">
      <c r="B528" s="1">
        <v>513</v>
      </c>
      <c r="C528" s="5">
        <f ca="1">_xlfn.NORM.S.INV(RAND())</f>
        <v>5.6906501898697351E-2</v>
      </c>
      <c r="D528" s="5">
        <f ca="1">S0*EXP((μ-0.5*σ*σ)*T+σ*SQRT(T)*$C528)</f>
        <v>0.66824422639501746</v>
      </c>
      <c r="E528" s="5">
        <f ca="1">MAX(0,CP*(D528-K))</f>
        <v>0</v>
      </c>
      <c r="F528" s="4">
        <f ca="1">(CP*(D528-K)&gt;0)*1</f>
        <v>0</v>
      </c>
      <c r="H528" s="4">
        <v>513</v>
      </c>
      <c r="I528" s="3">
        <v>0.66767567828134489</v>
      </c>
      <c r="J528" s="128">
        <v>1.3954053591610047E-3</v>
      </c>
      <c r="K528" s="128"/>
      <c r="L528" s="128">
        <v>3.8199999999999998E-2</v>
      </c>
      <c r="O528" s="2"/>
    </row>
    <row r="529" spans="2:15" x14ac:dyDescent="0.2">
      <c r="B529" s="1">
        <v>514</v>
      </c>
      <c r="C529" s="5">
        <f ca="1">_xlfn.NORM.S.INV(RAND())</f>
        <v>0.90186297552754591</v>
      </c>
      <c r="D529" s="5">
        <f ca="1">S0*EXP((μ-0.5*σ*σ)*T+σ*SQRT(T)*$C529)</f>
        <v>0.7262946858710464</v>
      </c>
      <c r="E529" s="5">
        <f ca="1">MAX(0,CP*(D529-K))</f>
        <v>0</v>
      </c>
      <c r="F529" s="4">
        <f ca="1">(CP*(D529-K)&gt;0)*1</f>
        <v>0</v>
      </c>
      <c r="H529" s="4">
        <v>514</v>
      </c>
      <c r="I529" s="3">
        <v>0.66775134677144243</v>
      </c>
      <c r="J529" s="128">
        <v>1.4639001701933767E-3</v>
      </c>
      <c r="K529" s="128"/>
      <c r="L529" s="128">
        <v>4.6199999999999998E-2</v>
      </c>
      <c r="O529" s="2"/>
    </row>
    <row r="530" spans="2:15" x14ac:dyDescent="0.2">
      <c r="B530" s="1">
        <v>515</v>
      </c>
      <c r="C530" s="5">
        <f ca="1">_xlfn.NORM.S.INV(RAND())</f>
        <v>-0.11552335027335056</v>
      </c>
      <c r="D530" s="5">
        <f ca="1">S0*EXP((μ-0.5*σ*σ)*T+σ*SQRT(T)*$C530)</f>
        <v>0.65698047016082117</v>
      </c>
      <c r="E530" s="5">
        <f ca="1">MAX(0,CP*(D530-K))</f>
        <v>0</v>
      </c>
      <c r="F530" s="4">
        <f ca="1">(CP*(D530-K)&gt;0)*1</f>
        <v>0</v>
      </c>
      <c r="H530" s="4">
        <v>515</v>
      </c>
      <c r="I530" s="3">
        <v>0.66784076793608671</v>
      </c>
      <c r="J530" s="128">
        <v>1.5336026962560209E-3</v>
      </c>
      <c r="K530" s="128"/>
      <c r="L530" s="128">
        <v>4.24E-2</v>
      </c>
      <c r="O530" s="2"/>
    </row>
    <row r="531" spans="2:15" x14ac:dyDescent="0.2">
      <c r="B531" s="1">
        <v>516</v>
      </c>
      <c r="C531" s="5">
        <f ca="1">_xlfn.NORM.S.INV(RAND())</f>
        <v>1.1103198670302572</v>
      </c>
      <c r="D531" s="5">
        <f ca="1">S0*EXP((μ-0.5*σ*σ)*T+σ*SQRT(T)*$C531)</f>
        <v>0.74137537305760493</v>
      </c>
      <c r="E531" s="5">
        <f ca="1">MAX(0,CP*(D531-K))</f>
        <v>0</v>
      </c>
      <c r="F531" s="4">
        <f ca="1">(CP*(D531-K)&gt;0)*1</f>
        <v>0</v>
      </c>
      <c r="H531" s="4">
        <v>516</v>
      </c>
      <c r="I531" s="3">
        <v>0.66772691790530303</v>
      </c>
      <c r="J531" s="128">
        <v>1.3622365084593072E-3</v>
      </c>
      <c r="K531" s="128"/>
      <c r="L531" s="128">
        <v>4.5199999999999997E-2</v>
      </c>
      <c r="O531" s="2"/>
    </row>
    <row r="532" spans="2:15" x14ac:dyDescent="0.2">
      <c r="B532" s="1">
        <v>517</v>
      </c>
      <c r="C532" s="5">
        <f ca="1">_xlfn.NORM.S.INV(RAND())</f>
        <v>-0.91218293222455582</v>
      </c>
      <c r="D532" s="5">
        <f ca="1">S0*EXP((μ-0.5*σ*σ)*T+σ*SQRT(T)*$C532)</f>
        <v>0.60735510703501039</v>
      </c>
      <c r="E532" s="5">
        <f ca="1">MAX(0,CP*(D532-K))</f>
        <v>0</v>
      </c>
      <c r="F532" s="4">
        <f ca="1">(CP*(D532-K)&gt;0)*1</f>
        <v>0</v>
      </c>
      <c r="H532" s="4">
        <v>517</v>
      </c>
      <c r="I532" s="3">
        <v>0.66786536274334196</v>
      </c>
      <c r="J532" s="128">
        <v>1.5582261079951734E-3</v>
      </c>
      <c r="K532" s="128"/>
      <c r="L532" s="128">
        <v>4.4600000000000001E-2</v>
      </c>
      <c r="O532" s="2"/>
    </row>
    <row r="533" spans="2:15" x14ac:dyDescent="0.2">
      <c r="B533" s="1">
        <v>518</v>
      </c>
      <c r="C533" s="5">
        <f ca="1">_xlfn.NORM.S.INV(RAND())</f>
        <v>0.45272127320873184</v>
      </c>
      <c r="D533" s="5">
        <f ca="1">S0*EXP((μ-0.5*σ*σ)*T+σ*SQRT(T)*$C533)</f>
        <v>0.6948361705045174</v>
      </c>
      <c r="E533" s="5">
        <f ca="1">MAX(0,CP*(D533-K))</f>
        <v>0</v>
      </c>
      <c r="F533" s="4">
        <f ca="1">(CP*(D533-K)&gt;0)*1</f>
        <v>0</v>
      </c>
      <c r="H533" s="4">
        <v>518</v>
      </c>
      <c r="I533" s="3">
        <v>0.66781970457110018</v>
      </c>
      <c r="J533" s="128">
        <v>1.4661778285446603E-3</v>
      </c>
      <c r="K533" s="128"/>
      <c r="L533" s="128">
        <v>4.58E-2</v>
      </c>
      <c r="O533" s="2"/>
    </row>
    <row r="534" spans="2:15" x14ac:dyDescent="0.2">
      <c r="B534" s="1">
        <v>519</v>
      </c>
      <c r="C534" s="5">
        <f ca="1">_xlfn.NORM.S.INV(RAND())</f>
        <v>-1.8262414237950628</v>
      </c>
      <c r="D534" s="5">
        <f ca="1">S0*EXP((μ-0.5*σ*σ)*T+σ*SQRT(T)*$C534)</f>
        <v>0.5550171010354229</v>
      </c>
      <c r="E534" s="5">
        <f ca="1">MAX(0,CP*(D534-K))</f>
        <v>0</v>
      </c>
      <c r="F534" s="4">
        <f ca="1">(CP*(D534-K)&gt;0)*1</f>
        <v>0</v>
      </c>
      <c r="H534" s="4">
        <v>519</v>
      </c>
      <c r="I534" s="3">
        <v>0.66768198752452568</v>
      </c>
      <c r="J534" s="128">
        <v>1.256348619767249E-3</v>
      </c>
      <c r="K534" s="128"/>
      <c r="L534" s="128">
        <v>3.7999999999999999E-2</v>
      </c>
      <c r="O534" s="2"/>
    </row>
    <row r="535" spans="2:15" x14ac:dyDescent="0.2">
      <c r="B535" s="1">
        <v>520</v>
      </c>
      <c r="C535" s="5">
        <f ca="1">_xlfn.NORM.S.INV(RAND())</f>
        <v>1.3116367016504149</v>
      </c>
      <c r="D535" s="5">
        <f ca="1">S0*EXP((μ-0.5*σ*σ)*T+σ*SQRT(T)*$C535)</f>
        <v>0.75623667601518429</v>
      </c>
      <c r="E535" s="5">
        <f ca="1">MAX(0,CP*(D535-K))</f>
        <v>0</v>
      </c>
      <c r="F535" s="4">
        <f ca="1">(CP*(D535-K)&gt;0)*1</f>
        <v>0</v>
      </c>
      <c r="H535" s="4">
        <v>520</v>
      </c>
      <c r="I535" s="3">
        <v>0.66760393424083542</v>
      </c>
      <c r="J535" s="128">
        <v>1.2893349354443197E-3</v>
      </c>
      <c r="K535" s="128"/>
      <c r="L535" s="128">
        <v>3.7999999999999999E-2</v>
      </c>
      <c r="O535" s="2"/>
    </row>
    <row r="536" spans="2:15" x14ac:dyDescent="0.2">
      <c r="B536" s="1">
        <v>521</v>
      </c>
      <c r="C536" s="5">
        <f ca="1">_xlfn.NORM.S.INV(RAND())</f>
        <v>-0.78900043970910672</v>
      </c>
      <c r="D536" s="5">
        <f ca="1">S0*EXP((μ-0.5*σ*σ)*T+σ*SQRT(T)*$C536)</f>
        <v>0.61477594852212003</v>
      </c>
      <c r="E536" s="5">
        <f ca="1">MAX(0,CP*(D536-K))</f>
        <v>0</v>
      </c>
      <c r="F536" s="4">
        <f ca="1">(CP*(D536-K)&gt;0)*1</f>
        <v>0</v>
      </c>
      <c r="H536" s="4">
        <v>521</v>
      </c>
      <c r="I536" s="3">
        <v>0.66780066987377695</v>
      </c>
      <c r="J536" s="128">
        <v>1.3319783751700985E-3</v>
      </c>
      <c r="K536" s="128"/>
      <c r="L536" s="128">
        <v>4.2599999999999999E-2</v>
      </c>
      <c r="O536" s="2"/>
    </row>
    <row r="537" spans="2:15" x14ac:dyDescent="0.2">
      <c r="B537" s="1">
        <v>522</v>
      </c>
      <c r="C537" s="5">
        <f ca="1">_xlfn.NORM.S.INV(RAND())</f>
        <v>-3.4669715699886298E-2</v>
      </c>
      <c r="D537" s="5">
        <f ca="1">S0*EXP((μ-0.5*σ*σ)*T+σ*SQRT(T)*$C537)</f>
        <v>0.6622382910997453</v>
      </c>
      <c r="E537" s="5">
        <f ca="1">MAX(0,CP*(D537-K))</f>
        <v>0</v>
      </c>
      <c r="F537" s="4">
        <f ca="1">(CP*(D537-K)&gt;0)*1</f>
        <v>0</v>
      </c>
      <c r="H537" s="4">
        <v>522</v>
      </c>
      <c r="I537" s="3">
        <v>0.66773677520520325</v>
      </c>
      <c r="J537" s="128">
        <v>1.2625828635115289E-3</v>
      </c>
      <c r="K537" s="128"/>
      <c r="L537" s="128">
        <v>4.1799999999999997E-2</v>
      </c>
      <c r="O537" s="2"/>
    </row>
    <row r="538" spans="2:15" x14ac:dyDescent="0.2">
      <c r="B538" s="1">
        <v>523</v>
      </c>
      <c r="C538" s="5">
        <f ca="1">_xlfn.NORM.S.INV(RAND())</f>
        <v>-0.50354859914890837</v>
      </c>
      <c r="D538" s="5">
        <f ca="1">S0*EXP((μ-0.5*σ*σ)*T+σ*SQRT(T)*$C538)</f>
        <v>0.63232269979572986</v>
      </c>
      <c r="E538" s="5">
        <f ca="1">MAX(0,CP*(D538-K))</f>
        <v>0</v>
      </c>
      <c r="F538" s="4">
        <f ca="1">(CP*(D538-K)&gt;0)*1</f>
        <v>0</v>
      </c>
      <c r="H538" s="4">
        <v>523</v>
      </c>
      <c r="I538" s="3">
        <v>0.66772132872851275</v>
      </c>
      <c r="J538" s="128">
        <v>1.465111809487576E-3</v>
      </c>
      <c r="K538" s="128"/>
      <c r="L538" s="128">
        <v>3.9399999999999998E-2</v>
      </c>
      <c r="O538" s="2"/>
    </row>
    <row r="539" spans="2:15" x14ac:dyDescent="0.2">
      <c r="B539" s="1">
        <v>524</v>
      </c>
      <c r="C539" s="5">
        <f ca="1">_xlfn.NORM.S.INV(RAND())</f>
        <v>0.72006886046877538</v>
      </c>
      <c r="D539" s="5">
        <f ca="1">S0*EXP((μ-0.5*σ*σ)*T+σ*SQRT(T)*$C539)</f>
        <v>0.71339353743094991</v>
      </c>
      <c r="E539" s="5">
        <f ca="1">MAX(0,CP*(D539-K))</f>
        <v>0</v>
      </c>
      <c r="F539" s="4">
        <f ca="1">(CP*(D539-K)&gt;0)*1</f>
        <v>0</v>
      </c>
      <c r="H539" s="4">
        <v>524</v>
      </c>
      <c r="I539" s="3">
        <v>0.66766821124189413</v>
      </c>
      <c r="J539" s="128">
        <v>1.2624869065967549E-3</v>
      </c>
      <c r="K539" s="128"/>
      <c r="L539" s="128">
        <v>4.2200000000000001E-2</v>
      </c>
      <c r="O539" s="2"/>
    </row>
    <row r="540" spans="2:15" x14ac:dyDescent="0.2">
      <c r="B540" s="1">
        <v>525</v>
      </c>
      <c r="C540" s="5">
        <f ca="1">_xlfn.NORM.S.INV(RAND())</f>
        <v>-0.75335798032379642</v>
      </c>
      <c r="D540" s="5">
        <f ca="1">S0*EXP((μ-0.5*σ*σ)*T+σ*SQRT(T)*$C540)</f>
        <v>0.61694000957790029</v>
      </c>
      <c r="E540" s="5">
        <f ca="1">MAX(0,CP*(D540-K))</f>
        <v>0</v>
      </c>
      <c r="F540" s="4">
        <f ca="1">(CP*(D540-K)&gt;0)*1</f>
        <v>0</v>
      </c>
      <c r="H540" s="4">
        <v>525</v>
      </c>
      <c r="I540" s="3">
        <v>0.66774557202009555</v>
      </c>
      <c r="J540" s="128">
        <v>1.3929915576125244E-3</v>
      </c>
      <c r="K540" s="128"/>
      <c r="L540" s="128">
        <v>4.1399999999999999E-2</v>
      </c>
      <c r="O540" s="2"/>
    </row>
    <row r="541" spans="2:15" x14ac:dyDescent="0.2">
      <c r="B541" s="1">
        <v>526</v>
      </c>
      <c r="C541" s="5">
        <f ca="1">_xlfn.NORM.S.INV(RAND())</f>
        <v>-0.15435493776777007</v>
      </c>
      <c r="D541" s="5">
        <f ca="1">S0*EXP((μ-0.5*σ*σ)*T+σ*SQRT(T)*$C541)</f>
        <v>0.65447015479525872</v>
      </c>
      <c r="E541" s="5">
        <f ca="1">MAX(0,CP*(D541-K))</f>
        <v>0</v>
      </c>
      <c r="F541" s="4">
        <f ca="1">(CP*(D541-K)&gt;0)*1</f>
        <v>0</v>
      </c>
      <c r="H541" s="4">
        <v>526</v>
      </c>
      <c r="I541" s="3">
        <v>0.66783472541058386</v>
      </c>
      <c r="J541" s="128">
        <v>1.3178525652382689E-3</v>
      </c>
      <c r="K541" s="128"/>
      <c r="L541" s="128">
        <v>4.2999999999999997E-2</v>
      </c>
      <c r="O541" s="2"/>
    </row>
    <row r="542" spans="2:15" x14ac:dyDescent="0.2">
      <c r="B542" s="1">
        <v>527</v>
      </c>
      <c r="C542" s="5">
        <f ca="1">_xlfn.NORM.S.INV(RAND())</f>
        <v>-0.55505676301021112</v>
      </c>
      <c r="D542" s="5">
        <f ca="1">S0*EXP((μ-0.5*σ*σ)*T+σ*SQRT(T)*$C542)</f>
        <v>0.62911986644552986</v>
      </c>
      <c r="E542" s="5">
        <f ca="1">MAX(0,CP*(D542-K))</f>
        <v>0</v>
      </c>
      <c r="F542" s="4">
        <f ca="1">(CP*(D542-K)&gt;0)*1</f>
        <v>0</v>
      </c>
      <c r="H542" s="4">
        <v>527</v>
      </c>
      <c r="I542" s="3">
        <v>0.66775953768523566</v>
      </c>
      <c r="J542" s="128">
        <v>1.3974017450854191E-3</v>
      </c>
      <c r="K542" s="128"/>
      <c r="L542" s="128">
        <v>4.58E-2</v>
      </c>
      <c r="O542" s="2"/>
    </row>
    <row r="543" spans="2:15" x14ac:dyDescent="0.2">
      <c r="B543" s="1">
        <v>528</v>
      </c>
      <c r="C543" s="5">
        <f ca="1">_xlfn.NORM.S.INV(RAND())</f>
        <v>0.89603516512536885</v>
      </c>
      <c r="D543" s="5">
        <f ca="1">S0*EXP((μ-0.5*σ*σ)*T+σ*SQRT(T)*$C543)</f>
        <v>0.72587751378063803</v>
      </c>
      <c r="E543" s="5">
        <f ca="1">MAX(0,CP*(D543-K))</f>
        <v>0</v>
      </c>
      <c r="F543" s="4">
        <f ca="1">(CP*(D543-K)&gt;0)*1</f>
        <v>0</v>
      </c>
      <c r="H543" s="4">
        <v>528</v>
      </c>
      <c r="I543" s="3">
        <v>0.66789010668302029</v>
      </c>
      <c r="J543" s="128">
        <v>1.5825079722028448E-3</v>
      </c>
      <c r="K543" s="128"/>
      <c r="L543" s="128">
        <v>4.7199999999999999E-2</v>
      </c>
      <c r="O543" s="2"/>
    </row>
    <row r="544" spans="2:15" x14ac:dyDescent="0.2">
      <c r="B544" s="1">
        <v>529</v>
      </c>
      <c r="C544" s="5">
        <f ca="1">_xlfn.NORM.S.INV(RAND())</f>
        <v>-3.368513836957622E-2</v>
      </c>
      <c r="D544" s="5">
        <f ca="1">S0*EXP((μ-0.5*σ*σ)*T+σ*SQRT(T)*$C544)</f>
        <v>0.66230257569574835</v>
      </c>
      <c r="E544" s="5">
        <f ca="1">MAX(0,CP*(D544-K))</f>
        <v>0</v>
      </c>
      <c r="F544" s="4">
        <f ca="1">(CP*(D544-K)&gt;0)*1</f>
        <v>0</v>
      </c>
      <c r="H544" s="4">
        <v>529</v>
      </c>
      <c r="I544" s="3">
        <v>0.66777348573555739</v>
      </c>
      <c r="J544" s="128">
        <v>1.4108894942296082E-3</v>
      </c>
      <c r="K544" s="128"/>
      <c r="L544" s="128">
        <v>4.36E-2</v>
      </c>
      <c r="O544" s="2"/>
    </row>
    <row r="545" spans="2:15" x14ac:dyDescent="0.2">
      <c r="B545" s="1">
        <v>530</v>
      </c>
      <c r="C545" s="5">
        <f ca="1">_xlfn.NORM.S.INV(RAND())</f>
        <v>-0.35180676780489573</v>
      </c>
      <c r="D545" s="5">
        <f ca="1">S0*EXP((μ-0.5*σ*σ)*T+σ*SQRT(T)*$C545)</f>
        <v>0.64185325832936657</v>
      </c>
      <c r="E545" s="5">
        <f ca="1">MAX(0,CP*(D545-K))</f>
        <v>0</v>
      </c>
      <c r="F545" s="4">
        <f ca="1">(CP*(D545-K)&gt;0)*1</f>
        <v>0</v>
      </c>
      <c r="H545" s="4">
        <v>530</v>
      </c>
      <c r="I545" s="3">
        <v>0.66768481768566912</v>
      </c>
      <c r="J545" s="128">
        <v>1.3396766030637542E-3</v>
      </c>
      <c r="K545" s="128"/>
      <c r="L545" s="128">
        <v>4.0399999999999998E-2</v>
      </c>
      <c r="O545" s="2"/>
    </row>
    <row r="546" spans="2:15" x14ac:dyDescent="0.2">
      <c r="B546" s="1">
        <v>531</v>
      </c>
      <c r="C546" s="5">
        <f ca="1">_xlfn.NORM.S.INV(RAND())</f>
        <v>0.86458418938501336</v>
      </c>
      <c r="D546" s="5">
        <f ca="1">S0*EXP((μ-0.5*σ*σ)*T+σ*SQRT(T)*$C546)</f>
        <v>0.723630291362093</v>
      </c>
      <c r="E546" s="5">
        <f ca="1">MAX(0,CP*(D546-K))</f>
        <v>0</v>
      </c>
      <c r="F546" s="4">
        <f ca="1">(CP*(D546-K)&gt;0)*1</f>
        <v>0</v>
      </c>
      <c r="H546" s="4">
        <v>531</v>
      </c>
      <c r="I546" s="3">
        <v>0.66769657272224114</v>
      </c>
      <c r="J546" s="128">
        <v>1.1523809834286271E-3</v>
      </c>
      <c r="K546" s="128"/>
      <c r="L546" s="128">
        <v>3.8800000000000001E-2</v>
      </c>
      <c r="O546" s="2"/>
    </row>
    <row r="547" spans="2:15" x14ac:dyDescent="0.2">
      <c r="B547" s="1">
        <v>532</v>
      </c>
      <c r="C547" s="5">
        <f ca="1">_xlfn.NORM.S.INV(RAND())</f>
        <v>-1.2009543171612529</v>
      </c>
      <c r="D547" s="5">
        <f ca="1">S0*EXP((μ-0.5*σ*σ)*T+σ*SQRT(T)*$C547)</f>
        <v>0.59030797937953716</v>
      </c>
      <c r="E547" s="5">
        <f ca="1">MAX(0,CP*(D547-K))</f>
        <v>0</v>
      </c>
      <c r="F547" s="4">
        <f ca="1">(CP*(D547-K)&gt;0)*1</f>
        <v>0</v>
      </c>
      <c r="H547" s="4">
        <v>532</v>
      </c>
      <c r="I547" s="3">
        <v>0.66779973683963878</v>
      </c>
      <c r="J547" s="128">
        <v>1.4491383858405121E-3</v>
      </c>
      <c r="K547" s="128"/>
      <c r="L547" s="128">
        <v>4.3400000000000001E-2</v>
      </c>
      <c r="O547" s="2"/>
    </row>
    <row r="548" spans="2:15" x14ac:dyDescent="0.2">
      <c r="B548" s="1">
        <v>533</v>
      </c>
      <c r="C548" s="5">
        <f ca="1">_xlfn.NORM.S.INV(RAND())</f>
        <v>0.63871025267073345</v>
      </c>
      <c r="D548" s="5">
        <f ca="1">S0*EXP((μ-0.5*σ*σ)*T+σ*SQRT(T)*$C548)</f>
        <v>0.70769433820169381</v>
      </c>
      <c r="E548" s="5">
        <f ca="1">MAX(0,CP*(D548-K))</f>
        <v>0</v>
      </c>
      <c r="F548" s="4">
        <f ca="1">(CP*(D548-K)&gt;0)*1</f>
        <v>0</v>
      </c>
      <c r="H548" s="4">
        <v>533</v>
      </c>
      <c r="I548" s="3">
        <v>0.66777453202134851</v>
      </c>
      <c r="J548" s="128">
        <v>1.3556258393233507E-3</v>
      </c>
      <c r="K548" s="128"/>
      <c r="L548" s="128">
        <v>4.1399999999999999E-2</v>
      </c>
      <c r="O548" s="2"/>
    </row>
    <row r="549" spans="2:15" x14ac:dyDescent="0.2">
      <c r="B549" s="1">
        <v>534</v>
      </c>
      <c r="C549" s="5">
        <f ca="1">_xlfn.NORM.S.INV(RAND())</f>
        <v>-1.6447704194286372</v>
      </c>
      <c r="D549" s="5">
        <f ca="1">S0*EXP((μ-0.5*σ*σ)*T+σ*SQRT(T)*$C549)</f>
        <v>0.56503613965973654</v>
      </c>
      <c r="E549" s="5">
        <f ca="1">MAX(0,CP*(D549-K))</f>
        <v>0</v>
      </c>
      <c r="F549" s="4">
        <f ca="1">(CP*(D549-K)&gt;0)*1</f>
        <v>0</v>
      </c>
      <c r="H549" s="4">
        <v>534</v>
      </c>
      <c r="I549" s="3">
        <v>0.66785606388460428</v>
      </c>
      <c r="J549" s="128">
        <v>1.4062156674557703E-3</v>
      </c>
      <c r="K549" s="128"/>
      <c r="L549" s="128">
        <v>4.5400000000000003E-2</v>
      </c>
      <c r="O549" s="2"/>
    </row>
    <row r="550" spans="2:15" x14ac:dyDescent="0.2">
      <c r="B550" s="1">
        <v>535</v>
      </c>
      <c r="C550" s="5">
        <f ca="1">_xlfn.NORM.S.INV(RAND())</f>
        <v>-1.0174113313748545</v>
      </c>
      <c r="D550" s="5">
        <f ca="1">S0*EXP((μ-0.5*σ*σ)*T+σ*SQRT(T)*$C550)</f>
        <v>0.60108685298478015</v>
      </c>
      <c r="E550" s="5">
        <f ca="1">MAX(0,CP*(D550-K))</f>
        <v>0</v>
      </c>
      <c r="F550" s="4">
        <f ca="1">(CP*(D550-K)&gt;0)*1</f>
        <v>0</v>
      </c>
      <c r="H550" s="4">
        <v>535</v>
      </c>
      <c r="I550" s="3">
        <v>0.66771821661331543</v>
      </c>
      <c r="J550" s="128">
        <v>1.2936345437718653E-3</v>
      </c>
      <c r="K550" s="128"/>
      <c r="L550" s="128">
        <v>4.0800000000000003E-2</v>
      </c>
      <c r="O550" s="2"/>
    </row>
    <row r="551" spans="2:15" x14ac:dyDescent="0.2">
      <c r="B551" s="1">
        <v>536</v>
      </c>
      <c r="C551" s="5">
        <f ca="1">_xlfn.NORM.S.INV(RAND())</f>
        <v>-0.84991080935940033</v>
      </c>
      <c r="D551" s="5">
        <f ca="1">S0*EXP((μ-0.5*σ*σ)*T+σ*SQRT(T)*$C551)</f>
        <v>0.61109528168888216</v>
      </c>
      <c r="E551" s="5">
        <f ca="1">MAX(0,CP*(D551-K))</f>
        <v>0</v>
      </c>
      <c r="F551" s="4">
        <f ca="1">(CP*(D551-K)&gt;0)*1</f>
        <v>0</v>
      </c>
      <c r="H551" s="4">
        <v>536</v>
      </c>
      <c r="I551" s="3">
        <v>0.66777540277587699</v>
      </c>
      <c r="J551" s="128">
        <v>1.4334659792470527E-3</v>
      </c>
      <c r="K551" s="128"/>
      <c r="L551" s="128">
        <v>3.9399999999999998E-2</v>
      </c>
      <c r="O551" s="2"/>
    </row>
    <row r="552" spans="2:15" x14ac:dyDescent="0.2">
      <c r="B552" s="1">
        <v>537</v>
      </c>
      <c r="C552" s="5">
        <f ca="1">_xlfn.NORM.S.INV(RAND())</f>
        <v>-1.2924039855041523</v>
      </c>
      <c r="D552" s="5">
        <f ca="1">S0*EXP((μ-0.5*σ*σ)*T+σ*SQRT(T)*$C552)</f>
        <v>0.58500980527387847</v>
      </c>
      <c r="E552" s="5">
        <f ca="1">MAX(0,CP*(D552-K))</f>
        <v>0</v>
      </c>
      <c r="F552" s="4">
        <f ca="1">(CP*(D552-K)&gt;0)*1</f>
        <v>0</v>
      </c>
      <c r="H552" s="4">
        <v>537</v>
      </c>
      <c r="I552" s="3">
        <v>0.66775197883119208</v>
      </c>
      <c r="J552" s="128">
        <v>1.2402104922121949E-3</v>
      </c>
      <c r="K552" s="128"/>
      <c r="L552" s="128">
        <v>4.1799999999999997E-2</v>
      </c>
      <c r="O552" s="2"/>
    </row>
    <row r="553" spans="2:15" x14ac:dyDescent="0.2">
      <c r="B553" s="1">
        <v>538</v>
      </c>
      <c r="C553" s="5">
        <f ca="1">_xlfn.NORM.S.INV(RAND())</f>
        <v>0.19477754344685777</v>
      </c>
      <c r="D553" s="5">
        <f ca="1">S0*EXP((μ-0.5*σ*σ)*T+σ*SQRT(T)*$C553)</f>
        <v>0.67738925099867708</v>
      </c>
      <c r="E553" s="5">
        <f ca="1">MAX(0,CP*(D553-K))</f>
        <v>0</v>
      </c>
      <c r="F553" s="4">
        <f ca="1">(CP*(D553-K)&gt;0)*1</f>
        <v>0</v>
      </c>
      <c r="H553" s="4">
        <v>538</v>
      </c>
      <c r="I553" s="3">
        <v>0.66766685752141475</v>
      </c>
      <c r="J553" s="128">
        <v>1.0888722265077484E-3</v>
      </c>
      <c r="K553" s="128"/>
      <c r="L553" s="128">
        <v>3.7199999999999997E-2</v>
      </c>
      <c r="O553" s="2"/>
    </row>
    <row r="554" spans="2:15" x14ac:dyDescent="0.2">
      <c r="B554" s="1">
        <v>539</v>
      </c>
      <c r="C554" s="5">
        <f ca="1">_xlfn.NORM.S.INV(RAND())</f>
        <v>0.91320879077815686</v>
      </c>
      <c r="D554" s="5">
        <f ca="1">S0*EXP((μ-0.5*σ*σ)*T+σ*SQRT(T)*$C554)</f>
        <v>0.72710754110851805</v>
      </c>
      <c r="E554" s="5">
        <f ca="1">MAX(0,CP*(D554-K))</f>
        <v>0</v>
      </c>
      <c r="F554" s="4">
        <f ca="1">(CP*(D554-K)&gt;0)*1</f>
        <v>0</v>
      </c>
      <c r="H554" s="4">
        <v>539</v>
      </c>
      <c r="I554" s="3">
        <v>0.66774151909463308</v>
      </c>
      <c r="J554" s="128">
        <v>1.5180075689628489E-3</v>
      </c>
      <c r="K554" s="128"/>
      <c r="L554" s="128">
        <v>4.3400000000000001E-2</v>
      </c>
      <c r="O554" s="2"/>
    </row>
    <row r="555" spans="2:15" x14ac:dyDescent="0.2">
      <c r="B555" s="1">
        <v>540</v>
      </c>
      <c r="C555" s="5">
        <f ca="1">_xlfn.NORM.S.INV(RAND())</f>
        <v>1.2299587202757203</v>
      </c>
      <c r="D555" s="5">
        <f ca="1">S0*EXP((μ-0.5*σ*σ)*T+σ*SQRT(T)*$C555)</f>
        <v>0.75017158861273736</v>
      </c>
      <c r="E555" s="5">
        <f ca="1">MAX(0,CP*(D555-K))</f>
        <v>0</v>
      </c>
      <c r="F555" s="4">
        <f ca="1">(CP*(D555-K)&gt;0)*1</f>
        <v>0</v>
      </c>
      <c r="H555" s="4">
        <v>540</v>
      </c>
      <c r="I555" s="3">
        <v>0.66781145578712708</v>
      </c>
      <c r="J555" s="128">
        <v>1.4452663738949234E-3</v>
      </c>
      <c r="K555" s="128"/>
      <c r="L555" s="128">
        <v>4.5600000000000002E-2</v>
      </c>
      <c r="O555" s="2"/>
    </row>
    <row r="556" spans="2:15" x14ac:dyDescent="0.2">
      <c r="B556" s="1">
        <v>541</v>
      </c>
      <c r="C556" s="5">
        <f ca="1">_xlfn.NORM.S.INV(RAND())</f>
        <v>-2.1425087428168692</v>
      </c>
      <c r="D556" s="5">
        <f ca="1">S0*EXP((μ-0.5*σ*σ)*T+σ*SQRT(T)*$C556)</f>
        <v>0.53797868004285299</v>
      </c>
      <c r="E556" s="5">
        <f ca="1">MAX(0,CP*(D556-K))</f>
        <v>0</v>
      </c>
      <c r="F556" s="4">
        <f ca="1">(CP*(D556-K)&gt;0)*1</f>
        <v>0</v>
      </c>
      <c r="H556" s="4">
        <v>541</v>
      </c>
      <c r="I556" s="3">
        <v>0.66749685202095299</v>
      </c>
      <c r="J556" s="128">
        <v>1.0846604461088811E-3</v>
      </c>
      <c r="K556" s="128"/>
      <c r="L556" s="128">
        <v>3.4000000000000002E-2</v>
      </c>
      <c r="O556" s="2"/>
    </row>
    <row r="557" spans="2:15" x14ac:dyDescent="0.2">
      <c r="B557" s="1">
        <v>542</v>
      </c>
      <c r="C557" s="5">
        <f ca="1">_xlfn.NORM.S.INV(RAND())</f>
        <v>-0.29126771260486184</v>
      </c>
      <c r="D557" s="5">
        <f ca="1">S0*EXP((μ-0.5*σ*σ)*T+σ*SQRT(T)*$C557)</f>
        <v>0.64569554508822358</v>
      </c>
      <c r="E557" s="5">
        <f ca="1">MAX(0,CP*(D557-K))</f>
        <v>0</v>
      </c>
      <c r="F557" s="4">
        <f ca="1">(CP*(D557-K)&gt;0)*1</f>
        <v>0</v>
      </c>
      <c r="H557" s="4">
        <v>542</v>
      </c>
      <c r="I557" s="3">
        <v>0.66765710430230363</v>
      </c>
      <c r="J557" s="128">
        <v>1.2253664232514362E-3</v>
      </c>
      <c r="K557" s="128"/>
      <c r="L557" s="128">
        <v>3.78E-2</v>
      </c>
      <c r="O557" s="2"/>
    </row>
    <row r="558" spans="2:15" x14ac:dyDescent="0.2">
      <c r="B558" s="1">
        <v>543</v>
      </c>
      <c r="C558" s="5">
        <f ca="1">_xlfn.NORM.S.INV(RAND())</f>
        <v>2.055862864385166</v>
      </c>
      <c r="D558" s="5">
        <f ca="1">S0*EXP((μ-0.5*σ*σ)*T+σ*SQRT(T)*$C558)</f>
        <v>0.8138090571808958</v>
      </c>
      <c r="E558" s="5">
        <f ca="1">MAX(0,CP*(D558-K))</f>
        <v>2.5609057180895789E-2</v>
      </c>
      <c r="F558" s="4">
        <f ca="1">(CP*(D558-K)&gt;0)*1</f>
        <v>1</v>
      </c>
      <c r="H558" s="4">
        <v>543</v>
      </c>
      <c r="I558" s="3">
        <v>0.66783411363559808</v>
      </c>
      <c r="J558" s="128">
        <v>1.4265369234877923E-3</v>
      </c>
      <c r="K558" s="128"/>
      <c r="L558" s="128">
        <v>4.1399999999999999E-2</v>
      </c>
      <c r="O558" s="2"/>
    </row>
    <row r="559" spans="2:15" x14ac:dyDescent="0.2">
      <c r="B559" s="1">
        <v>544</v>
      </c>
      <c r="C559" s="5">
        <f ca="1">_xlfn.NORM.S.INV(RAND())</f>
        <v>0.49399149919895013</v>
      </c>
      <c r="D559" s="5">
        <f ca="1">S0*EXP((μ-0.5*σ*σ)*T+σ*SQRT(T)*$C559)</f>
        <v>0.69766902845546896</v>
      </c>
      <c r="E559" s="5">
        <f ca="1">MAX(0,CP*(D559-K))</f>
        <v>0</v>
      </c>
      <c r="F559" s="4">
        <f ca="1">(CP*(D559-K)&gt;0)*1</f>
        <v>0</v>
      </c>
      <c r="H559" s="4">
        <v>544</v>
      </c>
      <c r="I559" s="3">
        <v>0.66763502735311253</v>
      </c>
      <c r="J559" s="128">
        <v>1.2577327681657195E-3</v>
      </c>
      <c r="K559" s="128"/>
      <c r="L559" s="128">
        <v>3.9600000000000003E-2</v>
      </c>
      <c r="O559" s="2"/>
    </row>
    <row r="560" spans="2:15" x14ac:dyDescent="0.2">
      <c r="B560" s="1">
        <v>545</v>
      </c>
      <c r="C560" s="5">
        <f ca="1">_xlfn.NORM.S.INV(RAND())</f>
        <v>-1.1971179844606445</v>
      </c>
      <c r="D560" s="5">
        <f ca="1">S0*EXP((μ-0.5*σ*σ)*T+σ*SQRT(T)*$C560)</f>
        <v>0.59053128454478498</v>
      </c>
      <c r="E560" s="5">
        <f ca="1">MAX(0,CP*(D560-K))</f>
        <v>0</v>
      </c>
      <c r="F560" s="4">
        <f ca="1">(CP*(D560-K)&gt;0)*1</f>
        <v>0</v>
      </c>
      <c r="H560" s="4">
        <v>545</v>
      </c>
      <c r="I560" s="3">
        <v>0.66781067639855118</v>
      </c>
      <c r="J560" s="128">
        <v>1.4526082067609191E-3</v>
      </c>
      <c r="K560" s="128"/>
      <c r="L560" s="128">
        <v>4.1599999999999998E-2</v>
      </c>
      <c r="O560" s="2"/>
    </row>
    <row r="561" spans="2:15" x14ac:dyDescent="0.2">
      <c r="B561" s="1">
        <v>546</v>
      </c>
      <c r="C561" s="5">
        <f ca="1">_xlfn.NORM.S.INV(RAND())</f>
        <v>5.1033731471229964E-2</v>
      </c>
      <c r="D561" s="5">
        <f ca="1">S0*EXP((μ-0.5*σ*σ)*T+σ*SQRT(T)*$C561)</f>
        <v>0.66785743728180524</v>
      </c>
      <c r="E561" s="5">
        <f ca="1">MAX(0,CP*(D561-K))</f>
        <v>0</v>
      </c>
      <c r="F561" s="4">
        <f ca="1">(CP*(D561-K)&gt;0)*1</f>
        <v>0</v>
      </c>
      <c r="H561" s="4">
        <v>546</v>
      </c>
      <c r="I561" s="3">
        <v>0.66780984469986349</v>
      </c>
      <c r="J561" s="128">
        <v>1.4784595263911738E-3</v>
      </c>
      <c r="K561" s="128"/>
      <c r="L561" s="128">
        <v>4.1200000000000001E-2</v>
      </c>
      <c r="O561" s="2"/>
    </row>
    <row r="562" spans="2:15" x14ac:dyDescent="0.2">
      <c r="B562" s="1">
        <v>547</v>
      </c>
      <c r="C562" s="5">
        <f ca="1">_xlfn.NORM.S.INV(RAND())</f>
        <v>-0.41094592720274142</v>
      </c>
      <c r="D562" s="5">
        <f ca="1">S0*EXP((μ-0.5*σ*σ)*T+σ*SQRT(T)*$C562)</f>
        <v>0.63812189806713548</v>
      </c>
      <c r="E562" s="5">
        <f ca="1">MAX(0,CP*(D562-K))</f>
        <v>0</v>
      </c>
      <c r="F562" s="4">
        <f ca="1">(CP*(D562-K)&gt;0)*1</f>
        <v>0</v>
      </c>
      <c r="H562" s="4">
        <v>547</v>
      </c>
      <c r="I562" s="3">
        <v>0.66772920639914712</v>
      </c>
      <c r="J562" s="128">
        <v>1.4281481681950275E-3</v>
      </c>
      <c r="K562" s="128"/>
      <c r="L562" s="128">
        <v>4.2999999999999997E-2</v>
      </c>
      <c r="O562" s="2"/>
    </row>
    <row r="563" spans="2:15" x14ac:dyDescent="0.2">
      <c r="B563" s="1">
        <v>548</v>
      </c>
      <c r="C563" s="5">
        <f ca="1">_xlfn.NORM.S.INV(RAND())</f>
        <v>-1.0290393303498098</v>
      </c>
      <c r="D563" s="5">
        <f ca="1">S0*EXP((μ-0.5*σ*σ)*T+σ*SQRT(T)*$C563)</f>
        <v>0.60039817686138885</v>
      </c>
      <c r="E563" s="5">
        <f ca="1">MAX(0,CP*(D563-K))</f>
        <v>0</v>
      </c>
      <c r="F563" s="4">
        <f ca="1">(CP*(D563-K)&gt;0)*1</f>
        <v>0</v>
      </c>
      <c r="H563" s="4">
        <v>548</v>
      </c>
      <c r="I563" s="3">
        <v>0.66780009059294321</v>
      </c>
      <c r="J563" s="128">
        <v>1.258328779210426E-3</v>
      </c>
      <c r="K563" s="128"/>
      <c r="L563" s="128">
        <v>4.4400000000000002E-2</v>
      </c>
      <c r="O563" s="2"/>
    </row>
    <row r="564" spans="2:15" x14ac:dyDescent="0.2">
      <c r="B564" s="1">
        <v>549</v>
      </c>
      <c r="C564" s="5">
        <f ca="1">_xlfn.NORM.S.INV(RAND())</f>
        <v>-1.9077852506361983</v>
      </c>
      <c r="D564" s="5">
        <f ca="1">S0*EXP((μ-0.5*σ*σ)*T+σ*SQRT(T)*$C564)</f>
        <v>0.55057309486062267</v>
      </c>
      <c r="E564" s="5">
        <f ca="1">MAX(0,CP*(D564-K))</f>
        <v>0</v>
      </c>
      <c r="F564" s="4">
        <f ca="1">(CP*(D564-K)&gt;0)*1</f>
        <v>0</v>
      </c>
      <c r="H564" s="4">
        <v>549</v>
      </c>
      <c r="I564" s="3">
        <v>0.66757051569557568</v>
      </c>
      <c r="J564" s="128">
        <v>1.1204575667272353E-3</v>
      </c>
      <c r="K564" s="128"/>
      <c r="L564" s="128">
        <v>3.9600000000000003E-2</v>
      </c>
      <c r="O564" s="2"/>
    </row>
    <row r="565" spans="2:15" x14ac:dyDescent="0.2">
      <c r="B565" s="1">
        <v>550</v>
      </c>
      <c r="C565" s="5">
        <f ca="1">_xlfn.NORM.S.INV(RAND())</f>
        <v>0.99172935227106596</v>
      </c>
      <c r="D565" s="5">
        <f ca="1">S0*EXP((μ-0.5*σ*σ)*T+σ*SQRT(T)*$C565)</f>
        <v>0.73275802730486561</v>
      </c>
      <c r="E565" s="5">
        <f ca="1">MAX(0,CP*(D565-K))</f>
        <v>0</v>
      </c>
      <c r="F565" s="4">
        <f ca="1">(CP*(D565-K)&gt;0)*1</f>
        <v>0</v>
      </c>
      <c r="H565" s="4">
        <v>550</v>
      </c>
      <c r="I565" s="3">
        <v>0.6678855778724051</v>
      </c>
      <c r="J565" s="128">
        <v>1.4358314794870775E-3</v>
      </c>
      <c r="K565" s="128"/>
      <c r="L565" s="128">
        <v>4.4600000000000001E-2</v>
      </c>
      <c r="O565" s="2"/>
    </row>
    <row r="566" spans="2:15" x14ac:dyDescent="0.2">
      <c r="B566" s="1">
        <v>551</v>
      </c>
      <c r="C566" s="5">
        <f ca="1">_xlfn.NORM.S.INV(RAND())</f>
        <v>-0.1896079308849293</v>
      </c>
      <c r="D566" s="5">
        <f ca="1">S0*EXP((μ-0.5*σ*σ)*T+σ*SQRT(T)*$C566)</f>
        <v>0.65219948968989294</v>
      </c>
      <c r="E566" s="5">
        <f ca="1">MAX(0,CP*(D566-K))</f>
        <v>0</v>
      </c>
      <c r="F566" s="4">
        <f ca="1">(CP*(D566-K)&gt;0)*1</f>
        <v>0</v>
      </c>
      <c r="H566" s="4">
        <v>551</v>
      </c>
      <c r="I566" s="3">
        <v>0.6676413639816754</v>
      </c>
      <c r="J566" s="128">
        <v>1.3026886845429141E-3</v>
      </c>
      <c r="K566" s="128"/>
      <c r="L566" s="128">
        <v>4.2799999999999998E-2</v>
      </c>
      <c r="O566" s="2"/>
    </row>
    <row r="567" spans="2:15" x14ac:dyDescent="0.2">
      <c r="B567" s="1">
        <v>552</v>
      </c>
      <c r="C567" s="5">
        <f ca="1">_xlfn.NORM.S.INV(RAND())</f>
        <v>2.953210435459035E-2</v>
      </c>
      <c r="D567" s="5">
        <f ca="1">S0*EXP((μ-0.5*σ*σ)*T+σ*SQRT(T)*$C567)</f>
        <v>0.66644321854208832</v>
      </c>
      <c r="E567" s="5">
        <f ca="1">MAX(0,CP*(D567-K))</f>
        <v>0</v>
      </c>
      <c r="F567" s="4">
        <f ca="1">(CP*(D567-K)&gt;0)*1</f>
        <v>0</v>
      </c>
      <c r="H567" s="4">
        <v>552</v>
      </c>
      <c r="I567" s="3">
        <v>0.66764829078343724</v>
      </c>
      <c r="J567" s="128">
        <v>1.259969977183487E-3</v>
      </c>
      <c r="K567" s="128"/>
      <c r="L567" s="128">
        <v>4.1399999999999999E-2</v>
      </c>
      <c r="O567" s="2"/>
    </row>
    <row r="568" spans="2:15" x14ac:dyDescent="0.2">
      <c r="B568" s="1">
        <v>553</v>
      </c>
      <c r="C568" s="5">
        <f ca="1">_xlfn.NORM.S.INV(RAND())</f>
        <v>-0.34050313545124067</v>
      </c>
      <c r="D568" s="5">
        <f ca="1">S0*EXP((μ-0.5*σ*σ)*T+σ*SQRT(T)*$C568)</f>
        <v>0.64256893606240206</v>
      </c>
      <c r="E568" s="5">
        <f ca="1">MAX(0,CP*(D568-K))</f>
        <v>0</v>
      </c>
      <c r="F568" s="4">
        <f ca="1">(CP*(D568-K)&gt;0)*1</f>
        <v>0</v>
      </c>
      <c r="H568" s="4">
        <v>553</v>
      </c>
      <c r="I568" s="3">
        <v>0.66788572515629763</v>
      </c>
      <c r="J568" s="128">
        <v>1.445856035594761E-3</v>
      </c>
      <c r="K568" s="128"/>
      <c r="L568" s="128">
        <v>4.3400000000000001E-2</v>
      </c>
      <c r="O568" s="2"/>
    </row>
    <row r="569" spans="2:15" x14ac:dyDescent="0.2">
      <c r="B569" s="1">
        <v>554</v>
      </c>
      <c r="C569" s="5">
        <f ca="1">_xlfn.NORM.S.INV(RAND())</f>
        <v>1.1677040264835625</v>
      </c>
      <c r="D569" s="5">
        <f ca="1">S0*EXP((μ-0.5*σ*σ)*T+σ*SQRT(T)*$C569)</f>
        <v>0.74558148628704246</v>
      </c>
      <c r="E569" s="5">
        <f ca="1">MAX(0,CP*(D569-K))</f>
        <v>0</v>
      </c>
      <c r="F569" s="4">
        <f ca="1">(CP*(D569-K)&gt;0)*1</f>
        <v>0</v>
      </c>
      <c r="H569" s="4">
        <v>554</v>
      </c>
      <c r="I569" s="3">
        <v>0.66771024628612508</v>
      </c>
      <c r="J569" s="128">
        <v>1.3368261106758105E-3</v>
      </c>
      <c r="K569" s="128"/>
      <c r="L569" s="128">
        <v>4.1000000000000002E-2</v>
      </c>
      <c r="O569" s="2"/>
    </row>
    <row r="570" spans="2:15" x14ac:dyDescent="0.2">
      <c r="B570" s="1">
        <v>555</v>
      </c>
      <c r="C570" s="5">
        <f ca="1">_xlfn.NORM.S.INV(RAND())</f>
        <v>0.55145833671547095</v>
      </c>
      <c r="D570" s="5">
        <f ca="1">S0*EXP((μ-0.5*σ*σ)*T+σ*SQRT(T)*$C570)</f>
        <v>0.70163289745329249</v>
      </c>
      <c r="E570" s="5">
        <f ca="1">MAX(0,CP*(D570-K))</f>
        <v>0</v>
      </c>
      <c r="F570" s="4">
        <f ca="1">(CP*(D570-K)&gt;0)*1</f>
        <v>0</v>
      </c>
      <c r="H570" s="4">
        <v>555</v>
      </c>
      <c r="I570" s="3">
        <v>0.66776093847206863</v>
      </c>
      <c r="J570" s="128">
        <v>1.2965997173704821E-3</v>
      </c>
      <c r="K570" s="128"/>
      <c r="L570" s="128">
        <v>4.2000000000000003E-2</v>
      </c>
      <c r="O570" s="2"/>
    </row>
    <row r="571" spans="2:15" x14ac:dyDescent="0.2">
      <c r="B571" s="1">
        <v>556</v>
      </c>
      <c r="C571" s="5">
        <f ca="1">_xlfn.NORM.S.INV(RAND())</f>
        <v>-1.8435605528197121</v>
      </c>
      <c r="D571" s="5">
        <f ca="1">S0*EXP((μ-0.5*σ*σ)*T+σ*SQRT(T)*$C571)</f>
        <v>0.55407024616424139</v>
      </c>
      <c r="E571" s="5">
        <f ca="1">MAX(0,CP*(D571-K))</f>
        <v>0</v>
      </c>
      <c r="F571" s="4">
        <f ca="1">(CP*(D571-K)&gt;0)*1</f>
        <v>0</v>
      </c>
      <c r="H571" s="4">
        <v>556</v>
      </c>
      <c r="I571" s="3">
        <v>0.66769695876591484</v>
      </c>
      <c r="J571" s="128">
        <v>1.4290723838639077E-3</v>
      </c>
      <c r="K571" s="128"/>
      <c r="L571" s="128">
        <v>4.1799999999999997E-2</v>
      </c>
      <c r="O571" s="2"/>
    </row>
    <row r="572" spans="2:15" x14ac:dyDescent="0.2">
      <c r="B572" s="1">
        <v>557</v>
      </c>
      <c r="C572" s="5">
        <f ca="1">_xlfn.NORM.S.INV(RAND())</f>
        <v>0.71490934972446873</v>
      </c>
      <c r="D572" s="5">
        <f ca="1">S0*EXP((μ-0.5*σ*σ)*T+σ*SQRT(T)*$C572)</f>
        <v>0.71303075273139849</v>
      </c>
      <c r="E572" s="5">
        <f ca="1">MAX(0,CP*(D572-K))</f>
        <v>0</v>
      </c>
      <c r="F572" s="4">
        <f ca="1">(CP*(D572-K)&gt;0)*1</f>
        <v>0</v>
      </c>
      <c r="H572" s="4">
        <v>557</v>
      </c>
      <c r="I572" s="3">
        <v>0.66784073111997666</v>
      </c>
      <c r="J572" s="128">
        <v>1.6045629512184238E-3</v>
      </c>
      <c r="K572" s="128"/>
      <c r="L572" s="128">
        <v>4.4999999999999998E-2</v>
      </c>
      <c r="O572" s="2"/>
    </row>
    <row r="573" spans="2:15" x14ac:dyDescent="0.2">
      <c r="B573" s="1">
        <v>558</v>
      </c>
      <c r="C573" s="5">
        <f ca="1">_xlfn.NORM.S.INV(RAND())</f>
        <v>0.72583709937355678</v>
      </c>
      <c r="D573" s="5">
        <f ca="1">S0*EXP((μ-0.5*σ*σ)*T+σ*SQRT(T)*$C573)</f>
        <v>0.71379934264516254</v>
      </c>
      <c r="E573" s="5">
        <f ca="1">MAX(0,CP*(D573-K))</f>
        <v>0</v>
      </c>
      <c r="F573" s="4">
        <f ca="1">(CP*(D573-K)&gt;0)*1</f>
        <v>0</v>
      </c>
      <c r="H573" s="4">
        <v>558</v>
      </c>
      <c r="I573" s="3">
        <v>0.66772692944618295</v>
      </c>
      <c r="J573" s="128">
        <v>1.2938545354614893E-3</v>
      </c>
      <c r="K573" s="128"/>
      <c r="L573" s="128">
        <v>4.0800000000000003E-2</v>
      </c>
      <c r="O573" s="2"/>
    </row>
    <row r="574" spans="2:15" x14ac:dyDescent="0.2">
      <c r="B574" s="1">
        <v>559</v>
      </c>
      <c r="C574" s="5">
        <f ca="1">_xlfn.NORM.S.INV(RAND())</f>
        <v>0.50647911977833771</v>
      </c>
      <c r="D574" s="5">
        <f ca="1">S0*EXP((μ-0.5*σ*σ)*T+σ*SQRT(T)*$C574)</f>
        <v>0.69852847371703175</v>
      </c>
      <c r="E574" s="5">
        <f ca="1">MAX(0,CP*(D574-K))</f>
        <v>0</v>
      </c>
      <c r="F574" s="4">
        <f ca="1">(CP*(D574-K)&gt;0)*1</f>
        <v>0</v>
      </c>
      <c r="H574" s="4">
        <v>559</v>
      </c>
      <c r="I574" s="3">
        <v>0.66774561999399928</v>
      </c>
      <c r="J574" s="128">
        <v>1.3576841138568895E-3</v>
      </c>
      <c r="K574" s="128"/>
      <c r="L574" s="128">
        <v>4.1000000000000002E-2</v>
      </c>
      <c r="O574" s="2"/>
    </row>
    <row r="575" spans="2:15" x14ac:dyDescent="0.2">
      <c r="B575" s="1">
        <v>560</v>
      </c>
      <c r="C575" s="5">
        <f ca="1">_xlfn.NORM.S.INV(RAND())</f>
        <v>4.0606644145855034E-2</v>
      </c>
      <c r="D575" s="5">
        <f ca="1">S0*EXP((μ-0.5*σ*σ)*T+σ*SQRT(T)*$C575)</f>
        <v>0.66717124584512832</v>
      </c>
      <c r="E575" s="5">
        <f ca="1">MAX(0,CP*(D575-K))</f>
        <v>0</v>
      </c>
      <c r="F575" s="4">
        <f ca="1">(CP*(D575-K)&gt;0)*1</f>
        <v>0</v>
      </c>
      <c r="H575" s="4">
        <v>560</v>
      </c>
      <c r="I575" s="3">
        <v>0.66773425815318865</v>
      </c>
      <c r="J575" s="128">
        <v>1.4134314544166958E-3</v>
      </c>
      <c r="K575" s="128"/>
      <c r="L575" s="128">
        <v>4.1000000000000002E-2</v>
      </c>
      <c r="O575" s="2"/>
    </row>
    <row r="576" spans="2:15" x14ac:dyDescent="0.2">
      <c r="B576" s="1">
        <v>561</v>
      </c>
      <c r="C576" s="5">
        <f ca="1">_xlfn.NORM.S.INV(RAND())</f>
        <v>1.080005706853032</v>
      </c>
      <c r="D576" s="5">
        <f ca="1">S0*EXP((μ-0.5*σ*σ)*T+σ*SQRT(T)*$C576)</f>
        <v>0.7391630089026584</v>
      </c>
      <c r="E576" s="5">
        <f ca="1">MAX(0,CP*(D576-K))</f>
        <v>0</v>
      </c>
      <c r="F576" s="4">
        <f ca="1">(CP*(D576-K)&gt;0)*1</f>
        <v>0</v>
      </c>
      <c r="H576" s="4">
        <v>561</v>
      </c>
      <c r="I576" s="3">
        <v>0.66755980045241736</v>
      </c>
      <c r="J576" s="128">
        <v>1.147556907912582E-3</v>
      </c>
      <c r="K576" s="128"/>
      <c r="L576" s="128">
        <v>3.8199999999999998E-2</v>
      </c>
      <c r="O576" s="2"/>
    </row>
    <row r="577" spans="2:15" x14ac:dyDescent="0.2">
      <c r="B577" s="1">
        <v>562</v>
      </c>
      <c r="C577" s="5">
        <f ca="1">_xlfn.NORM.S.INV(RAND())</f>
        <v>1.1956750087927359</v>
      </c>
      <c r="D577" s="5">
        <f ca="1">S0*EXP((μ-0.5*σ*σ)*T+σ*SQRT(T)*$C577)</f>
        <v>0.74764033054188728</v>
      </c>
      <c r="E577" s="5">
        <f ca="1">MAX(0,CP*(D577-K))</f>
        <v>0</v>
      </c>
      <c r="F577" s="4">
        <f ca="1">(CP*(D577-K)&gt;0)*1</f>
        <v>0</v>
      </c>
      <c r="H577" s="4">
        <v>562</v>
      </c>
      <c r="I577" s="3">
        <v>0.66771725058579512</v>
      </c>
      <c r="J577" s="128">
        <v>1.2938211694518873E-3</v>
      </c>
      <c r="K577" s="128"/>
      <c r="L577" s="128">
        <v>4.0599999999999997E-2</v>
      </c>
      <c r="O577" s="2"/>
    </row>
    <row r="578" spans="2:15" x14ac:dyDescent="0.2">
      <c r="B578" s="1">
        <v>563</v>
      </c>
      <c r="C578" s="5">
        <f ca="1">_xlfn.NORM.S.INV(RAND())</f>
        <v>-1.8942159219485744</v>
      </c>
      <c r="D578" s="5">
        <f ca="1">S0*EXP((μ-0.5*σ*σ)*T+σ*SQRT(T)*$C578)</f>
        <v>0.55131012558442349</v>
      </c>
      <c r="E578" s="5">
        <f ca="1">MAX(0,CP*(D578-K))</f>
        <v>0</v>
      </c>
      <c r="F578" s="4">
        <f ca="1">(CP*(D578-K)&gt;0)*1</f>
        <v>0</v>
      </c>
      <c r="H578" s="4">
        <v>563</v>
      </c>
      <c r="I578" s="3">
        <v>0.66782914275507188</v>
      </c>
      <c r="J578" s="128">
        <v>1.4672205963959068E-3</v>
      </c>
      <c r="K578" s="128"/>
      <c r="L578" s="128">
        <v>4.3999999999999997E-2</v>
      </c>
      <c r="O578" s="2"/>
    </row>
    <row r="579" spans="2:15" x14ac:dyDescent="0.2">
      <c r="B579" s="1">
        <v>564</v>
      </c>
      <c r="C579" s="5">
        <f ca="1">_xlfn.NORM.S.INV(RAND())</f>
        <v>0.51088274095869224</v>
      </c>
      <c r="D579" s="5">
        <f ca="1">S0*EXP((μ-0.5*σ*σ)*T+σ*SQRT(T)*$C579)</f>
        <v>0.69883180001333245</v>
      </c>
      <c r="E579" s="5">
        <f ca="1">MAX(0,CP*(D579-K))</f>
        <v>0</v>
      </c>
      <c r="F579" s="4">
        <f ca="1">(CP*(D579-K)&gt;0)*1</f>
        <v>0</v>
      </c>
      <c r="H579" s="4">
        <v>564</v>
      </c>
      <c r="I579" s="3">
        <v>0.66775004430385143</v>
      </c>
      <c r="J579" s="128">
        <v>1.4156325724785845E-3</v>
      </c>
      <c r="K579" s="128"/>
      <c r="L579" s="128">
        <v>4.2599999999999999E-2</v>
      </c>
      <c r="O579" s="2"/>
    </row>
    <row r="580" spans="2:15" x14ac:dyDescent="0.2">
      <c r="B580" s="1">
        <v>565</v>
      </c>
      <c r="C580" s="5">
        <f ca="1">_xlfn.NORM.S.INV(RAND())</f>
        <v>-1.5484449580336423</v>
      </c>
      <c r="D580" s="5">
        <f ca="1">S0*EXP((μ-0.5*σ*σ)*T+σ*SQRT(T)*$C580)</f>
        <v>0.57042755526985045</v>
      </c>
      <c r="E580" s="5">
        <f ca="1">MAX(0,CP*(D580-K))</f>
        <v>0</v>
      </c>
      <c r="F580" s="4">
        <f ca="1">(CP*(D580-K)&gt;0)*1</f>
        <v>0</v>
      </c>
      <c r="H580" s="4">
        <v>565</v>
      </c>
      <c r="I580" s="3">
        <v>0.66776277732253764</v>
      </c>
      <c r="J580" s="128">
        <v>1.4058470495628044E-3</v>
      </c>
      <c r="K580" s="128"/>
      <c r="L580" s="128">
        <v>4.24E-2</v>
      </c>
      <c r="O580" s="2"/>
    </row>
    <row r="581" spans="2:15" x14ac:dyDescent="0.2">
      <c r="B581" s="1">
        <v>566</v>
      </c>
      <c r="C581" s="5">
        <f ca="1">_xlfn.NORM.S.INV(RAND())</f>
        <v>0.14472083540563258</v>
      </c>
      <c r="D581" s="5">
        <f ca="1">S0*EXP((μ-0.5*σ*σ)*T+σ*SQRT(T)*$C581)</f>
        <v>0.67405459427608616</v>
      </c>
      <c r="E581" s="5">
        <f ca="1">MAX(0,CP*(D581-K))</f>
        <v>0</v>
      </c>
      <c r="F581" s="4">
        <f ca="1">(CP*(D581-K)&gt;0)*1</f>
        <v>0</v>
      </c>
      <c r="H581" s="4">
        <v>566</v>
      </c>
      <c r="I581" s="3">
        <v>0.66769453369715026</v>
      </c>
      <c r="J581" s="128">
        <v>1.2970506069374214E-3</v>
      </c>
      <c r="K581" s="128"/>
      <c r="L581" s="128">
        <v>3.9199999999999999E-2</v>
      </c>
      <c r="O581" s="2"/>
    </row>
    <row r="582" spans="2:15" x14ac:dyDescent="0.2">
      <c r="B582" s="1">
        <v>567</v>
      </c>
      <c r="C582" s="5">
        <f ca="1">_xlfn.NORM.S.INV(RAND())</f>
        <v>-0.50503367154078738</v>
      </c>
      <c r="D582" s="5">
        <f ca="1">S0*EXP((μ-0.5*σ*σ)*T+σ*SQRT(T)*$C582)</f>
        <v>0.63223012850358529</v>
      </c>
      <c r="E582" s="5">
        <f ca="1">MAX(0,CP*(D582-K))</f>
        <v>0</v>
      </c>
      <c r="F582" s="4">
        <f ca="1">(CP*(D582-K)&gt;0)*1</f>
        <v>0</v>
      </c>
      <c r="H582" s="4">
        <v>567</v>
      </c>
      <c r="I582" s="3">
        <v>0.66766317806913489</v>
      </c>
      <c r="J582" s="128">
        <v>1.1870379265943069E-3</v>
      </c>
      <c r="K582" s="128"/>
      <c r="L582" s="128">
        <v>4.1000000000000002E-2</v>
      </c>
      <c r="O582" s="2"/>
    </row>
    <row r="583" spans="2:15" x14ac:dyDescent="0.2">
      <c r="B583" s="1">
        <v>568</v>
      </c>
      <c r="C583" s="5">
        <f ca="1">_xlfn.NORM.S.INV(RAND())</f>
        <v>-0.88506158162571136</v>
      </c>
      <c r="D583" s="5">
        <f ca="1">S0*EXP((μ-0.5*σ*σ)*T+σ*SQRT(T)*$C583)</f>
        <v>0.60898124153644273</v>
      </c>
      <c r="E583" s="5">
        <f ca="1">MAX(0,CP*(D583-K))</f>
        <v>0</v>
      </c>
      <c r="F583" s="4">
        <f ca="1">(CP*(D583-K)&gt;0)*1</f>
        <v>0</v>
      </c>
      <c r="H583" s="4">
        <v>568</v>
      </c>
      <c r="I583" s="3">
        <v>0.66775141078808664</v>
      </c>
      <c r="J583" s="128">
        <v>1.4441081404897439E-3</v>
      </c>
      <c r="K583" s="128"/>
      <c r="L583" s="128">
        <v>4.2999999999999997E-2</v>
      </c>
      <c r="O583" s="2"/>
    </row>
    <row r="584" spans="2:15" x14ac:dyDescent="0.2">
      <c r="B584" s="1">
        <v>569</v>
      </c>
      <c r="C584" s="5">
        <f ca="1">_xlfn.NORM.S.INV(RAND())</f>
        <v>-1.1289755500741365</v>
      </c>
      <c r="D584" s="5">
        <f ca="1">S0*EXP((μ-0.5*σ*σ)*T+σ*SQRT(T)*$C584)</f>
        <v>0.59451182356066679</v>
      </c>
      <c r="E584" s="5">
        <f ca="1">MAX(0,CP*(D584-K))</f>
        <v>0</v>
      </c>
      <c r="F584" s="4">
        <f ca="1">(CP*(D584-K)&gt;0)*1</f>
        <v>0</v>
      </c>
      <c r="H584" s="4">
        <v>569</v>
      </c>
      <c r="I584" s="3">
        <v>0.6677674389282704</v>
      </c>
      <c r="J584" s="128">
        <v>1.3774106317539097E-3</v>
      </c>
      <c r="K584" s="128"/>
      <c r="L584" s="128">
        <v>4.3999999999999997E-2</v>
      </c>
      <c r="O584" s="2"/>
    </row>
    <row r="585" spans="2:15" x14ac:dyDescent="0.2">
      <c r="B585" s="1">
        <v>570</v>
      </c>
      <c r="C585" s="5">
        <f ca="1">_xlfn.NORM.S.INV(RAND())</f>
        <v>-1.6001250103001197</v>
      </c>
      <c r="D585" s="5">
        <f ca="1">S0*EXP((μ-0.5*σ*σ)*T+σ*SQRT(T)*$C585)</f>
        <v>0.56752861501709906</v>
      </c>
      <c r="E585" s="5">
        <f ca="1">MAX(0,CP*(D585-K))</f>
        <v>0</v>
      </c>
      <c r="F585" s="4">
        <f ca="1">(CP*(D585-K)&gt;0)*1</f>
        <v>0</v>
      </c>
      <c r="H585" s="4">
        <v>570</v>
      </c>
      <c r="I585" s="3">
        <v>0.66777266912554223</v>
      </c>
      <c r="J585" s="128">
        <v>1.3550076255574729E-3</v>
      </c>
      <c r="K585" s="128"/>
      <c r="L585" s="128">
        <v>4.02E-2</v>
      </c>
      <c r="O585" s="2"/>
    </row>
    <row r="586" spans="2:15" x14ac:dyDescent="0.2">
      <c r="B586" s="1">
        <v>571</v>
      </c>
      <c r="C586" s="5">
        <f ca="1">_xlfn.NORM.S.INV(RAND())</f>
        <v>0.92006351960403832</v>
      </c>
      <c r="D586" s="5">
        <f ca="1">S0*EXP((μ-0.5*σ*σ)*T+σ*SQRT(T)*$C586)</f>
        <v>0.7275990794530085</v>
      </c>
      <c r="E586" s="5">
        <f ca="1">MAX(0,CP*(D586-K))</f>
        <v>0</v>
      </c>
      <c r="F586" s="4">
        <f ca="1">(CP*(D586-K)&gt;0)*1</f>
        <v>0</v>
      </c>
      <c r="H586" s="4">
        <v>571</v>
      </c>
      <c r="I586" s="3">
        <v>0.66773504663387528</v>
      </c>
      <c r="J586" s="128">
        <v>1.3504868614731987E-3</v>
      </c>
      <c r="K586" s="128"/>
      <c r="L586" s="128">
        <v>3.78E-2</v>
      </c>
      <c r="O586" s="2"/>
    </row>
    <row r="587" spans="2:15" x14ac:dyDescent="0.2">
      <c r="B587" s="1">
        <v>572</v>
      </c>
      <c r="C587" s="5">
        <f ca="1">_xlfn.NORM.S.INV(RAND())</f>
        <v>0.77865000080030866</v>
      </c>
      <c r="D587" s="5">
        <f ca="1">S0*EXP((μ-0.5*σ*σ)*T+σ*SQRT(T)*$C587)</f>
        <v>0.71752556700407899</v>
      </c>
      <c r="E587" s="5">
        <f ca="1">MAX(0,CP*(D587-K))</f>
        <v>0</v>
      </c>
      <c r="F587" s="4">
        <f ca="1">(CP*(D587-K)&gt;0)*1</f>
        <v>0</v>
      </c>
      <c r="H587" s="4">
        <v>572</v>
      </c>
      <c r="I587" s="3">
        <v>0.66776201167134408</v>
      </c>
      <c r="J587" s="128">
        <v>1.3283781376077091E-3</v>
      </c>
      <c r="K587" s="128"/>
      <c r="L587" s="128">
        <v>4.0399999999999998E-2</v>
      </c>
      <c r="O587" s="2"/>
    </row>
    <row r="588" spans="2:15" x14ac:dyDescent="0.2">
      <c r="B588" s="1">
        <v>573</v>
      </c>
      <c r="C588" s="5">
        <f ca="1">_xlfn.NORM.S.INV(RAND())</f>
        <v>-1.3920483976642415</v>
      </c>
      <c r="D588" s="5">
        <f ca="1">S0*EXP((μ-0.5*σ*σ)*T+σ*SQRT(T)*$C588)</f>
        <v>0.57929098597203688</v>
      </c>
      <c r="E588" s="5">
        <f ca="1">MAX(0,CP*(D588-K))</f>
        <v>0</v>
      </c>
      <c r="F588" s="4">
        <f ca="1">(CP*(D588-K)&gt;0)*1</f>
        <v>0</v>
      </c>
      <c r="H588" s="4">
        <v>573</v>
      </c>
      <c r="I588" s="3">
        <v>0.66778625520851342</v>
      </c>
      <c r="J588" s="128">
        <v>1.446127126477512E-3</v>
      </c>
      <c r="K588" s="128"/>
      <c r="L588" s="128">
        <v>4.24E-2</v>
      </c>
      <c r="O588" s="2"/>
    </row>
    <row r="589" spans="2:15" x14ac:dyDescent="0.2">
      <c r="B589" s="1">
        <v>574</v>
      </c>
      <c r="C589" s="5">
        <f ca="1">_xlfn.NORM.S.INV(RAND())</f>
        <v>-0.83563123890328372</v>
      </c>
      <c r="D589" s="5">
        <f ca="1">S0*EXP((μ-0.5*σ*σ)*T+σ*SQRT(T)*$C589)</f>
        <v>0.61195617934923729</v>
      </c>
      <c r="E589" s="5">
        <f ca="1">MAX(0,CP*(D589-K))</f>
        <v>0</v>
      </c>
      <c r="F589" s="4">
        <f ca="1">(CP*(D589-K)&gt;0)*1</f>
        <v>0</v>
      </c>
      <c r="H589" s="4">
        <v>574</v>
      </c>
      <c r="I589" s="3">
        <v>0.66762760138661881</v>
      </c>
      <c r="J589" s="128">
        <v>1.2214731408337184E-3</v>
      </c>
      <c r="K589" s="128"/>
      <c r="L589" s="128">
        <v>4.1000000000000002E-2</v>
      </c>
      <c r="O589" s="2"/>
    </row>
    <row r="590" spans="2:15" x14ac:dyDescent="0.2">
      <c r="B590" s="1">
        <v>575</v>
      </c>
      <c r="C590" s="5">
        <f ca="1">_xlfn.NORM.S.INV(RAND())</f>
        <v>0.8404980240151062</v>
      </c>
      <c r="D590" s="5">
        <f ca="1">S0*EXP((μ-0.5*σ*σ)*T+σ*SQRT(T)*$C590)</f>
        <v>0.72191400169404119</v>
      </c>
      <c r="E590" s="5">
        <f ca="1">MAX(0,CP*(D590-K))</f>
        <v>0</v>
      </c>
      <c r="F590" s="4">
        <f ca="1">(CP*(D590-K)&gt;0)*1</f>
        <v>0</v>
      </c>
      <c r="H590" s="4">
        <v>575</v>
      </c>
      <c r="I590" s="3">
        <v>0.6676891991937739</v>
      </c>
      <c r="J590" s="128">
        <v>1.3939156243596713E-3</v>
      </c>
      <c r="K590" s="128"/>
      <c r="L590" s="128">
        <v>4.02E-2</v>
      </c>
      <c r="O590" s="2"/>
    </row>
    <row r="591" spans="2:15" x14ac:dyDescent="0.2">
      <c r="B591" s="1">
        <v>576</v>
      </c>
      <c r="C591" s="5">
        <f ca="1">_xlfn.NORM.S.INV(RAND())</f>
        <v>0.28146040264028116</v>
      </c>
      <c r="D591" s="5">
        <f ca="1">S0*EXP((μ-0.5*σ*σ)*T+σ*SQRT(T)*$C591)</f>
        <v>0.68320291967142799</v>
      </c>
      <c r="E591" s="5">
        <f ca="1">MAX(0,CP*(D591-K))</f>
        <v>0</v>
      </c>
      <c r="F591" s="4">
        <f ca="1">(CP*(D591-K)&gt;0)*1</f>
        <v>0</v>
      </c>
      <c r="H591" s="4">
        <v>576</v>
      </c>
      <c r="I591" s="3">
        <v>0.66794964584291916</v>
      </c>
      <c r="J591" s="128">
        <v>1.6145538750463409E-3</v>
      </c>
      <c r="K591" s="128"/>
      <c r="L591" s="128">
        <v>4.6399999999999997E-2</v>
      </c>
      <c r="O591" s="2"/>
    </row>
    <row r="592" spans="2:15" x14ac:dyDescent="0.2">
      <c r="B592" s="1">
        <v>577</v>
      </c>
      <c r="C592" s="5">
        <f ca="1">_xlfn.NORM.S.INV(RAND())</f>
        <v>-1.5248649529346736</v>
      </c>
      <c r="D592" s="5">
        <f ca="1">S0*EXP((μ-0.5*σ*σ)*T+σ*SQRT(T)*$C592)</f>
        <v>0.57175516678370575</v>
      </c>
      <c r="E592" s="5">
        <f ca="1">MAX(0,CP*(D592-K))</f>
        <v>0</v>
      </c>
      <c r="F592" s="4">
        <f ca="1">(CP*(D592-K)&gt;0)*1</f>
        <v>0</v>
      </c>
      <c r="H592" s="4">
        <v>577</v>
      </c>
      <c r="I592" s="3">
        <v>0.66761500594195544</v>
      </c>
      <c r="J592" s="128">
        <v>1.1777867844760077E-3</v>
      </c>
      <c r="K592" s="128"/>
      <c r="L592" s="128">
        <v>3.9E-2</v>
      </c>
      <c r="O592" s="2"/>
    </row>
    <row r="593" spans="2:15" x14ac:dyDescent="0.2">
      <c r="B593" s="1">
        <v>578</v>
      </c>
      <c r="C593" s="5">
        <f ca="1">_xlfn.NORM.S.INV(RAND())</f>
        <v>0.334138776804278</v>
      </c>
      <c r="D593" s="5">
        <f ca="1">S0*EXP((μ-0.5*σ*σ)*T+σ*SQRT(T)*$C593)</f>
        <v>0.68676031412338856</v>
      </c>
      <c r="E593" s="5">
        <f ca="1">MAX(0,CP*(D593-K))</f>
        <v>0</v>
      </c>
      <c r="F593" s="4">
        <f ca="1">(CP*(D593-K)&gt;0)*1</f>
        <v>0</v>
      </c>
      <c r="H593" s="4">
        <v>578</v>
      </c>
      <c r="I593" s="3">
        <v>0.66761244227709093</v>
      </c>
      <c r="J593" s="128">
        <v>1.2697960986351878E-3</v>
      </c>
      <c r="K593" s="128"/>
      <c r="L593" s="128">
        <v>3.9600000000000003E-2</v>
      </c>
      <c r="O593" s="2"/>
    </row>
    <row r="594" spans="2:15" x14ac:dyDescent="0.2">
      <c r="B594" s="1">
        <v>579</v>
      </c>
      <c r="C594" s="5">
        <f ca="1">_xlfn.NORM.S.INV(RAND())</f>
        <v>0.50026814482137905</v>
      </c>
      <c r="D594" s="5">
        <f ca="1">S0*EXP((μ-0.5*σ*σ)*T+σ*SQRT(T)*$C594)</f>
        <v>0.69810087868116788</v>
      </c>
      <c r="E594" s="5">
        <f ca="1">MAX(0,CP*(D594-K))</f>
        <v>0</v>
      </c>
      <c r="F594" s="4">
        <f ca="1">(CP*(D594-K)&gt;0)*1</f>
        <v>0</v>
      </c>
      <c r="H594" s="4">
        <v>579</v>
      </c>
      <c r="I594" s="3">
        <v>0.66756076784989293</v>
      </c>
      <c r="J594" s="128">
        <v>1.1909102627059003E-3</v>
      </c>
      <c r="K594" s="128"/>
      <c r="L594" s="128">
        <v>3.6799999999999999E-2</v>
      </c>
      <c r="O594" s="2"/>
    </row>
    <row r="595" spans="2:15" x14ac:dyDescent="0.2">
      <c r="B595" s="1">
        <v>580</v>
      </c>
      <c r="C595" s="5">
        <f ca="1">_xlfn.NORM.S.INV(RAND())</f>
        <v>-1.7426790032628208</v>
      </c>
      <c r="D595" s="5">
        <f ca="1">S0*EXP((μ-0.5*σ*σ)*T+σ*SQRT(T)*$C595)</f>
        <v>0.55960833293285617</v>
      </c>
      <c r="E595" s="5">
        <f ca="1">MAX(0,CP*(D595-K))</f>
        <v>0</v>
      </c>
      <c r="F595" s="4">
        <f ca="1">(CP*(D595-K)&gt;0)*1</f>
        <v>0</v>
      </c>
      <c r="H595" s="4">
        <v>580</v>
      </c>
      <c r="I595" s="3">
        <v>0.66775607437427209</v>
      </c>
      <c r="J595" s="128">
        <v>1.4021295080405226E-3</v>
      </c>
      <c r="K595" s="128"/>
      <c r="L595" s="128">
        <v>4.3400000000000001E-2</v>
      </c>
      <c r="O595" s="2"/>
    </row>
    <row r="596" spans="2:15" x14ac:dyDescent="0.2">
      <c r="B596" s="1">
        <v>581</v>
      </c>
      <c r="C596" s="5">
        <f ca="1">_xlfn.NORM.S.INV(RAND())</f>
        <v>1.1610093166608515</v>
      </c>
      <c r="D596" s="5">
        <f ca="1">S0*EXP((μ-0.5*σ*σ)*T+σ*SQRT(T)*$C596)</f>
        <v>0.74508955405266986</v>
      </c>
      <c r="E596" s="5">
        <f ca="1">MAX(0,CP*(D596-K))</f>
        <v>0</v>
      </c>
      <c r="F596" s="4">
        <f ca="1">(CP*(D596-K)&gt;0)*1</f>
        <v>0</v>
      </c>
      <c r="H596" s="4">
        <v>581</v>
      </c>
      <c r="I596" s="3">
        <v>0.66776858087347901</v>
      </c>
      <c r="J596" s="128">
        <v>1.482544249631754E-3</v>
      </c>
      <c r="K596" s="128"/>
      <c r="L596" s="128">
        <v>4.4200000000000003E-2</v>
      </c>
      <c r="O596" s="2"/>
    </row>
    <row r="597" spans="2:15" x14ac:dyDescent="0.2">
      <c r="B597" s="1">
        <v>582</v>
      </c>
      <c r="C597" s="5">
        <f ca="1">_xlfn.NORM.S.INV(RAND())</f>
        <v>-1.1590027362274584</v>
      </c>
      <c r="D597" s="5">
        <f ca="1">S0*EXP((μ-0.5*σ*σ)*T+σ*SQRT(T)*$C597)</f>
        <v>0.59275449005352654</v>
      </c>
      <c r="E597" s="5">
        <f ca="1">MAX(0,CP*(D597-K))</f>
        <v>0</v>
      </c>
      <c r="F597" s="4">
        <f ca="1">(CP*(D597-K)&gt;0)*1</f>
        <v>0</v>
      </c>
      <c r="H597" s="4">
        <v>582</v>
      </c>
      <c r="I597" s="3">
        <v>0.66772083289588768</v>
      </c>
      <c r="J597" s="128">
        <v>1.3866040904325109E-3</v>
      </c>
      <c r="K597" s="128"/>
      <c r="L597" s="128">
        <v>4.2599999999999999E-2</v>
      </c>
      <c r="O597" s="2"/>
    </row>
    <row r="598" spans="2:15" x14ac:dyDescent="0.2">
      <c r="B598" s="1">
        <v>583</v>
      </c>
      <c r="C598" s="5">
        <f ca="1">_xlfn.NORM.S.INV(RAND())</f>
        <v>-0.92623606746173182</v>
      </c>
      <c r="D598" s="5">
        <f ca="1">S0*EXP((μ-0.5*σ*σ)*T+σ*SQRT(T)*$C598)</f>
        <v>0.60651422162136848</v>
      </c>
      <c r="E598" s="5">
        <f ca="1">MAX(0,CP*(D598-K))</f>
        <v>0</v>
      </c>
      <c r="F598" s="4">
        <f ca="1">(CP*(D598-K)&gt;0)*1</f>
        <v>0</v>
      </c>
      <c r="H598" s="4">
        <v>583</v>
      </c>
      <c r="I598" s="3">
        <v>0.66776789129498837</v>
      </c>
      <c r="J598" s="128">
        <v>1.4846855748535913E-3</v>
      </c>
      <c r="K598" s="128"/>
      <c r="L598" s="128">
        <v>4.36E-2</v>
      </c>
      <c r="O598" s="2"/>
    </row>
    <row r="599" spans="2:15" x14ac:dyDescent="0.2">
      <c r="B599" s="1">
        <v>584</v>
      </c>
      <c r="C599" s="5">
        <f ca="1">_xlfn.NORM.S.INV(RAND())</f>
        <v>-0.26607143287995971</v>
      </c>
      <c r="D599" s="5">
        <f ca="1">S0*EXP((μ-0.5*σ*σ)*T+σ*SQRT(T)*$C599)</f>
        <v>0.64730147077723099</v>
      </c>
      <c r="E599" s="5">
        <f ca="1">MAX(0,CP*(D599-K))</f>
        <v>0</v>
      </c>
      <c r="F599" s="4">
        <f ca="1">(CP*(D599-K)&gt;0)*1</f>
        <v>0</v>
      </c>
      <c r="H599" s="4">
        <v>584</v>
      </c>
      <c r="I599" s="3">
        <v>0.66770273907692412</v>
      </c>
      <c r="J599" s="128">
        <v>1.2833470377517826E-3</v>
      </c>
      <c r="K599" s="128"/>
      <c r="L599" s="128">
        <v>4.2599999999999999E-2</v>
      </c>
      <c r="O599" s="2"/>
    </row>
    <row r="600" spans="2:15" x14ac:dyDescent="0.2">
      <c r="B600" s="1">
        <v>585</v>
      </c>
      <c r="C600" s="5">
        <f ca="1">_xlfn.NORM.S.INV(RAND())</f>
        <v>-1.0708711285061985</v>
      </c>
      <c r="D600" s="5">
        <f ca="1">S0*EXP((μ-0.5*σ*σ)*T+σ*SQRT(T)*$C600)</f>
        <v>0.59792717887540092</v>
      </c>
      <c r="E600" s="5">
        <f ca="1">MAX(0,CP*(D600-K))</f>
        <v>0</v>
      </c>
      <c r="F600" s="4">
        <f ca="1">(CP*(D600-K)&gt;0)*1</f>
        <v>0</v>
      </c>
      <c r="H600" s="4">
        <v>585</v>
      </c>
      <c r="I600" s="3">
        <v>0.66765823456506568</v>
      </c>
      <c r="J600" s="128">
        <v>1.2482717072984225E-3</v>
      </c>
      <c r="K600" s="128"/>
      <c r="L600" s="128">
        <v>3.9800000000000002E-2</v>
      </c>
      <c r="O600" s="2"/>
    </row>
    <row r="601" spans="2:15" x14ac:dyDescent="0.2">
      <c r="B601" s="1">
        <v>586</v>
      </c>
      <c r="C601" s="5">
        <f ca="1">_xlfn.NORM.S.INV(RAND())</f>
        <v>8.7886076732142951E-2</v>
      </c>
      <c r="D601" s="5">
        <f ca="1">S0*EXP((μ-0.5*σ*σ)*T+σ*SQRT(T)*$C601)</f>
        <v>0.6702882964138801</v>
      </c>
      <c r="E601" s="5">
        <f ca="1">MAX(0,CP*(D601-K))</f>
        <v>0</v>
      </c>
      <c r="F601" s="4">
        <f ca="1">(CP*(D601-K)&gt;0)*1</f>
        <v>0</v>
      </c>
      <c r="H601" s="4">
        <v>586</v>
      </c>
      <c r="I601" s="3">
        <v>0.6678292547532223</v>
      </c>
      <c r="J601" s="128">
        <v>1.4438389435680655E-3</v>
      </c>
      <c r="K601" s="128"/>
      <c r="L601" s="128">
        <v>4.2599999999999999E-2</v>
      </c>
      <c r="O601" s="2"/>
    </row>
    <row r="602" spans="2:15" x14ac:dyDescent="0.2">
      <c r="B602" s="1">
        <v>587</v>
      </c>
      <c r="C602" s="5">
        <f ca="1">_xlfn.NORM.S.INV(RAND())</f>
        <v>-2.9974947122395021</v>
      </c>
      <c r="D602" s="5">
        <f ca="1">S0*EXP((μ-0.5*σ*σ)*T+σ*SQRT(T)*$C602)</f>
        <v>0.49449054364308698</v>
      </c>
      <c r="E602" s="5">
        <f ca="1">MAX(0,CP*(D602-K))</f>
        <v>0</v>
      </c>
      <c r="F602" s="4">
        <f ca="1">(CP*(D602-K)&gt;0)*1</f>
        <v>0</v>
      </c>
      <c r="H602" s="4">
        <v>587</v>
      </c>
      <c r="I602" s="3">
        <v>0.66775554018707883</v>
      </c>
      <c r="J602" s="128">
        <v>1.4024826000199116E-3</v>
      </c>
      <c r="K602" s="128"/>
      <c r="L602" s="128">
        <v>4.1000000000000002E-2</v>
      </c>
      <c r="O602" s="2"/>
    </row>
    <row r="603" spans="2:15" x14ac:dyDescent="0.2">
      <c r="B603" s="1">
        <v>588</v>
      </c>
      <c r="C603" s="5">
        <f ca="1">_xlfn.NORM.S.INV(RAND())</f>
        <v>-1.0824280236417789</v>
      </c>
      <c r="D603" s="5">
        <f ca="1">S0*EXP((μ-0.5*σ*σ)*T+σ*SQRT(T)*$C603)</f>
        <v>0.59724630949868496</v>
      </c>
      <c r="E603" s="5">
        <f ca="1">MAX(0,CP*(D603-K))</f>
        <v>0</v>
      </c>
      <c r="F603" s="4">
        <f ca="1">(CP*(D603-K)&gt;0)*1</f>
        <v>0</v>
      </c>
      <c r="H603" s="4">
        <v>588</v>
      </c>
      <c r="I603" s="3">
        <v>0.66775513984783541</v>
      </c>
      <c r="J603" s="128">
        <v>1.4145625823898688E-3</v>
      </c>
      <c r="K603" s="128"/>
      <c r="L603" s="128">
        <v>3.7600000000000001E-2</v>
      </c>
      <c r="O603" s="2"/>
    </row>
    <row r="604" spans="2:15" x14ac:dyDescent="0.2">
      <c r="B604" s="1">
        <v>589</v>
      </c>
      <c r="C604" s="5">
        <f ca="1">_xlfn.NORM.S.INV(RAND())</f>
        <v>1.0751646811241384</v>
      </c>
      <c r="D604" s="5">
        <f ca="1">S0*EXP((μ-0.5*σ*σ)*T+σ*SQRT(T)*$C604)</f>
        <v>0.73881031682576859</v>
      </c>
      <c r="E604" s="5">
        <f ca="1">MAX(0,CP*(D604-K))</f>
        <v>0</v>
      </c>
      <c r="F604" s="4">
        <f ca="1">(CP*(D604-K)&gt;0)*1</f>
        <v>0</v>
      </c>
      <c r="H604" s="4">
        <v>589</v>
      </c>
      <c r="I604" s="3">
        <v>0.66771678720049377</v>
      </c>
      <c r="J604" s="128">
        <v>1.4865088375453283E-3</v>
      </c>
      <c r="K604" s="128"/>
      <c r="L604" s="128">
        <v>4.1599999999999998E-2</v>
      </c>
      <c r="O604" s="2"/>
    </row>
    <row r="605" spans="2:15" x14ac:dyDescent="0.2">
      <c r="B605" s="1">
        <v>590</v>
      </c>
      <c r="C605" s="5">
        <f ca="1">_xlfn.NORM.S.INV(RAND())</f>
        <v>0.10380727577288998</v>
      </c>
      <c r="D605" s="5">
        <f ca="1">S0*EXP((μ-0.5*σ*σ)*T+σ*SQRT(T)*$C605)</f>
        <v>0.67134122766146143</v>
      </c>
      <c r="E605" s="5">
        <f ca="1">MAX(0,CP*(D605-K))</f>
        <v>0</v>
      </c>
      <c r="F605" s="4">
        <f ca="1">(CP*(D605-K)&gt;0)*1</f>
        <v>0</v>
      </c>
      <c r="H605" s="4">
        <v>590</v>
      </c>
      <c r="I605" s="3">
        <v>0.66764641549127957</v>
      </c>
      <c r="J605" s="128">
        <v>1.2179726091213821E-3</v>
      </c>
      <c r="K605" s="128"/>
      <c r="L605" s="128">
        <v>3.8199999999999998E-2</v>
      </c>
      <c r="O605" s="2"/>
    </row>
    <row r="606" spans="2:15" x14ac:dyDescent="0.2">
      <c r="B606" s="1">
        <v>591</v>
      </c>
      <c r="C606" s="5">
        <f ca="1">_xlfn.NORM.S.INV(RAND())</f>
        <v>1.6908191789569571</v>
      </c>
      <c r="D606" s="5">
        <f ca="1">S0*EXP((μ-0.5*σ*σ)*T+σ*SQRT(T)*$C606)</f>
        <v>0.78504185254569703</v>
      </c>
      <c r="E606" s="5">
        <f ca="1">MAX(0,CP*(D606-K))</f>
        <v>0</v>
      </c>
      <c r="F606" s="4">
        <f ca="1">(CP*(D606-K)&gt;0)*1</f>
        <v>0</v>
      </c>
      <c r="H606" s="4">
        <v>591</v>
      </c>
      <c r="I606" s="3">
        <v>0.66781335779113793</v>
      </c>
      <c r="J606" s="128">
        <v>1.409283780060484E-3</v>
      </c>
      <c r="K606" s="128"/>
      <c r="L606" s="128">
        <v>4.1799999999999997E-2</v>
      </c>
      <c r="O606" s="2"/>
    </row>
    <row r="607" spans="2:15" x14ac:dyDescent="0.2">
      <c r="B607" s="1">
        <v>592</v>
      </c>
      <c r="C607" s="5">
        <f ca="1">_xlfn.NORM.S.INV(RAND())</f>
        <v>1.0882218427712895</v>
      </c>
      <c r="D607" s="5">
        <f ca="1">S0*EXP((μ-0.5*σ*σ)*T+σ*SQRT(T)*$C607)</f>
        <v>0.73976197944378308</v>
      </c>
      <c r="E607" s="5">
        <f ca="1">MAX(0,CP*(D607-K))</f>
        <v>0</v>
      </c>
      <c r="F607" s="4">
        <f ca="1">(CP*(D607-K)&gt;0)*1</f>
        <v>0</v>
      </c>
      <c r="H607" s="4">
        <v>592</v>
      </c>
      <c r="I607" s="3">
        <v>0.66769708215469814</v>
      </c>
      <c r="J607" s="128">
        <v>1.2030517344974409E-3</v>
      </c>
      <c r="K607" s="128"/>
      <c r="L607" s="128">
        <v>3.8800000000000001E-2</v>
      </c>
      <c r="O607" s="2"/>
    </row>
    <row r="608" spans="2:15" x14ac:dyDescent="0.2">
      <c r="B608" s="1">
        <v>593</v>
      </c>
      <c r="C608" s="5">
        <f ca="1">_xlfn.NORM.S.INV(RAND())</f>
        <v>1.7029767415685206</v>
      </c>
      <c r="D608" s="5">
        <f ca="1">S0*EXP((μ-0.5*σ*σ)*T+σ*SQRT(T)*$C608)</f>
        <v>0.78598335475002412</v>
      </c>
      <c r="E608" s="5">
        <f ca="1">MAX(0,CP*(D608-K))</f>
        <v>0</v>
      </c>
      <c r="F608" s="4">
        <f ca="1">(CP*(D608-K)&gt;0)*1</f>
        <v>0</v>
      </c>
      <c r="H608" s="4">
        <v>593</v>
      </c>
      <c r="I608" s="3">
        <v>0.66769752438745789</v>
      </c>
      <c r="J608" s="128">
        <v>1.2026909620393069E-3</v>
      </c>
      <c r="K608" s="128"/>
      <c r="L608" s="128">
        <v>4.0599999999999997E-2</v>
      </c>
      <c r="O608" s="2"/>
    </row>
    <row r="609" spans="2:15" x14ac:dyDescent="0.2">
      <c r="B609" s="1">
        <v>594</v>
      </c>
      <c r="C609" s="5">
        <f ca="1">_xlfn.NORM.S.INV(RAND())</f>
        <v>-0.68570694968732271</v>
      </c>
      <c r="D609" s="5">
        <f ca="1">S0*EXP((μ-0.5*σ*σ)*T+σ*SQRT(T)*$C609)</f>
        <v>0.62106847024875722</v>
      </c>
      <c r="E609" s="5">
        <f ca="1">MAX(0,CP*(D609-K))</f>
        <v>0</v>
      </c>
      <c r="F609" s="4">
        <f ca="1">(CP*(D609-K)&gt;0)*1</f>
        <v>0</v>
      </c>
      <c r="H609" s="4">
        <v>594</v>
      </c>
      <c r="I609" s="3">
        <v>0.66768011475078404</v>
      </c>
      <c r="J609" s="128">
        <v>1.2756544661740371E-3</v>
      </c>
      <c r="K609" s="128"/>
      <c r="L609" s="128">
        <v>4.0800000000000003E-2</v>
      </c>
      <c r="O609" s="2"/>
    </row>
    <row r="610" spans="2:15" x14ac:dyDescent="0.2">
      <c r="B610" s="1">
        <v>595</v>
      </c>
      <c r="C610" s="5">
        <f ca="1">_xlfn.NORM.S.INV(RAND())</f>
        <v>-1.0844445037064705</v>
      </c>
      <c r="D610" s="5">
        <f ca="1">S0*EXP((μ-0.5*σ*σ)*T+σ*SQRT(T)*$C610)</f>
        <v>0.59712758893221729</v>
      </c>
      <c r="E610" s="5">
        <f ca="1">MAX(0,CP*(D610-K))</f>
        <v>0</v>
      </c>
      <c r="F610" s="4">
        <f ca="1">(CP*(D610-K)&gt;0)*1</f>
        <v>0</v>
      </c>
      <c r="H610" s="4">
        <v>595</v>
      </c>
      <c r="I610" s="3">
        <v>0.66767750983445684</v>
      </c>
      <c r="J610" s="128">
        <v>1.1251770516303528E-3</v>
      </c>
      <c r="K610" s="128"/>
      <c r="L610" s="128">
        <v>3.7999999999999999E-2</v>
      </c>
      <c r="O610" s="2"/>
    </row>
    <row r="611" spans="2:15" x14ac:dyDescent="0.2">
      <c r="B611" s="1">
        <v>596</v>
      </c>
      <c r="C611" s="5">
        <f ca="1">_xlfn.NORM.S.INV(RAND())</f>
        <v>-0.16952230088548265</v>
      </c>
      <c r="D611" s="5">
        <f ca="1">S0*EXP((μ-0.5*σ*σ)*T+σ*SQRT(T)*$C611)</f>
        <v>0.65349224906954617</v>
      </c>
      <c r="E611" s="5">
        <f ca="1">MAX(0,CP*(D611-K))</f>
        <v>0</v>
      </c>
      <c r="F611" s="4">
        <f ca="1">(CP*(D611-K)&gt;0)*1</f>
        <v>0</v>
      </c>
      <c r="H611" s="4">
        <v>596</v>
      </c>
      <c r="I611" s="3">
        <v>0.6677707050684526</v>
      </c>
      <c r="J611" s="128">
        <v>1.4918291810981799E-3</v>
      </c>
      <c r="K611" s="128"/>
      <c r="L611" s="128">
        <v>4.1000000000000002E-2</v>
      </c>
      <c r="O611" s="2"/>
    </row>
    <row r="612" spans="2:15" x14ac:dyDescent="0.2">
      <c r="B612" s="1">
        <v>597</v>
      </c>
      <c r="C612" s="5">
        <f ca="1">_xlfn.NORM.S.INV(RAND())</f>
        <v>0.44794798482254178</v>
      </c>
      <c r="D612" s="5">
        <f ca="1">S0*EXP((μ-0.5*σ*σ)*T+σ*SQRT(T)*$C612)</f>
        <v>0.69450926695975013</v>
      </c>
      <c r="E612" s="5">
        <f ca="1">MAX(0,CP*(D612-K))</f>
        <v>0</v>
      </c>
      <c r="F612" s="4">
        <f ca="1">(CP*(D612-K)&gt;0)*1</f>
        <v>0</v>
      </c>
      <c r="H612" s="4">
        <v>597</v>
      </c>
      <c r="I612" s="3">
        <v>0.66773869666334273</v>
      </c>
      <c r="J612" s="128">
        <v>1.4033700137033552E-3</v>
      </c>
      <c r="K612" s="128"/>
      <c r="L612" s="128">
        <v>4.3400000000000001E-2</v>
      </c>
      <c r="O612" s="2"/>
    </row>
    <row r="613" spans="2:15" x14ac:dyDescent="0.2">
      <c r="B613" s="1">
        <v>598</v>
      </c>
      <c r="C613" s="5">
        <f ca="1">_xlfn.NORM.S.INV(RAND())</f>
        <v>0.21145598661492612</v>
      </c>
      <c r="D613" s="5">
        <f ca="1">S0*EXP((μ-0.5*σ*σ)*T+σ*SQRT(T)*$C613)</f>
        <v>0.67850398855177718</v>
      </c>
      <c r="E613" s="5">
        <f ca="1">MAX(0,CP*(D613-K))</f>
        <v>0</v>
      </c>
      <c r="F613" s="4">
        <f ca="1">(CP*(D613-K)&gt;0)*1</f>
        <v>0</v>
      </c>
      <c r="H613" s="4">
        <v>598</v>
      </c>
      <c r="I613" s="3">
        <v>0.66777417746037881</v>
      </c>
      <c r="J613" s="128">
        <v>1.4224937303235195E-3</v>
      </c>
      <c r="K613" s="128"/>
      <c r="L613" s="128">
        <v>4.2200000000000001E-2</v>
      </c>
      <c r="O613" s="2"/>
    </row>
    <row r="614" spans="2:15" x14ac:dyDescent="0.2">
      <c r="B614" s="1">
        <v>599</v>
      </c>
      <c r="C614" s="5">
        <f ca="1">_xlfn.NORM.S.INV(RAND())</f>
        <v>-3.3295971551619212E-3</v>
      </c>
      <c r="D614" s="5">
        <f ca="1">S0*EXP((μ-0.5*σ*σ)*T+σ*SQRT(T)*$C614)</f>
        <v>0.66428760150748278</v>
      </c>
      <c r="E614" s="5">
        <f ca="1">MAX(0,CP*(D614-K))</f>
        <v>0</v>
      </c>
      <c r="F614" s="4">
        <f ca="1">(CP*(D614-K)&gt;0)*1</f>
        <v>0</v>
      </c>
      <c r="H614" s="4">
        <v>599</v>
      </c>
      <c r="I614" s="3">
        <v>0.66758163328150633</v>
      </c>
      <c r="J614" s="128">
        <v>1.1353152368934105E-3</v>
      </c>
      <c r="K614" s="128"/>
      <c r="L614" s="128">
        <v>3.5799999999999998E-2</v>
      </c>
      <c r="O614" s="2"/>
    </row>
    <row r="615" spans="2:15" x14ac:dyDescent="0.2">
      <c r="B615" s="1">
        <v>600</v>
      </c>
      <c r="C615" s="5">
        <f ca="1">_xlfn.NORM.S.INV(RAND())</f>
        <v>3.9919228262122783E-2</v>
      </c>
      <c r="D615" s="5">
        <f ca="1">S0*EXP((μ-0.5*σ*σ)*T+σ*SQRT(T)*$C615)</f>
        <v>0.66712603278648142</v>
      </c>
      <c r="E615" s="5">
        <f ca="1">MAX(0,CP*(D615-K))</f>
        <v>0</v>
      </c>
      <c r="F615" s="4">
        <f ca="1">(CP*(D615-K)&gt;0)*1</f>
        <v>0</v>
      </c>
      <c r="H615" s="4">
        <v>600</v>
      </c>
      <c r="I615" s="3">
        <v>0.66774417509710526</v>
      </c>
      <c r="J615" s="128">
        <v>1.4299948640655482E-3</v>
      </c>
      <c r="K615" s="128"/>
      <c r="L615" s="128">
        <v>3.9199999999999999E-2</v>
      </c>
      <c r="O615" s="2"/>
    </row>
    <row r="616" spans="2:15" x14ac:dyDescent="0.2">
      <c r="B616" s="1">
        <v>601</v>
      </c>
      <c r="C616" s="5">
        <f ca="1">_xlfn.NORM.S.INV(RAND())</f>
        <v>-0.39403872786856964</v>
      </c>
      <c r="D616" s="5">
        <f ca="1">S0*EXP((μ-0.5*σ*σ)*T+σ*SQRT(T)*$C616)</f>
        <v>0.63918643085263038</v>
      </c>
      <c r="E616" s="5">
        <f ca="1">MAX(0,CP*(D616-K))</f>
        <v>0</v>
      </c>
      <c r="F616" s="4">
        <f ca="1">(CP*(D616-K)&gt;0)*1</f>
        <v>0</v>
      </c>
      <c r="H616" s="4">
        <v>601</v>
      </c>
      <c r="I616" s="3">
        <v>0.66785622753286256</v>
      </c>
      <c r="J616" s="128">
        <v>1.4239853477195775E-3</v>
      </c>
      <c r="K616" s="128"/>
      <c r="L616" s="128">
        <v>4.5400000000000003E-2</v>
      </c>
      <c r="O616" s="2"/>
    </row>
    <row r="617" spans="2:15" x14ac:dyDescent="0.2">
      <c r="B617" s="1">
        <v>602</v>
      </c>
      <c r="C617" s="5">
        <f ca="1">_xlfn.NORM.S.INV(RAND())</f>
        <v>-0.58300900617715534</v>
      </c>
      <c r="D617" s="5">
        <f ca="1">S0*EXP((μ-0.5*σ*σ)*T+σ*SQRT(T)*$C617)</f>
        <v>0.62738856169061097</v>
      </c>
      <c r="E617" s="5">
        <f ca="1">MAX(0,CP*(D617-K))</f>
        <v>0</v>
      </c>
      <c r="F617" s="4">
        <f ca="1">(CP*(D617-K)&gt;0)*1</f>
        <v>0</v>
      </c>
      <c r="H617" s="4">
        <v>602</v>
      </c>
      <c r="I617" s="3">
        <v>0.66790690734666014</v>
      </c>
      <c r="J617" s="128">
        <v>1.5962179040811023E-3</v>
      </c>
      <c r="K617" s="128"/>
      <c r="L617" s="128">
        <v>4.2200000000000001E-2</v>
      </c>
      <c r="O617" s="2"/>
    </row>
    <row r="618" spans="2:15" x14ac:dyDescent="0.2">
      <c r="B618" s="1">
        <v>603</v>
      </c>
      <c r="C618" s="5">
        <f ca="1">_xlfn.NORM.S.INV(RAND())</f>
        <v>1.7413535027982689</v>
      </c>
      <c r="D618" s="5">
        <f ca="1">S0*EXP((μ-0.5*σ*σ)*T+σ*SQRT(T)*$C618)</f>
        <v>0.78896273008474871</v>
      </c>
      <c r="E618" s="5">
        <f ca="1">MAX(0,CP*(D618-K))</f>
        <v>7.627300847486973E-4</v>
      </c>
      <c r="F618" s="4">
        <f ca="1">(CP*(D618-K)&gt;0)*1</f>
        <v>1</v>
      </c>
      <c r="H618" s="4">
        <v>603</v>
      </c>
      <c r="I618" s="3">
        <v>0.66775435948481732</v>
      </c>
      <c r="J618" s="128">
        <v>1.2996345799781062E-3</v>
      </c>
      <c r="K618" s="128"/>
      <c r="L618" s="128">
        <v>4.1000000000000002E-2</v>
      </c>
      <c r="O618" s="2"/>
    </row>
    <row r="619" spans="2:15" x14ac:dyDescent="0.2">
      <c r="B619" s="1">
        <v>604</v>
      </c>
      <c r="C619" s="5">
        <f ca="1">_xlfn.NORM.S.INV(RAND())</f>
        <v>1.0068687680979014</v>
      </c>
      <c r="D619" s="5">
        <f ca="1">S0*EXP((μ-0.5*σ*σ)*T+σ*SQRT(T)*$C619)</f>
        <v>0.7338525268059124</v>
      </c>
      <c r="E619" s="5">
        <f ca="1">MAX(0,CP*(D619-K))</f>
        <v>0</v>
      </c>
      <c r="F619" s="4">
        <f ca="1">(CP*(D619-K)&gt;0)*1</f>
        <v>0</v>
      </c>
      <c r="H619" s="4">
        <v>604</v>
      </c>
      <c r="I619" s="3">
        <v>0.66772126046245783</v>
      </c>
      <c r="J619" s="128">
        <v>1.2783755000386719E-3</v>
      </c>
      <c r="K619" s="128"/>
      <c r="L619" s="128">
        <v>4.2000000000000003E-2</v>
      </c>
      <c r="O619" s="2"/>
    </row>
    <row r="620" spans="2:15" x14ac:dyDescent="0.2">
      <c r="B620" s="1">
        <v>605</v>
      </c>
      <c r="C620" s="5">
        <f ca="1">_xlfn.NORM.S.INV(RAND())</f>
        <v>-0.30770374807807649</v>
      </c>
      <c r="D620" s="5">
        <f ca="1">S0*EXP((μ-0.5*σ*σ)*T+σ*SQRT(T)*$C620)</f>
        <v>0.64465011555324603</v>
      </c>
      <c r="E620" s="5">
        <f ca="1">MAX(0,CP*(D620-K))</f>
        <v>0</v>
      </c>
      <c r="F620" s="4">
        <f ca="1">(CP*(D620-K)&gt;0)*1</f>
        <v>0</v>
      </c>
      <c r="H620" s="4">
        <v>605</v>
      </c>
      <c r="I620" s="3">
        <v>0.66780382216100265</v>
      </c>
      <c r="J620" s="128">
        <v>1.2513347705124691E-3</v>
      </c>
      <c r="K620" s="128"/>
      <c r="L620" s="128">
        <v>4.2799999999999998E-2</v>
      </c>
      <c r="O620" s="2"/>
    </row>
    <row r="621" spans="2:15" x14ac:dyDescent="0.2">
      <c r="B621" s="1">
        <v>606</v>
      </c>
      <c r="C621" s="5">
        <f ca="1">_xlfn.NORM.S.INV(RAND())</f>
        <v>-1.5914260255260824</v>
      </c>
      <c r="D621" s="5">
        <f ca="1">S0*EXP((μ-0.5*σ*σ)*T+σ*SQRT(T)*$C621)</f>
        <v>0.56801554250969843</v>
      </c>
      <c r="E621" s="5">
        <f ca="1">MAX(0,CP*(D621-K))</f>
        <v>0</v>
      </c>
      <c r="F621" s="4">
        <f ca="1">(CP*(D621-K)&gt;0)*1</f>
        <v>0</v>
      </c>
      <c r="H621" s="4">
        <v>606</v>
      </c>
      <c r="I621" s="3">
        <v>0.66767303214395468</v>
      </c>
      <c r="J621" s="128">
        <v>1.2946503554994305E-3</v>
      </c>
      <c r="K621" s="128"/>
      <c r="L621" s="128">
        <v>4.0399999999999998E-2</v>
      </c>
      <c r="O621" s="2"/>
    </row>
    <row r="622" spans="2:15" x14ac:dyDescent="0.2">
      <c r="B622" s="1">
        <v>607</v>
      </c>
      <c r="C622" s="5">
        <f ca="1">_xlfn.NORM.S.INV(RAND())</f>
        <v>-0.48068476738078586</v>
      </c>
      <c r="D622" s="5">
        <f ca="1">S0*EXP((μ-0.5*σ*σ)*T+σ*SQRT(T)*$C622)</f>
        <v>0.63374961797207718</v>
      </c>
      <c r="E622" s="5">
        <f ca="1">MAX(0,CP*(D622-K))</f>
        <v>0</v>
      </c>
      <c r="F622" s="4">
        <f ca="1">(CP*(D622-K)&gt;0)*1</f>
        <v>0</v>
      </c>
      <c r="H622" s="4">
        <v>607</v>
      </c>
      <c r="I622" s="3">
        <v>0.66779121501860506</v>
      </c>
      <c r="J622" s="128">
        <v>1.4521892828947408E-3</v>
      </c>
      <c r="K622" s="128"/>
      <c r="L622" s="128">
        <v>4.36E-2</v>
      </c>
      <c r="O622" s="2"/>
    </row>
    <row r="623" spans="2:15" x14ac:dyDescent="0.2">
      <c r="B623" s="1">
        <v>608</v>
      </c>
      <c r="C623" s="5">
        <f ca="1">_xlfn.NORM.S.INV(RAND())</f>
        <v>-0.74708696856024348</v>
      </c>
      <c r="D623" s="5">
        <f ca="1">S0*EXP((μ-0.5*σ*σ)*T+σ*SQRT(T)*$C623)</f>
        <v>0.61732154646196735</v>
      </c>
      <c r="E623" s="5">
        <f ca="1">MAX(0,CP*(D623-K))</f>
        <v>0</v>
      </c>
      <c r="F623" s="4">
        <f ca="1">(CP*(D623-K)&gt;0)*1</f>
        <v>0</v>
      </c>
      <c r="H623" s="4">
        <v>608</v>
      </c>
      <c r="I623" s="3">
        <v>0.66782189386385882</v>
      </c>
      <c r="J623" s="128">
        <v>1.3994404033639211E-3</v>
      </c>
      <c r="K623" s="128"/>
      <c r="L623" s="128">
        <v>4.1000000000000002E-2</v>
      </c>
      <c r="O623" s="2"/>
    </row>
    <row r="624" spans="2:15" x14ac:dyDescent="0.2">
      <c r="B624" s="1">
        <v>609</v>
      </c>
      <c r="C624" s="5">
        <f ca="1">_xlfn.NORM.S.INV(RAND())</f>
        <v>-1.4861813105516106</v>
      </c>
      <c r="D624" s="5">
        <f ca="1">S0*EXP((μ-0.5*σ*σ)*T+σ*SQRT(T)*$C624)</f>
        <v>0.57393984551494226</v>
      </c>
      <c r="E624" s="5">
        <f ca="1">MAX(0,CP*(D624-K))</f>
        <v>0</v>
      </c>
      <c r="F624" s="4">
        <f ca="1">(CP*(D624-K)&gt;0)*1</f>
        <v>0</v>
      </c>
      <c r="H624" s="4">
        <v>609</v>
      </c>
      <c r="I624" s="3">
        <v>0.66781277923831595</v>
      </c>
      <c r="J624" s="128">
        <v>1.2995999762944208E-3</v>
      </c>
      <c r="K624" s="128"/>
      <c r="L624" s="128">
        <v>3.8800000000000001E-2</v>
      </c>
      <c r="O624" s="2"/>
    </row>
    <row r="625" spans="2:15" x14ac:dyDescent="0.2">
      <c r="B625" s="1">
        <v>610</v>
      </c>
      <c r="C625" s="5">
        <f ca="1">_xlfn.NORM.S.INV(RAND())</f>
        <v>0.19190610159753618</v>
      </c>
      <c r="D625" s="5">
        <f ca="1">S0*EXP((μ-0.5*σ*σ)*T+σ*SQRT(T)*$C625)</f>
        <v>0.67719751724415989</v>
      </c>
      <c r="E625" s="5">
        <f ca="1">MAX(0,CP*(D625-K))</f>
        <v>0</v>
      </c>
      <c r="F625" s="4">
        <f ca="1">(CP*(D625-K)&gt;0)*1</f>
        <v>0</v>
      </c>
      <c r="H625" s="4">
        <v>610</v>
      </c>
      <c r="I625" s="3">
        <v>0.66766988921526127</v>
      </c>
      <c r="J625" s="128">
        <v>1.3580295502275434E-3</v>
      </c>
      <c r="K625" s="128"/>
      <c r="L625" s="128">
        <v>3.9199999999999999E-2</v>
      </c>
      <c r="O625" s="2"/>
    </row>
    <row r="626" spans="2:15" x14ac:dyDescent="0.2">
      <c r="B626" s="1">
        <v>611</v>
      </c>
      <c r="C626" s="5">
        <f ca="1">_xlfn.NORM.S.INV(RAND())</f>
        <v>-1.742641284666065</v>
      </c>
      <c r="D626" s="5">
        <f ca="1">S0*EXP((μ-0.5*σ*σ)*T+σ*SQRT(T)*$C626)</f>
        <v>0.55961041388564881</v>
      </c>
      <c r="E626" s="5">
        <f ca="1">MAX(0,CP*(D626-K))</f>
        <v>0</v>
      </c>
      <c r="F626" s="4">
        <f ca="1">(CP*(D626-K)&gt;0)*1</f>
        <v>0</v>
      </c>
      <c r="H626" s="4">
        <v>611</v>
      </c>
      <c r="I626" s="3">
        <v>0.66779408271885699</v>
      </c>
      <c r="J626" s="128">
        <v>1.456280825234956E-3</v>
      </c>
      <c r="K626" s="128"/>
      <c r="L626" s="128">
        <v>4.0599999999999997E-2</v>
      </c>
      <c r="O626" s="2"/>
    </row>
    <row r="627" spans="2:15" x14ac:dyDescent="0.2">
      <c r="B627" s="1">
        <v>612</v>
      </c>
      <c r="C627" s="5">
        <f ca="1">_xlfn.NORM.S.INV(RAND())</f>
        <v>0.11783886109504468</v>
      </c>
      <c r="D627" s="5">
        <f ca="1">S0*EXP((μ-0.5*σ*σ)*T+σ*SQRT(T)*$C627)</f>
        <v>0.67227056246799322</v>
      </c>
      <c r="E627" s="5">
        <f ca="1">MAX(0,CP*(D627-K))</f>
        <v>0</v>
      </c>
      <c r="F627" s="4">
        <f ca="1">(CP*(D627-K)&gt;0)*1</f>
        <v>0</v>
      </c>
      <c r="H627" s="4">
        <v>612</v>
      </c>
      <c r="I627" s="3">
        <v>0.66777330330088303</v>
      </c>
      <c r="J627" s="128">
        <v>1.3815476763464399E-3</v>
      </c>
      <c r="K627" s="128"/>
      <c r="L627" s="128">
        <v>4.2799999999999998E-2</v>
      </c>
      <c r="O627" s="2"/>
    </row>
    <row r="628" spans="2:15" x14ac:dyDescent="0.2">
      <c r="B628" s="1">
        <v>613</v>
      </c>
      <c r="C628" s="5">
        <f ca="1">_xlfn.NORM.S.INV(RAND())</f>
        <v>-0.46996400500371432</v>
      </c>
      <c r="D628" s="5">
        <f ca="1">S0*EXP((μ-0.5*σ*σ)*T+σ*SQRT(T)*$C628)</f>
        <v>0.63441980286123145</v>
      </c>
      <c r="E628" s="5">
        <f ca="1">MAX(0,CP*(D628-K))</f>
        <v>0</v>
      </c>
      <c r="F628" s="4">
        <f ca="1">(CP*(D628-K)&gt;0)*1</f>
        <v>0</v>
      </c>
      <c r="H628" s="4">
        <v>613</v>
      </c>
      <c r="I628" s="3">
        <v>0.66778839799176581</v>
      </c>
      <c r="J628" s="128">
        <v>1.3936955233361773E-3</v>
      </c>
      <c r="K628" s="128"/>
      <c r="L628" s="128">
        <v>4.1000000000000002E-2</v>
      </c>
      <c r="O628" s="2"/>
    </row>
    <row r="629" spans="2:15" x14ac:dyDescent="0.2">
      <c r="B629" s="1">
        <v>614</v>
      </c>
      <c r="C629" s="5">
        <f ca="1">_xlfn.NORM.S.INV(RAND())</f>
        <v>0.50175364151690016</v>
      </c>
      <c r="D629" s="5">
        <f ca="1">S0*EXP((μ-0.5*σ*σ)*T+σ*SQRT(T)*$C629)</f>
        <v>0.69820312399143269</v>
      </c>
      <c r="E629" s="5">
        <f ca="1">MAX(0,CP*(D629-K))</f>
        <v>0</v>
      </c>
      <c r="F629" s="4">
        <f ca="1">(CP*(D629-K)&gt;0)*1</f>
        <v>0</v>
      </c>
      <c r="H629" s="4">
        <v>614</v>
      </c>
      <c r="I629" s="3">
        <v>0.66774436122424841</v>
      </c>
      <c r="J629" s="128">
        <v>1.2735103546461159E-3</v>
      </c>
      <c r="K629" s="128"/>
      <c r="L629" s="128">
        <v>3.9800000000000002E-2</v>
      </c>
      <c r="O629" s="2"/>
    </row>
    <row r="630" spans="2:15" x14ac:dyDescent="0.2">
      <c r="B630" s="1">
        <v>615</v>
      </c>
      <c r="C630" s="5">
        <f ca="1">_xlfn.NORM.S.INV(RAND())</f>
        <v>0.51923533609796724</v>
      </c>
      <c r="D630" s="5">
        <f ca="1">S0*EXP((μ-0.5*σ*σ)*T+σ*SQRT(T)*$C630)</f>
        <v>0.69940749790025447</v>
      </c>
      <c r="E630" s="5">
        <f ca="1">MAX(0,CP*(D630-K))</f>
        <v>0</v>
      </c>
      <c r="F630" s="4">
        <f ca="1">(CP*(D630-K)&gt;0)*1</f>
        <v>0</v>
      </c>
      <c r="H630" s="4">
        <v>615</v>
      </c>
      <c r="I630" s="3">
        <v>0.6676148565772615</v>
      </c>
      <c r="J630" s="128">
        <v>1.2034770391509467E-3</v>
      </c>
      <c r="K630" s="128"/>
      <c r="L630" s="128">
        <v>4.1200000000000001E-2</v>
      </c>
      <c r="O630" s="2"/>
    </row>
    <row r="631" spans="2:15" x14ac:dyDescent="0.2">
      <c r="B631" s="1">
        <v>616</v>
      </c>
      <c r="C631" s="5">
        <f ca="1">_xlfn.NORM.S.INV(RAND())</f>
        <v>-0.19952714599638052</v>
      </c>
      <c r="D631" s="5">
        <f ca="1">S0*EXP((μ-0.5*σ*σ)*T+σ*SQRT(T)*$C631)</f>
        <v>0.65156200882879789</v>
      </c>
      <c r="E631" s="5">
        <f ca="1">MAX(0,CP*(D631-K))</f>
        <v>0</v>
      </c>
      <c r="F631" s="4">
        <f ca="1">(CP*(D631-K)&gt;0)*1</f>
        <v>0</v>
      </c>
      <c r="H631" s="4">
        <v>616</v>
      </c>
      <c r="I631" s="3">
        <v>0.66785234420811335</v>
      </c>
      <c r="J631" s="128">
        <v>1.4842381554733095E-3</v>
      </c>
      <c r="K631" s="128"/>
      <c r="L631" s="128">
        <v>0.04</v>
      </c>
      <c r="O631" s="2"/>
    </row>
    <row r="632" spans="2:15" x14ac:dyDescent="0.2">
      <c r="B632" s="1">
        <v>617</v>
      </c>
      <c r="C632" s="5">
        <f ca="1">_xlfn.NORM.S.INV(RAND())</f>
        <v>-0.86718770009550583</v>
      </c>
      <c r="D632" s="5">
        <f ca="1">S0*EXP((μ-0.5*σ*σ)*T+σ*SQRT(T)*$C632)</f>
        <v>0.6100552982425318</v>
      </c>
      <c r="E632" s="5">
        <f ca="1">MAX(0,CP*(D632-K))</f>
        <v>0</v>
      </c>
      <c r="F632" s="4">
        <f ca="1">(CP*(D632-K)&gt;0)*1</f>
        <v>0</v>
      </c>
      <c r="H632" s="4">
        <v>617</v>
      </c>
      <c r="I632" s="3">
        <v>0.66768216368357591</v>
      </c>
      <c r="J632" s="128">
        <v>1.241084437311342E-3</v>
      </c>
      <c r="K632" s="128"/>
      <c r="L632" s="128">
        <v>4.1599999999999998E-2</v>
      </c>
      <c r="O632" s="2"/>
    </row>
    <row r="633" spans="2:15" x14ac:dyDescent="0.2">
      <c r="B633" s="1">
        <v>618</v>
      </c>
      <c r="C633" s="5">
        <f ca="1">_xlfn.NORM.S.INV(RAND())</f>
        <v>1.207386862159141</v>
      </c>
      <c r="D633" s="5">
        <f ca="1">S0*EXP((μ-0.5*σ*σ)*T+σ*SQRT(T)*$C633)</f>
        <v>0.74850408602870921</v>
      </c>
      <c r="E633" s="5">
        <f ca="1">MAX(0,CP*(D633-K))</f>
        <v>0</v>
      </c>
      <c r="F633" s="4">
        <f ca="1">(CP*(D633-K)&gt;0)*1</f>
        <v>0</v>
      </c>
      <c r="H633" s="4">
        <v>618</v>
      </c>
      <c r="I633" s="3">
        <v>0.66770280025324413</v>
      </c>
      <c r="J633" s="128">
        <v>1.402707312175128E-3</v>
      </c>
      <c r="K633" s="128"/>
      <c r="L633" s="128">
        <v>3.8199999999999998E-2</v>
      </c>
      <c r="O633" s="2"/>
    </row>
    <row r="634" spans="2:15" x14ac:dyDescent="0.2">
      <c r="B634" s="1">
        <v>619</v>
      </c>
      <c r="C634" s="5">
        <f ca="1">_xlfn.NORM.S.INV(RAND())</f>
        <v>0.58155738305846105</v>
      </c>
      <c r="D634" s="5">
        <f ca="1">S0*EXP((μ-0.5*σ*σ)*T+σ*SQRT(T)*$C634)</f>
        <v>0.70371800720504762</v>
      </c>
      <c r="E634" s="5">
        <f ca="1">MAX(0,CP*(D634-K))</f>
        <v>0</v>
      </c>
      <c r="F634" s="4">
        <f ca="1">(CP*(D634-K)&gt;0)*1</f>
        <v>0</v>
      </c>
      <c r="H634" s="4">
        <v>619</v>
      </c>
      <c r="I634" s="3">
        <v>0.66789009256107523</v>
      </c>
      <c r="J634" s="128">
        <v>1.6181908518505207E-3</v>
      </c>
      <c r="K634" s="128"/>
      <c r="L634" s="128">
        <v>4.1399999999999999E-2</v>
      </c>
      <c r="O634" s="2"/>
    </row>
    <row r="635" spans="2:15" x14ac:dyDescent="0.2">
      <c r="B635" s="1">
        <v>620</v>
      </c>
      <c r="C635" s="5">
        <f ca="1">_xlfn.NORM.S.INV(RAND())</f>
        <v>1.8790656540075479</v>
      </c>
      <c r="D635" s="5">
        <f ca="1">S0*EXP((μ-0.5*σ*σ)*T+σ*SQRT(T)*$C635)</f>
        <v>0.79974727808723189</v>
      </c>
      <c r="E635" s="5">
        <f ca="1">MAX(0,CP*(D635-K))</f>
        <v>1.1547278087231883E-2</v>
      </c>
      <c r="F635" s="4">
        <f ca="1">(CP*(D635-K)&gt;0)*1</f>
        <v>1</v>
      </c>
      <c r="H635" s="4">
        <v>620</v>
      </c>
      <c r="I635" s="3">
        <v>0.66767943877657288</v>
      </c>
      <c r="J635" s="128">
        <v>1.3414546887344642E-3</v>
      </c>
      <c r="K635" s="128"/>
      <c r="L635" s="128">
        <v>4.1799999999999997E-2</v>
      </c>
      <c r="O635" s="2"/>
    </row>
    <row r="636" spans="2:15" x14ac:dyDescent="0.2">
      <c r="B636" s="1">
        <v>621</v>
      </c>
      <c r="C636" s="5">
        <f ca="1">_xlfn.NORM.S.INV(RAND())</f>
        <v>0.39353619670297835</v>
      </c>
      <c r="D636" s="5">
        <f ca="1">S0*EXP((μ-0.5*σ*σ)*T+σ*SQRT(T)*$C636)</f>
        <v>0.69079367138397219</v>
      </c>
      <c r="E636" s="5">
        <f ca="1">MAX(0,CP*(D636-K))</f>
        <v>0</v>
      </c>
      <c r="F636" s="4">
        <f ca="1">(CP*(D636-K)&gt;0)*1</f>
        <v>0</v>
      </c>
      <c r="H636" s="4">
        <v>621</v>
      </c>
      <c r="I636" s="3">
        <v>0.66780954896408018</v>
      </c>
      <c r="J636" s="128">
        <v>1.4316709121825722E-3</v>
      </c>
      <c r="K636" s="128"/>
      <c r="L636" s="128">
        <v>4.1799999999999997E-2</v>
      </c>
      <c r="O636" s="2"/>
    </row>
    <row r="637" spans="2:15" x14ac:dyDescent="0.2">
      <c r="B637" s="1">
        <v>622</v>
      </c>
      <c r="C637" s="5">
        <f ca="1">_xlfn.NORM.S.INV(RAND())</f>
        <v>-0.39178316034151273</v>
      </c>
      <c r="D637" s="5">
        <f ca="1">S0*EXP((μ-0.5*σ*σ)*T+σ*SQRT(T)*$C637)</f>
        <v>0.63932858298835138</v>
      </c>
      <c r="E637" s="5">
        <f ca="1">MAX(0,CP*(D637-K))</f>
        <v>0</v>
      </c>
      <c r="F637" s="4">
        <f ca="1">(CP*(D637-K)&gt;0)*1</f>
        <v>0</v>
      </c>
      <c r="H637" s="4">
        <v>622</v>
      </c>
      <c r="I637" s="3">
        <v>0.66762132821133302</v>
      </c>
      <c r="J637" s="128">
        <v>1.1964625186949077E-3</v>
      </c>
      <c r="K637" s="128"/>
      <c r="L637" s="128">
        <v>3.4200000000000001E-2</v>
      </c>
      <c r="O637" s="2"/>
    </row>
    <row r="638" spans="2:15" x14ac:dyDescent="0.2">
      <c r="B638" s="1">
        <v>623</v>
      </c>
      <c r="C638" s="5">
        <f ca="1">_xlfn.NORM.S.INV(RAND())</f>
        <v>-1.4292285006146499</v>
      </c>
      <c r="D638" s="5">
        <f ca="1">S0*EXP((μ-0.5*σ*σ)*T+σ*SQRT(T)*$C638)</f>
        <v>0.57717148621626868</v>
      </c>
      <c r="E638" s="5">
        <f ca="1">MAX(0,CP*(D638-K))</f>
        <v>0</v>
      </c>
      <c r="F638" s="4">
        <f ca="1">(CP*(D638-K)&gt;0)*1</f>
        <v>0</v>
      </c>
      <c r="H638" s="4">
        <v>623</v>
      </c>
      <c r="I638" s="3">
        <v>0.66780803676850675</v>
      </c>
      <c r="J638" s="128">
        <v>1.4768370186254113E-3</v>
      </c>
      <c r="K638" s="128"/>
      <c r="L638" s="128">
        <v>4.4400000000000002E-2</v>
      </c>
      <c r="O638" s="2"/>
    </row>
    <row r="639" spans="2:15" x14ac:dyDescent="0.2">
      <c r="B639" s="1">
        <v>624</v>
      </c>
      <c r="C639" s="5">
        <f ca="1">_xlfn.NORM.S.INV(RAND())</f>
        <v>0.35618023011116473</v>
      </c>
      <c r="D639" s="5">
        <f ca="1">S0*EXP((μ-0.5*σ*σ)*T+σ*SQRT(T)*$C639)</f>
        <v>0.68825427452496601</v>
      </c>
      <c r="E639" s="5">
        <f ca="1">MAX(0,CP*(D639-K))</f>
        <v>0</v>
      </c>
      <c r="F639" s="4">
        <f ca="1">(CP*(D639-K)&gt;0)*1</f>
        <v>0</v>
      </c>
      <c r="H639" s="4">
        <v>624</v>
      </c>
      <c r="I639" s="3">
        <v>0.66760029830307599</v>
      </c>
      <c r="J639" s="128">
        <v>1.2634150089374662E-3</v>
      </c>
      <c r="K639" s="128"/>
      <c r="L639" s="128">
        <v>3.7199999999999997E-2</v>
      </c>
      <c r="O639" s="2"/>
    </row>
    <row r="640" spans="2:15" x14ac:dyDescent="0.2">
      <c r="B640" s="1">
        <v>625</v>
      </c>
      <c r="C640" s="5">
        <f ca="1">_xlfn.NORM.S.INV(RAND())</f>
        <v>-1.8497223748413377E-2</v>
      </c>
      <c r="D640" s="5">
        <f ca="1">S0*EXP((μ-0.5*σ*σ)*T+σ*SQRT(T)*$C640)</f>
        <v>0.66329500937724417</v>
      </c>
      <c r="E640" s="5">
        <f ca="1">MAX(0,CP*(D640-K))</f>
        <v>0</v>
      </c>
      <c r="F640" s="4">
        <f ca="1">(CP*(D640-K)&gt;0)*1</f>
        <v>0</v>
      </c>
      <c r="H640" s="4">
        <v>625</v>
      </c>
      <c r="I640" s="3">
        <v>0.66760066750987002</v>
      </c>
      <c r="J640" s="128">
        <v>1.2506451036263333E-3</v>
      </c>
      <c r="K640" s="128"/>
      <c r="L640" s="128">
        <v>3.6200000000000003E-2</v>
      </c>
      <c r="O640" s="2"/>
    </row>
    <row r="641" spans="2:15" x14ac:dyDescent="0.2">
      <c r="B641" s="1">
        <v>626</v>
      </c>
      <c r="C641" s="5">
        <f ca="1">_xlfn.NORM.S.INV(RAND())</f>
        <v>-0.53363090820349668</v>
      </c>
      <c r="D641" s="5">
        <f ca="1">S0*EXP((μ-0.5*σ*σ)*T+σ*SQRT(T)*$C641)</f>
        <v>0.63045017395644287</v>
      </c>
      <c r="E641" s="5">
        <f ca="1">MAX(0,CP*(D641-K))</f>
        <v>0</v>
      </c>
      <c r="F641" s="4">
        <f ca="1">(CP*(D641-K)&gt;0)*1</f>
        <v>0</v>
      </c>
      <c r="H641" s="4">
        <v>626</v>
      </c>
      <c r="I641" s="3">
        <v>0.66771337289318822</v>
      </c>
      <c r="J641" s="128">
        <v>1.3310723430489382E-3</v>
      </c>
      <c r="K641" s="128"/>
      <c r="L641" s="128">
        <v>4.1599999999999998E-2</v>
      </c>
      <c r="O641" s="2"/>
    </row>
    <row r="642" spans="2:15" x14ac:dyDescent="0.2">
      <c r="B642" s="1">
        <v>627</v>
      </c>
      <c r="C642" s="5">
        <f ca="1">_xlfn.NORM.S.INV(RAND())</f>
        <v>-0.6910674424865223</v>
      </c>
      <c r="D642" s="5">
        <f ca="1">S0*EXP((μ-0.5*σ*σ)*T+σ*SQRT(T)*$C642)</f>
        <v>0.6207403362982622</v>
      </c>
      <c r="E642" s="5">
        <f ca="1">MAX(0,CP*(D642-K))</f>
        <v>0</v>
      </c>
      <c r="F642" s="4">
        <f ca="1">(CP*(D642-K)&gt;0)*1</f>
        <v>0</v>
      </c>
      <c r="H642" s="4">
        <v>627</v>
      </c>
      <c r="I642" s="3">
        <v>0.6676219728717393</v>
      </c>
      <c r="J642" s="128">
        <v>1.1893149779347554E-3</v>
      </c>
      <c r="K642" s="128"/>
      <c r="L642" s="128">
        <v>3.7199999999999997E-2</v>
      </c>
      <c r="O642" s="2"/>
    </row>
    <row r="643" spans="2:15" x14ac:dyDescent="0.2">
      <c r="B643" s="1">
        <v>628</v>
      </c>
      <c r="C643" s="5">
        <f ca="1">_xlfn.NORM.S.INV(RAND())</f>
        <v>1.6336303889605686</v>
      </c>
      <c r="D643" s="5">
        <f ca="1">S0*EXP((μ-0.5*σ*σ)*T+σ*SQRT(T)*$C643)</f>
        <v>0.78062816366313625</v>
      </c>
      <c r="E643" s="5">
        <f ca="1">MAX(0,CP*(D643-K))</f>
        <v>0</v>
      </c>
      <c r="F643" s="4">
        <f ca="1">(CP*(D643-K)&gt;0)*1</f>
        <v>0</v>
      </c>
      <c r="H643" s="4">
        <v>628</v>
      </c>
      <c r="I643" s="3">
        <v>0.66768876497258423</v>
      </c>
      <c r="J643" s="128">
        <v>1.4240128765490984E-3</v>
      </c>
      <c r="K643" s="128"/>
      <c r="L643" s="128">
        <v>4.2799999999999998E-2</v>
      </c>
      <c r="O643" s="2"/>
    </row>
    <row r="644" spans="2:15" x14ac:dyDescent="0.2">
      <c r="B644" s="1">
        <v>629</v>
      </c>
      <c r="C644" s="5">
        <f ca="1">_xlfn.NORM.S.INV(RAND())</f>
        <v>-0.65991239609803964</v>
      </c>
      <c r="D644" s="5">
        <f ca="1">S0*EXP((μ-0.5*σ*σ)*T+σ*SQRT(T)*$C644)</f>
        <v>0.62264986956068757</v>
      </c>
      <c r="E644" s="5">
        <f ca="1">MAX(0,CP*(D644-K))</f>
        <v>0</v>
      </c>
      <c r="F644" s="4">
        <f ca="1">(CP*(D644-K)&gt;0)*1</f>
        <v>0</v>
      </c>
      <c r="H644" s="4">
        <v>629</v>
      </c>
      <c r="I644" s="3">
        <v>0.66767088799801166</v>
      </c>
      <c r="J644" s="128">
        <v>1.2161187731596771E-3</v>
      </c>
      <c r="K644" s="128"/>
      <c r="L644" s="128">
        <v>4.1200000000000001E-2</v>
      </c>
      <c r="O644" s="2"/>
    </row>
    <row r="645" spans="2:15" x14ac:dyDescent="0.2">
      <c r="B645" s="1">
        <v>630</v>
      </c>
      <c r="C645" s="5">
        <f ca="1">_xlfn.NORM.S.INV(RAND())</f>
        <v>-0.25553356597466342</v>
      </c>
      <c r="D645" s="5">
        <f ca="1">S0*EXP((μ-0.5*σ*σ)*T+σ*SQRT(T)*$C645)</f>
        <v>0.6479743027759679</v>
      </c>
      <c r="E645" s="5">
        <f ca="1">MAX(0,CP*(D645-K))</f>
        <v>0</v>
      </c>
      <c r="F645" s="4">
        <f ca="1">(CP*(D645-K)&gt;0)*1</f>
        <v>0</v>
      </c>
      <c r="H645" s="4">
        <v>630</v>
      </c>
      <c r="I645" s="3">
        <v>0.66782034538626966</v>
      </c>
      <c r="J645" s="128">
        <v>1.5255700345825833E-3</v>
      </c>
      <c r="K645" s="128"/>
      <c r="L645" s="128">
        <v>4.2599999999999999E-2</v>
      </c>
      <c r="O645" s="2"/>
    </row>
    <row r="646" spans="2:15" x14ac:dyDescent="0.2">
      <c r="B646" s="1">
        <v>631</v>
      </c>
      <c r="C646" s="5">
        <f ca="1">_xlfn.NORM.S.INV(RAND())</f>
        <v>-0.21547562473571555</v>
      </c>
      <c r="D646" s="5">
        <f ca="1">S0*EXP((μ-0.5*σ*σ)*T+σ*SQRT(T)*$C646)</f>
        <v>0.65053834971428826</v>
      </c>
      <c r="E646" s="5">
        <f ca="1">MAX(0,CP*(D646-K))</f>
        <v>0</v>
      </c>
      <c r="F646" s="4">
        <f ca="1">(CP*(D646-K)&gt;0)*1</f>
        <v>0</v>
      </c>
      <c r="H646" s="4">
        <v>631</v>
      </c>
      <c r="I646" s="3">
        <v>0.66773161498729761</v>
      </c>
      <c r="J646" s="128">
        <v>1.271835334717252E-3</v>
      </c>
      <c r="K646" s="128"/>
      <c r="L646" s="128">
        <v>3.9E-2</v>
      </c>
      <c r="O646" s="2"/>
    </row>
    <row r="647" spans="2:15" x14ac:dyDescent="0.2">
      <c r="B647" s="1">
        <v>632</v>
      </c>
      <c r="C647" s="5">
        <f ca="1">_xlfn.NORM.S.INV(RAND())</f>
        <v>0.99932486979111546</v>
      </c>
      <c r="D647" s="5">
        <f ca="1">S0*EXP((μ-0.5*σ*σ)*T+σ*SQRT(T)*$C647)</f>
        <v>0.73330693875500597</v>
      </c>
      <c r="E647" s="5">
        <f ca="1">MAX(0,CP*(D647-K))</f>
        <v>0</v>
      </c>
      <c r="F647" s="4">
        <f ca="1">(CP*(D647-K)&gt;0)*1</f>
        <v>0</v>
      </c>
      <c r="H647" s="4">
        <v>632</v>
      </c>
      <c r="I647" s="3">
        <v>0.6677134298380526</v>
      </c>
      <c r="J647" s="128">
        <v>1.1826857234982556E-3</v>
      </c>
      <c r="K647" s="128"/>
      <c r="L647" s="128">
        <v>3.9199999999999999E-2</v>
      </c>
      <c r="O647" s="2"/>
    </row>
    <row r="648" spans="2:15" x14ac:dyDescent="0.2">
      <c r="B648" s="1">
        <v>633</v>
      </c>
      <c r="C648" s="5">
        <f ca="1">_xlfn.NORM.S.INV(RAND())</f>
        <v>-1.0873867985977219</v>
      </c>
      <c r="D648" s="5">
        <f ca="1">S0*EXP((μ-0.5*σ*σ)*T+σ*SQRT(T)*$C648)</f>
        <v>0.59695440321664661</v>
      </c>
      <c r="E648" s="5">
        <f ca="1">MAX(0,CP*(D648-K))</f>
        <v>0</v>
      </c>
      <c r="F648" s="4">
        <f ca="1">(CP*(D648-K)&gt;0)*1</f>
        <v>0</v>
      </c>
      <c r="H648" s="4">
        <v>633</v>
      </c>
      <c r="I648" s="3">
        <v>0.6677469809903851</v>
      </c>
      <c r="J648" s="128">
        <v>1.3176479210268953E-3</v>
      </c>
      <c r="K648" s="128"/>
      <c r="L648" s="128">
        <v>3.7600000000000001E-2</v>
      </c>
      <c r="O648" s="2"/>
    </row>
    <row r="649" spans="2:15" x14ac:dyDescent="0.2">
      <c r="B649" s="1">
        <v>634</v>
      </c>
      <c r="C649" s="5">
        <f ca="1">_xlfn.NORM.S.INV(RAND())</f>
        <v>-1.1920811760178016</v>
      </c>
      <c r="D649" s="5">
        <f ca="1">S0*EXP((μ-0.5*σ*σ)*T+σ*SQRT(T)*$C649)</f>
        <v>0.59082459523877007</v>
      </c>
      <c r="E649" s="5">
        <f ca="1">MAX(0,CP*(D649-K))</f>
        <v>0</v>
      </c>
      <c r="F649" s="4">
        <f ca="1">(CP*(D649-K)&gt;0)*1</f>
        <v>0</v>
      </c>
      <c r="H649" s="4">
        <v>634</v>
      </c>
      <c r="I649" s="3">
        <v>0.66778375754531949</v>
      </c>
      <c r="J649" s="128">
        <v>1.53725663478529E-3</v>
      </c>
      <c r="K649" s="128"/>
      <c r="L649" s="128">
        <v>4.36E-2</v>
      </c>
      <c r="O649" s="2"/>
    </row>
    <row r="650" spans="2:15" x14ac:dyDescent="0.2">
      <c r="B650" s="1">
        <v>635</v>
      </c>
      <c r="C650" s="5">
        <f ca="1">_xlfn.NORM.S.INV(RAND())</f>
        <v>-0.13797673809332489</v>
      </c>
      <c r="D650" s="5">
        <f ca="1">S0*EXP((μ-0.5*σ*σ)*T+σ*SQRT(T)*$C650)</f>
        <v>0.65552777173995191</v>
      </c>
      <c r="E650" s="5">
        <f ca="1">MAX(0,CP*(D650-K))</f>
        <v>0</v>
      </c>
      <c r="F650" s="4">
        <f ca="1">(CP*(D650-K)&gt;0)*1</f>
        <v>0</v>
      </c>
      <c r="H650" s="4">
        <v>635</v>
      </c>
      <c r="I650" s="3">
        <v>0.6677656331673214</v>
      </c>
      <c r="J650" s="128">
        <v>1.3381333576670206E-3</v>
      </c>
      <c r="K650" s="128"/>
      <c r="L650" s="128">
        <v>4.3200000000000002E-2</v>
      </c>
      <c r="O650" s="2"/>
    </row>
    <row r="651" spans="2:15" x14ac:dyDescent="0.2">
      <c r="B651" s="1">
        <v>636</v>
      </c>
      <c r="C651" s="5">
        <f ca="1">_xlfn.NORM.S.INV(RAND())</f>
        <v>0.15550029266419729</v>
      </c>
      <c r="D651" s="5">
        <f ca="1">S0*EXP((μ-0.5*σ*σ)*T+σ*SQRT(T)*$C651)</f>
        <v>0.6747713059453363</v>
      </c>
      <c r="E651" s="5">
        <f ca="1">MAX(0,CP*(D651-K))</f>
        <v>0</v>
      </c>
      <c r="F651" s="4">
        <f ca="1">(CP*(D651-K)&gt;0)*1</f>
        <v>0</v>
      </c>
      <c r="H651" s="4">
        <v>636</v>
      </c>
      <c r="I651" s="3">
        <v>0.66769708958352814</v>
      </c>
      <c r="J651" s="128">
        <v>1.275884343536969E-3</v>
      </c>
      <c r="K651" s="128"/>
      <c r="L651" s="128">
        <v>3.8199999999999998E-2</v>
      </c>
      <c r="O651" s="2"/>
    </row>
    <row r="652" spans="2:15" x14ac:dyDescent="0.2">
      <c r="B652" s="1">
        <v>637</v>
      </c>
      <c r="C652" s="5">
        <f ca="1">_xlfn.NORM.S.INV(RAND())</f>
        <v>0.63359400475031191</v>
      </c>
      <c r="D652" s="5">
        <f ca="1">S0*EXP((μ-0.5*σ*σ)*T+σ*SQRT(T)*$C652)</f>
        <v>0.70733746864714142</v>
      </c>
      <c r="E652" s="5">
        <f ca="1">MAX(0,CP*(D652-K))</f>
        <v>0</v>
      </c>
      <c r="F652" s="4">
        <f ca="1">(CP*(D652-K)&gt;0)*1</f>
        <v>0</v>
      </c>
      <c r="H652" s="4">
        <v>637</v>
      </c>
      <c r="I652" s="3">
        <v>0.66783448611477747</v>
      </c>
      <c r="J652" s="128">
        <v>1.5229018719535264E-3</v>
      </c>
      <c r="K652" s="128"/>
      <c r="L652" s="128">
        <v>4.2599999999999999E-2</v>
      </c>
      <c r="O652" s="2"/>
    </row>
    <row r="653" spans="2:15" x14ac:dyDescent="0.2">
      <c r="B653" s="1">
        <v>638</v>
      </c>
      <c r="C653" s="5">
        <f ca="1">_xlfn.NORM.S.INV(RAND())</f>
        <v>2.9322308240778219E-2</v>
      </c>
      <c r="D653" s="5">
        <f ca="1">S0*EXP((μ-0.5*σ*σ)*T+σ*SQRT(T)*$C653)</f>
        <v>0.66642943446092773</v>
      </c>
      <c r="E653" s="5">
        <f ca="1">MAX(0,CP*(D653-K))</f>
        <v>0</v>
      </c>
      <c r="F653" s="4">
        <f ca="1">(CP*(D653-K)&gt;0)*1</f>
        <v>0</v>
      </c>
      <c r="H653" s="4">
        <v>638</v>
      </c>
      <c r="I653" s="3">
        <v>0.66752803403408112</v>
      </c>
      <c r="J653" s="128">
        <v>1.1472247783072952E-3</v>
      </c>
      <c r="K653" s="128"/>
      <c r="L653" s="128">
        <v>3.4000000000000002E-2</v>
      </c>
      <c r="O653" s="2"/>
    </row>
    <row r="654" spans="2:15" x14ac:dyDescent="0.2">
      <c r="B654" s="1">
        <v>639</v>
      </c>
      <c r="C654" s="5">
        <f ca="1">_xlfn.NORM.S.INV(RAND())</f>
        <v>-1.9605004370657331</v>
      </c>
      <c r="D654" s="5">
        <f ca="1">S0*EXP((μ-0.5*σ*σ)*T+σ*SQRT(T)*$C654)</f>
        <v>0.54771915764869583</v>
      </c>
      <c r="E654" s="5">
        <f ca="1">MAX(0,CP*(D654-K))</f>
        <v>0</v>
      </c>
      <c r="F654" s="4">
        <f ca="1">(CP*(D654-K)&gt;0)*1</f>
        <v>0</v>
      </c>
      <c r="H654" s="4">
        <v>639</v>
      </c>
      <c r="I654" s="3">
        <v>0.66779017533236351</v>
      </c>
      <c r="J654" s="128">
        <v>1.4210299323175885E-3</v>
      </c>
      <c r="K654" s="128"/>
      <c r="L654" s="128">
        <v>4.24E-2</v>
      </c>
      <c r="O654" s="2"/>
    </row>
    <row r="655" spans="2:15" x14ac:dyDescent="0.2">
      <c r="B655" s="1">
        <v>640</v>
      </c>
      <c r="C655" s="5">
        <f ca="1">_xlfn.NORM.S.INV(RAND())</f>
        <v>5.3277123728137359E-2</v>
      </c>
      <c r="D655" s="5">
        <f ca="1">S0*EXP((μ-0.5*σ*σ)*T+σ*SQRT(T)*$C655)</f>
        <v>0.66800516389158338</v>
      </c>
      <c r="E655" s="5">
        <f ca="1">MAX(0,CP*(D655-K))</f>
        <v>0</v>
      </c>
      <c r="F655" s="4">
        <f ca="1">(CP*(D655-K)&gt;0)*1</f>
        <v>0</v>
      </c>
      <c r="H655" s="4">
        <v>640</v>
      </c>
      <c r="I655" s="3">
        <v>0.66790720004747006</v>
      </c>
      <c r="J655" s="128">
        <v>1.4340263438279023E-3</v>
      </c>
      <c r="K655" s="128"/>
      <c r="L655" s="128">
        <v>4.4200000000000003E-2</v>
      </c>
      <c r="O655" s="2"/>
    </row>
    <row r="656" spans="2:15" x14ac:dyDescent="0.2">
      <c r="B656" s="1">
        <v>641</v>
      </c>
      <c r="C656" s="5">
        <f ca="1">_xlfn.NORM.S.INV(RAND())</f>
        <v>0.13568765347537717</v>
      </c>
      <c r="D656" s="5">
        <f ca="1">S0*EXP((μ-0.5*σ*σ)*T+σ*SQRT(T)*$C656)</f>
        <v>0.67345457640900763</v>
      </c>
      <c r="E656" s="5">
        <f ca="1">MAX(0,CP*(D656-K))</f>
        <v>0</v>
      </c>
      <c r="F656" s="4">
        <f ca="1">(CP*(D656-K)&gt;0)*1</f>
        <v>0</v>
      </c>
      <c r="H656" s="4">
        <v>641</v>
      </c>
      <c r="I656" s="3">
        <v>0.66758186571937206</v>
      </c>
      <c r="J656" s="128">
        <v>1.2474779760009789E-3</v>
      </c>
      <c r="K656" s="128"/>
      <c r="L656" s="128">
        <v>3.6200000000000003E-2</v>
      </c>
      <c r="O656" s="2"/>
    </row>
    <row r="657" spans="2:15" x14ac:dyDescent="0.2">
      <c r="B657" s="1">
        <v>642</v>
      </c>
      <c r="C657" s="5">
        <f ca="1">_xlfn.NORM.S.INV(RAND())</f>
        <v>0.12109827224968683</v>
      </c>
      <c r="D657" s="5">
        <f ca="1">S0*EXP((μ-0.5*σ*σ)*T+σ*SQRT(T)*$C657)</f>
        <v>0.67248662265221981</v>
      </c>
      <c r="E657" s="5">
        <f ca="1">MAX(0,CP*(D657-K))</f>
        <v>0</v>
      </c>
      <c r="F657" s="4">
        <f ca="1">(CP*(D657-K)&gt;0)*1</f>
        <v>0</v>
      </c>
      <c r="H657" s="4">
        <v>642</v>
      </c>
      <c r="I657" s="3">
        <v>0.66759223526490608</v>
      </c>
      <c r="J657" s="128">
        <v>1.1621391701574528E-3</v>
      </c>
      <c r="K657" s="128"/>
      <c r="L657" s="128">
        <v>3.6799999999999999E-2</v>
      </c>
      <c r="O657" s="2"/>
    </row>
    <row r="658" spans="2:15" x14ac:dyDescent="0.2">
      <c r="B658" s="1">
        <v>643</v>
      </c>
      <c r="C658" s="5">
        <f ca="1">_xlfn.NORM.S.INV(RAND())</f>
        <v>0.83058977696325087</v>
      </c>
      <c r="D658" s="5">
        <f ca="1">S0*EXP((μ-0.5*σ*σ)*T+σ*SQRT(T)*$C658)</f>
        <v>0.72120915946825026</v>
      </c>
      <c r="E658" s="5">
        <f ca="1">MAX(0,CP*(D658-K))</f>
        <v>0</v>
      </c>
      <c r="F658" s="4">
        <f ca="1">(CP*(D658-K)&gt;0)*1</f>
        <v>0</v>
      </c>
      <c r="H658" s="4">
        <v>643</v>
      </c>
      <c r="I658" s="3">
        <v>0.66781623839186943</v>
      </c>
      <c r="J658" s="128">
        <v>1.4206781516583307E-3</v>
      </c>
      <c r="K658" s="128"/>
      <c r="L658" s="128">
        <v>4.4999999999999998E-2</v>
      </c>
      <c r="O658" s="2"/>
    </row>
    <row r="659" spans="2:15" x14ac:dyDescent="0.2">
      <c r="B659" s="1">
        <v>644</v>
      </c>
      <c r="C659" s="5">
        <f ca="1">_xlfn.NORM.S.INV(RAND())</f>
        <v>-1.194969045603999</v>
      </c>
      <c r="D659" s="5">
        <f ca="1">S0*EXP((μ-0.5*σ*σ)*T+σ*SQRT(T)*$C659)</f>
        <v>0.59065640683780163</v>
      </c>
      <c r="E659" s="5">
        <f ca="1">MAX(0,CP*(D659-K))</f>
        <v>0</v>
      </c>
      <c r="F659" s="4">
        <f ca="1">(CP*(D659-K)&gt;0)*1</f>
        <v>0</v>
      </c>
      <c r="H659" s="4">
        <v>644</v>
      </c>
      <c r="I659" s="3">
        <v>0.66777096162708094</v>
      </c>
      <c r="J659" s="128">
        <v>1.4311926558853694E-3</v>
      </c>
      <c r="K659" s="128"/>
      <c r="L659" s="128">
        <v>4.5199999999999997E-2</v>
      </c>
      <c r="O659" s="2"/>
    </row>
    <row r="660" spans="2:15" x14ac:dyDescent="0.2">
      <c r="B660" s="1">
        <v>645</v>
      </c>
      <c r="C660" s="5">
        <f ca="1">_xlfn.NORM.S.INV(RAND())</f>
        <v>1.285059101333248</v>
      </c>
      <c r="D660" s="5">
        <f ca="1">S0*EXP((μ-0.5*σ*σ)*T+σ*SQRT(T)*$C660)</f>
        <v>0.75425776450913773</v>
      </c>
      <c r="E660" s="5">
        <f ca="1">MAX(0,CP*(D660-K))</f>
        <v>0</v>
      </c>
      <c r="F660" s="4">
        <f ca="1">(CP*(D660-K)&gt;0)*1</f>
        <v>0</v>
      </c>
      <c r="H660" s="4">
        <v>645</v>
      </c>
      <c r="I660" s="3">
        <v>0.66775951258811939</v>
      </c>
      <c r="J660" s="128">
        <v>1.3971042468676389E-3</v>
      </c>
      <c r="K660" s="128"/>
      <c r="L660" s="128">
        <v>4.1399999999999999E-2</v>
      </c>
      <c r="O660" s="2"/>
    </row>
    <row r="661" spans="2:15" x14ac:dyDescent="0.2">
      <c r="B661" s="1">
        <v>646</v>
      </c>
      <c r="C661" s="5">
        <f ca="1">_xlfn.NORM.S.INV(RAND())</f>
        <v>-2.664536901915599E-3</v>
      </c>
      <c r="D661" s="5">
        <f ca="1">S0*EXP((μ-0.5*σ*σ)*T+σ*SQRT(T)*$C661)</f>
        <v>0.6643311580198914</v>
      </c>
      <c r="E661" s="5">
        <f ca="1">MAX(0,CP*(D661-K))</f>
        <v>0</v>
      </c>
      <c r="F661" s="4">
        <f ca="1">(CP*(D661-K)&gt;0)*1</f>
        <v>0</v>
      </c>
      <c r="H661" s="4">
        <v>646</v>
      </c>
      <c r="I661" s="3">
        <v>0.6677835849340239</v>
      </c>
      <c r="J661" s="128">
        <v>1.4443128866742214E-3</v>
      </c>
      <c r="K661" s="128"/>
      <c r="L661" s="128">
        <v>3.8399999999999997E-2</v>
      </c>
      <c r="O661" s="2"/>
    </row>
    <row r="662" spans="2:15" x14ac:dyDescent="0.2">
      <c r="B662" s="1">
        <v>647</v>
      </c>
      <c r="C662" s="5">
        <f ca="1">_xlfn.NORM.S.INV(RAND())</f>
        <v>-0.87955277243161556</v>
      </c>
      <c r="D662" s="5">
        <f ca="1">S0*EXP((μ-0.5*σ*σ)*T+σ*SQRT(T)*$C662)</f>
        <v>0.60931206880855393</v>
      </c>
      <c r="E662" s="5">
        <f ca="1">MAX(0,CP*(D662-K))</f>
        <v>0</v>
      </c>
      <c r="F662" s="4">
        <f ca="1">(CP*(D662-K)&gt;0)*1</f>
        <v>0</v>
      </c>
      <c r="H662" s="4">
        <v>647</v>
      </c>
      <c r="I662" s="3">
        <v>0.66785391791897442</v>
      </c>
      <c r="J662" s="128">
        <v>1.4428629865557323E-3</v>
      </c>
      <c r="K662" s="128"/>
      <c r="L662" s="128">
        <v>4.5400000000000003E-2</v>
      </c>
      <c r="O662" s="2"/>
    </row>
    <row r="663" spans="2:15" x14ac:dyDescent="0.2">
      <c r="B663" s="1">
        <v>648</v>
      </c>
      <c r="C663" s="5">
        <f ca="1">_xlfn.NORM.S.INV(RAND())</f>
        <v>0.59532153426336731</v>
      </c>
      <c r="D663" s="5">
        <f ca="1">S0*EXP((μ-0.5*σ*σ)*T+σ*SQRT(T)*$C663)</f>
        <v>0.70467358162579807</v>
      </c>
      <c r="E663" s="5">
        <f ca="1">MAX(0,CP*(D663-K))</f>
        <v>0</v>
      </c>
      <c r="F663" s="4">
        <f ca="1">(CP*(D663-K)&gt;0)*1</f>
        <v>0</v>
      </c>
      <c r="H663" s="4">
        <v>648</v>
      </c>
      <c r="I663" s="3">
        <v>0.66770368739267016</v>
      </c>
      <c r="J663" s="128">
        <v>1.3174789761735705E-3</v>
      </c>
      <c r="K663" s="128"/>
      <c r="L663" s="128">
        <v>4.0599999999999997E-2</v>
      </c>
      <c r="O663" s="2"/>
    </row>
    <row r="664" spans="2:15" x14ac:dyDescent="0.2">
      <c r="B664" s="1">
        <v>649</v>
      </c>
      <c r="C664" s="5">
        <f ca="1">_xlfn.NORM.S.INV(RAND())</f>
        <v>0.74045078992060176</v>
      </c>
      <c r="D664" s="5">
        <f ca="1">S0*EXP((μ-0.5*σ*σ)*T+σ*SQRT(T)*$C664)</f>
        <v>0.71482847364010749</v>
      </c>
      <c r="E664" s="5">
        <f ca="1">MAX(0,CP*(D664-K))</f>
        <v>0</v>
      </c>
      <c r="F664" s="4">
        <f ca="1">(CP*(D664-K)&gt;0)*1</f>
        <v>0</v>
      </c>
      <c r="H664" s="4">
        <v>649</v>
      </c>
      <c r="I664" s="3">
        <v>0.66773381111224739</v>
      </c>
      <c r="J664" s="128">
        <v>1.3499112542771574E-3</v>
      </c>
      <c r="K664" s="128"/>
      <c r="L664" s="128">
        <v>4.1399999999999999E-2</v>
      </c>
      <c r="O664" s="2"/>
    </row>
    <row r="665" spans="2:15" x14ac:dyDescent="0.2">
      <c r="B665" s="1">
        <v>650</v>
      </c>
      <c r="C665" s="5">
        <f ca="1">_xlfn.NORM.S.INV(RAND())</f>
        <v>-0.34335109837431355</v>
      </c>
      <c r="D665" s="5">
        <f ca="1">S0*EXP((μ-0.5*σ*σ)*T+σ*SQRT(T)*$C665)</f>
        <v>0.64238854508557863</v>
      </c>
      <c r="E665" s="5">
        <f ca="1">MAX(0,CP*(D665-K))</f>
        <v>0</v>
      </c>
      <c r="F665" s="4">
        <f ca="1">(CP*(D665-K)&gt;0)*1</f>
        <v>0</v>
      </c>
      <c r="H665" s="4">
        <v>650</v>
      </c>
      <c r="I665" s="3">
        <v>0.66768048027673454</v>
      </c>
      <c r="J665" s="128">
        <v>1.3440920603235216E-3</v>
      </c>
      <c r="K665" s="128"/>
      <c r="L665" s="128">
        <v>3.9600000000000003E-2</v>
      </c>
      <c r="O665" s="2"/>
    </row>
    <row r="666" spans="2:15" x14ac:dyDescent="0.2">
      <c r="B666" s="1">
        <v>651</v>
      </c>
      <c r="C666" s="5">
        <f ca="1">_xlfn.NORM.S.INV(RAND())</f>
        <v>-0.61187381166005839</v>
      </c>
      <c r="D666" s="5">
        <f ca="1">S0*EXP((μ-0.5*σ*σ)*T+σ*SQRT(T)*$C666)</f>
        <v>0.62560573486096061</v>
      </c>
      <c r="E666" s="5">
        <f ca="1">MAX(0,CP*(D666-K))</f>
        <v>0</v>
      </c>
      <c r="F666" s="4">
        <f ca="1">(CP*(D666-K)&gt;0)*1</f>
        <v>0</v>
      </c>
      <c r="H666" s="4">
        <v>651</v>
      </c>
      <c r="I666" s="3">
        <v>0.6676342507597105</v>
      </c>
      <c r="J666" s="128">
        <v>1.2564137822091736E-3</v>
      </c>
      <c r="K666" s="128"/>
      <c r="L666" s="128">
        <v>4.0599999999999997E-2</v>
      </c>
      <c r="O666" s="2"/>
    </row>
    <row r="667" spans="2:15" x14ac:dyDescent="0.2">
      <c r="B667" s="1">
        <v>652</v>
      </c>
      <c r="C667" s="5">
        <f ca="1">_xlfn.NORM.S.INV(RAND())</f>
        <v>-1.4642739575917401</v>
      </c>
      <c r="D667" s="5">
        <f ca="1">S0*EXP((μ-0.5*σ*σ)*T+σ*SQRT(T)*$C667)</f>
        <v>0.57518077493058029</v>
      </c>
      <c r="E667" s="5">
        <f ca="1">MAX(0,CP*(D667-K))</f>
        <v>0</v>
      </c>
      <c r="F667" s="4">
        <f ca="1">(CP*(D667-K)&gt;0)*1</f>
        <v>0</v>
      </c>
      <c r="H667" s="4">
        <v>652</v>
      </c>
      <c r="I667" s="3">
        <v>0.66767880985799055</v>
      </c>
      <c r="J667" s="128">
        <v>1.2242373028984593E-3</v>
      </c>
      <c r="K667" s="128"/>
      <c r="L667" s="128">
        <v>3.9399999999999998E-2</v>
      </c>
      <c r="O667" s="2"/>
    </row>
    <row r="668" spans="2:15" x14ac:dyDescent="0.2">
      <c r="B668" s="1">
        <v>653</v>
      </c>
      <c r="C668" s="5">
        <f ca="1">_xlfn.NORM.S.INV(RAND())</f>
        <v>-1.0472154283030095</v>
      </c>
      <c r="D668" s="5">
        <f ca="1">S0*EXP((μ-0.5*σ*σ)*T+σ*SQRT(T)*$C668)</f>
        <v>0.59932326542354708</v>
      </c>
      <c r="E668" s="5">
        <f ca="1">MAX(0,CP*(D668-K))</f>
        <v>0</v>
      </c>
      <c r="F668" s="4">
        <f ca="1">(CP*(D668-K)&gt;0)*1</f>
        <v>0</v>
      </c>
      <c r="H668" s="4">
        <v>653</v>
      </c>
      <c r="I668" s="3">
        <v>0.66789647325891233</v>
      </c>
      <c r="J668" s="128">
        <v>1.5183254098542307E-3</v>
      </c>
      <c r="K668" s="128"/>
      <c r="L668" s="128">
        <v>4.58E-2</v>
      </c>
      <c r="O668" s="2"/>
    </row>
    <row r="669" spans="2:15" x14ac:dyDescent="0.2">
      <c r="B669" s="1">
        <v>654</v>
      </c>
      <c r="C669" s="5">
        <f ca="1">_xlfn.NORM.S.INV(RAND())</f>
        <v>-0.14536846493218827</v>
      </c>
      <c r="D669" s="5">
        <f ca="1">S0*EXP((μ-0.5*σ*σ)*T+σ*SQRT(T)*$C669)</f>
        <v>0.65505024192448136</v>
      </c>
      <c r="E669" s="5">
        <f ca="1">MAX(0,CP*(D669-K))</f>
        <v>0</v>
      </c>
      <c r="F669" s="4">
        <f ca="1">(CP*(D669-K)&gt;0)*1</f>
        <v>0</v>
      </c>
      <c r="H669" s="4">
        <v>654</v>
      </c>
      <c r="I669" s="3">
        <v>0.66768669444835937</v>
      </c>
      <c r="J669" s="128">
        <v>1.3790716094756901E-3</v>
      </c>
      <c r="K669" s="128"/>
      <c r="L669" s="128">
        <v>3.78E-2</v>
      </c>
      <c r="O669" s="2"/>
    </row>
    <row r="670" spans="2:15" x14ac:dyDescent="0.2">
      <c r="B670" s="1">
        <v>655</v>
      </c>
      <c r="C670" s="5">
        <f ca="1">_xlfn.NORM.S.INV(RAND())</f>
        <v>-0.28713946523421002</v>
      </c>
      <c r="D670" s="5">
        <f ca="1">S0*EXP((μ-0.5*σ*σ)*T+σ*SQRT(T)*$C670)</f>
        <v>0.64595839243894682</v>
      </c>
      <c r="E670" s="5">
        <f ca="1">MAX(0,CP*(D670-K))</f>
        <v>0</v>
      </c>
      <c r="F670" s="4">
        <f ca="1">(CP*(D670-K)&gt;0)*1</f>
        <v>0</v>
      </c>
      <c r="H670" s="4">
        <v>655</v>
      </c>
      <c r="I670" s="3">
        <v>0.66770764766702917</v>
      </c>
      <c r="J670" s="128">
        <v>1.3694305519846618E-3</v>
      </c>
      <c r="K670" s="128"/>
      <c r="L670" s="128">
        <v>4.2000000000000003E-2</v>
      </c>
      <c r="O670" s="2"/>
    </row>
    <row r="671" spans="2:15" x14ac:dyDescent="0.2">
      <c r="B671" s="1">
        <v>656</v>
      </c>
      <c r="C671" s="5">
        <f ca="1">_xlfn.NORM.S.INV(RAND())</f>
        <v>-2.0528011854771386</v>
      </c>
      <c r="D671" s="5">
        <f ca="1">S0*EXP((μ-0.5*σ*σ)*T+σ*SQRT(T)*$C671)</f>
        <v>0.54275768731576024</v>
      </c>
      <c r="E671" s="5">
        <f ca="1">MAX(0,CP*(D671-K))</f>
        <v>0</v>
      </c>
      <c r="F671" s="4">
        <f ca="1">(CP*(D671-K)&gt;0)*1</f>
        <v>0</v>
      </c>
      <c r="H671" s="4">
        <v>656</v>
      </c>
      <c r="I671" s="3">
        <v>0.66775999769325611</v>
      </c>
      <c r="J671" s="128">
        <v>1.3438488792762763E-3</v>
      </c>
      <c r="K671" s="128"/>
      <c r="L671" s="128">
        <v>4.1799999999999997E-2</v>
      </c>
      <c r="O671" s="2"/>
    </row>
    <row r="672" spans="2:15" x14ac:dyDescent="0.2">
      <c r="B672" s="1">
        <v>657</v>
      </c>
      <c r="C672" s="5">
        <f ca="1">_xlfn.NORM.S.INV(RAND())</f>
        <v>-1.5117526977627884</v>
      </c>
      <c r="D672" s="5">
        <f ca="1">S0*EXP((μ-0.5*σ*σ)*T+σ*SQRT(T)*$C672)</f>
        <v>0.57249475494045798</v>
      </c>
      <c r="E672" s="5">
        <f ca="1">MAX(0,CP*(D672-K))</f>
        <v>0</v>
      </c>
      <c r="F672" s="4">
        <f ca="1">(CP*(D672-K)&gt;0)*1</f>
        <v>0</v>
      </c>
      <c r="H672" s="4">
        <v>657</v>
      </c>
      <c r="I672" s="3">
        <v>0.66785838462477409</v>
      </c>
      <c r="J672" s="128">
        <v>1.4004356582025708E-3</v>
      </c>
      <c r="K672" s="128"/>
      <c r="L672" s="128">
        <v>4.3799999999999999E-2</v>
      </c>
      <c r="O672" s="2"/>
    </row>
    <row r="673" spans="2:15" x14ac:dyDescent="0.2">
      <c r="B673" s="1">
        <v>658</v>
      </c>
      <c r="C673" s="5">
        <f ca="1">_xlfn.NORM.S.INV(RAND())</f>
        <v>0.61997517363573096</v>
      </c>
      <c r="D673" s="5">
        <f ca="1">S0*EXP((μ-0.5*σ*σ)*T+σ*SQRT(T)*$C673)</f>
        <v>0.70638840202603759</v>
      </c>
      <c r="E673" s="5">
        <f ca="1">MAX(0,CP*(D673-K))</f>
        <v>0</v>
      </c>
      <c r="F673" s="4">
        <f ca="1">(CP*(D673-K)&gt;0)*1</f>
        <v>0</v>
      </c>
      <c r="H673" s="4">
        <v>658</v>
      </c>
      <c r="I673" s="3">
        <v>0.66777828379772552</v>
      </c>
      <c r="J673" s="128">
        <v>1.4446433508926548E-3</v>
      </c>
      <c r="K673" s="128"/>
      <c r="L673" s="128">
        <v>4.2000000000000003E-2</v>
      </c>
      <c r="O673" s="2"/>
    </row>
    <row r="674" spans="2:15" x14ac:dyDescent="0.2">
      <c r="B674" s="1">
        <v>659</v>
      </c>
      <c r="C674" s="5">
        <f ca="1">_xlfn.NORM.S.INV(RAND())</f>
        <v>1.5343262930017385</v>
      </c>
      <c r="D674" s="5">
        <f ca="1">S0*EXP((μ-0.5*σ*σ)*T+σ*SQRT(T)*$C674)</f>
        <v>0.77302299358218252</v>
      </c>
      <c r="E674" s="5">
        <f ca="1">MAX(0,CP*(D674-K))</f>
        <v>0</v>
      </c>
      <c r="F674" s="4">
        <f ca="1">(CP*(D674-K)&gt;0)*1</f>
        <v>0</v>
      </c>
      <c r="H674" s="4">
        <v>659</v>
      </c>
      <c r="I674" s="3">
        <v>0.66786853394351642</v>
      </c>
      <c r="J674" s="128">
        <v>1.4801874709233964E-3</v>
      </c>
      <c r="K674" s="128"/>
      <c r="L674" s="128">
        <v>4.36E-2</v>
      </c>
      <c r="O674" s="2"/>
    </row>
    <row r="675" spans="2:15" x14ac:dyDescent="0.2">
      <c r="B675" s="1">
        <v>660</v>
      </c>
      <c r="C675" s="5">
        <f ca="1">_xlfn.NORM.S.INV(RAND())</f>
        <v>0.76887449199435642</v>
      </c>
      <c r="D675" s="5">
        <f ca="1">S0*EXP((μ-0.5*σ*σ)*T+σ*SQRT(T)*$C675)</f>
        <v>0.71683439010398564</v>
      </c>
      <c r="E675" s="5">
        <f ca="1">MAX(0,CP*(D675-K))</f>
        <v>0</v>
      </c>
      <c r="F675" s="4">
        <f ca="1">(CP*(D675-K)&gt;0)*1</f>
        <v>0</v>
      </c>
      <c r="H675" s="4">
        <v>660</v>
      </c>
      <c r="I675" s="3">
        <v>0.6676561567903736</v>
      </c>
      <c r="J675" s="128">
        <v>1.2606412365608534E-3</v>
      </c>
      <c r="K675" s="128"/>
      <c r="L675" s="128">
        <v>3.6799999999999999E-2</v>
      </c>
      <c r="O675" s="2"/>
    </row>
    <row r="676" spans="2:15" x14ac:dyDescent="0.2">
      <c r="B676" s="1">
        <v>661</v>
      </c>
      <c r="C676" s="5">
        <f ca="1">_xlfn.NORM.S.INV(RAND())</f>
        <v>-0.86290127526039917</v>
      </c>
      <c r="D676" s="5">
        <f ca="1">S0*EXP((μ-0.5*σ*σ)*T+σ*SQRT(T)*$C676)</f>
        <v>0.61031315463556535</v>
      </c>
      <c r="E676" s="5">
        <f ca="1">MAX(0,CP*(D676-K))</f>
        <v>0</v>
      </c>
      <c r="F676" s="4">
        <f ca="1">(CP*(D676-K)&gt;0)*1</f>
        <v>0</v>
      </c>
      <c r="H676" s="4">
        <v>661</v>
      </c>
      <c r="I676" s="3">
        <v>0.66770388027427263</v>
      </c>
      <c r="J676" s="128">
        <v>1.2655329462973913E-3</v>
      </c>
      <c r="K676" s="128"/>
      <c r="L676" s="128">
        <v>4.36E-2</v>
      </c>
      <c r="O676" s="2"/>
    </row>
    <row r="677" spans="2:15" x14ac:dyDescent="0.2">
      <c r="B677" s="1">
        <v>662</v>
      </c>
      <c r="C677" s="5">
        <f ca="1">_xlfn.NORM.S.INV(RAND())</f>
        <v>0.67001783992615327</v>
      </c>
      <c r="D677" s="5">
        <f ca="1">S0*EXP((μ-0.5*σ*σ)*T+σ*SQRT(T)*$C677)</f>
        <v>0.70988203658789562</v>
      </c>
      <c r="E677" s="5">
        <f ca="1">MAX(0,CP*(D677-K))</f>
        <v>0</v>
      </c>
      <c r="F677" s="4">
        <f ca="1">(CP*(D677-K)&gt;0)*1</f>
        <v>0</v>
      </c>
      <c r="H677" s="4">
        <v>662</v>
      </c>
      <c r="I677" s="3">
        <v>0.66770842282683784</v>
      </c>
      <c r="J677" s="128">
        <v>1.3609443861021234E-3</v>
      </c>
      <c r="K677" s="128"/>
      <c r="L677" s="128">
        <v>4.5199999999999997E-2</v>
      </c>
      <c r="O677" s="2"/>
    </row>
    <row r="678" spans="2:15" x14ac:dyDescent="0.2">
      <c r="B678" s="1">
        <v>663</v>
      </c>
      <c r="C678" s="5">
        <f ca="1">_xlfn.NORM.S.INV(RAND())</f>
        <v>-1.1479911097508744</v>
      </c>
      <c r="D678" s="5">
        <f ca="1">S0*EXP((μ-0.5*σ*σ)*T+σ*SQRT(T)*$C678)</f>
        <v>0.59339833872289771</v>
      </c>
      <c r="E678" s="5">
        <f ca="1">MAX(0,CP*(D678-K))</f>
        <v>0</v>
      </c>
      <c r="F678" s="4">
        <f ca="1">(CP*(D678-K)&gt;0)*1</f>
        <v>0</v>
      </c>
      <c r="H678" s="4">
        <v>663</v>
      </c>
      <c r="I678" s="3">
        <v>0.66770046491153989</v>
      </c>
      <c r="J678" s="128">
        <v>1.4278376176601318E-3</v>
      </c>
      <c r="K678" s="128"/>
      <c r="L678" s="128">
        <v>4.3200000000000002E-2</v>
      </c>
      <c r="O678" s="2"/>
    </row>
    <row r="679" spans="2:15" x14ac:dyDescent="0.2">
      <c r="B679" s="1">
        <v>664</v>
      </c>
      <c r="C679" s="5">
        <f ca="1">_xlfn.NORM.S.INV(RAND())</f>
        <v>0.52707617514800331</v>
      </c>
      <c r="D679" s="5">
        <f ca="1">S0*EXP((μ-0.5*σ*σ)*T+σ*SQRT(T)*$C679)</f>
        <v>0.69994835484549989</v>
      </c>
      <c r="E679" s="5">
        <f ca="1">MAX(0,CP*(D679-K))</f>
        <v>0</v>
      </c>
      <c r="F679" s="4">
        <f ca="1">(CP*(D679-K)&gt;0)*1</f>
        <v>0</v>
      </c>
      <c r="H679" s="4">
        <v>664</v>
      </c>
      <c r="I679" s="3">
        <v>0.66776437729968663</v>
      </c>
      <c r="J679" s="128">
        <v>1.3208540398538314E-3</v>
      </c>
      <c r="K679" s="128"/>
      <c r="L679" s="128">
        <v>4.1599999999999998E-2</v>
      </c>
      <c r="O679" s="2"/>
    </row>
    <row r="680" spans="2:15" x14ac:dyDescent="0.2">
      <c r="B680" s="1">
        <v>665</v>
      </c>
      <c r="C680" s="5">
        <f ca="1">_xlfn.NORM.S.INV(RAND())</f>
        <v>-0.9620718070946026</v>
      </c>
      <c r="D680" s="5">
        <f ca="1">S0*EXP((μ-0.5*σ*σ)*T+σ*SQRT(T)*$C680)</f>
        <v>0.60437521496403401</v>
      </c>
      <c r="E680" s="5">
        <f ca="1">MAX(0,CP*(D680-K))</f>
        <v>0</v>
      </c>
      <c r="F680" s="4">
        <f ca="1">(CP*(D680-K)&gt;0)*1</f>
        <v>0</v>
      </c>
      <c r="H680" s="4">
        <v>665</v>
      </c>
      <c r="I680" s="3">
        <v>0.66762605310946987</v>
      </c>
      <c r="J680" s="128">
        <v>1.3006207296953883E-3</v>
      </c>
      <c r="K680" s="128"/>
      <c r="L680" s="128">
        <v>4.2200000000000001E-2</v>
      </c>
      <c r="O680" s="2"/>
    </row>
    <row r="681" spans="2:15" x14ac:dyDescent="0.2">
      <c r="B681" s="1">
        <v>666</v>
      </c>
      <c r="C681" s="5">
        <f ca="1">_xlfn.NORM.S.INV(RAND())</f>
        <v>1.2655063154384183</v>
      </c>
      <c r="D681" s="5">
        <f ca="1">S0*EXP((μ-0.5*σ*σ)*T+σ*SQRT(T)*$C681)</f>
        <v>0.75280521268487532</v>
      </c>
      <c r="E681" s="5">
        <f ca="1">MAX(0,CP*(D681-K))</f>
        <v>0</v>
      </c>
      <c r="F681" s="4">
        <f ca="1">(CP*(D681-K)&gt;0)*1</f>
        <v>0</v>
      </c>
      <c r="H681" s="4">
        <v>666</v>
      </c>
      <c r="I681" s="3">
        <v>0.66775997236106588</v>
      </c>
      <c r="J681" s="128">
        <v>1.4236365521577993E-3</v>
      </c>
      <c r="K681" s="128"/>
      <c r="L681" s="128">
        <v>4.1599999999999998E-2</v>
      </c>
      <c r="O681" s="2"/>
    </row>
    <row r="682" spans="2:15" x14ac:dyDescent="0.2">
      <c r="B682" s="1">
        <v>667</v>
      </c>
      <c r="C682" s="5">
        <f ca="1">_xlfn.NORM.S.INV(RAND())</f>
        <v>-5.5048324547859226E-2</v>
      </c>
      <c r="D682" s="5">
        <f ca="1">S0*EXP((μ-0.5*σ*σ)*T+σ*SQRT(T)*$C682)</f>
        <v>0.66090914001456857</v>
      </c>
      <c r="E682" s="5">
        <f ca="1">MAX(0,CP*(D682-K))</f>
        <v>0</v>
      </c>
      <c r="F682" s="4">
        <f ca="1">(CP*(D682-K)&gt;0)*1</f>
        <v>0</v>
      </c>
      <c r="H682" s="4">
        <v>667</v>
      </c>
      <c r="I682" s="3">
        <v>0.66772705307009794</v>
      </c>
      <c r="J682" s="128">
        <v>1.3791533119687481E-3</v>
      </c>
      <c r="K682" s="128"/>
      <c r="L682" s="128">
        <v>4.0399999999999998E-2</v>
      </c>
      <c r="O682" s="2"/>
    </row>
    <row r="683" spans="2:15" x14ac:dyDescent="0.2">
      <c r="B683" s="1">
        <v>668</v>
      </c>
      <c r="C683" s="5">
        <f ca="1">_xlfn.NORM.S.INV(RAND())</f>
        <v>0.62693683022119873</v>
      </c>
      <c r="D683" s="5">
        <f ca="1">S0*EXP((μ-0.5*σ*σ)*T+σ*SQRT(T)*$C683)</f>
        <v>0.70687338547787271</v>
      </c>
      <c r="E683" s="5">
        <f ca="1">MAX(0,CP*(D683-K))</f>
        <v>0</v>
      </c>
      <c r="F683" s="4">
        <f ca="1">(CP*(D683-K)&gt;0)*1</f>
        <v>0</v>
      </c>
      <c r="H683" s="4">
        <v>668</v>
      </c>
      <c r="I683" s="3">
        <v>0.66768931353789784</v>
      </c>
      <c r="J683" s="128">
        <v>1.3781988159818775E-3</v>
      </c>
      <c r="K683" s="128"/>
      <c r="L683" s="128">
        <v>3.9399999999999998E-2</v>
      </c>
      <c r="O683" s="2"/>
    </row>
    <row r="684" spans="2:15" x14ac:dyDescent="0.2">
      <c r="B684" s="1">
        <v>669</v>
      </c>
      <c r="C684" s="5">
        <f ca="1">_xlfn.NORM.S.INV(RAND())</f>
        <v>0.61136812964499043</v>
      </c>
      <c r="D684" s="5">
        <f ca="1">S0*EXP((μ-0.5*σ*σ)*T+σ*SQRT(T)*$C684)</f>
        <v>0.70578925272536919</v>
      </c>
      <c r="E684" s="5">
        <f ca="1">MAX(0,CP*(D684-K))</f>
        <v>0</v>
      </c>
      <c r="F684" s="4">
        <f ca="1">(CP*(D684-K)&gt;0)*1</f>
        <v>0</v>
      </c>
      <c r="H684" s="4">
        <v>669</v>
      </c>
      <c r="I684" s="3">
        <v>0.66781950881762364</v>
      </c>
      <c r="J684" s="128">
        <v>1.3166170768336052E-3</v>
      </c>
      <c r="K684" s="128"/>
      <c r="L684" s="128">
        <v>4.48E-2</v>
      </c>
      <c r="O684" s="2"/>
    </row>
    <row r="685" spans="2:15" x14ac:dyDescent="0.2">
      <c r="B685" s="1">
        <v>670</v>
      </c>
      <c r="C685" s="5">
        <f ca="1">_xlfn.NORM.S.INV(RAND())</f>
        <v>-0.32578832950111225</v>
      </c>
      <c r="D685" s="5">
        <f ca="1">S0*EXP((μ-0.5*σ*σ)*T+σ*SQRT(T)*$C685)</f>
        <v>0.64350178439346861</v>
      </c>
      <c r="E685" s="5">
        <f ca="1">MAX(0,CP*(D685-K))</f>
        <v>0</v>
      </c>
      <c r="F685" s="4">
        <f ca="1">(CP*(D685-K)&gt;0)*1</f>
        <v>0</v>
      </c>
      <c r="H685" s="4">
        <v>670</v>
      </c>
      <c r="I685" s="3">
        <v>0.66770433664771434</v>
      </c>
      <c r="J685" s="128">
        <v>1.2800504530501081E-3</v>
      </c>
      <c r="K685" s="128"/>
      <c r="L685" s="128">
        <v>0.04</v>
      </c>
      <c r="O685" s="2"/>
    </row>
    <row r="686" spans="2:15" x14ac:dyDescent="0.2">
      <c r="B686" s="1">
        <v>671</v>
      </c>
      <c r="C686" s="5">
        <f ca="1">_xlfn.NORM.S.INV(RAND())</f>
        <v>0.22219779959324626</v>
      </c>
      <c r="D686" s="5">
        <f ca="1">S0*EXP((μ-0.5*σ*σ)*T+σ*SQRT(T)*$C686)</f>
        <v>0.67922291041846561</v>
      </c>
      <c r="E686" s="5">
        <f ca="1">MAX(0,CP*(D686-K))</f>
        <v>0</v>
      </c>
      <c r="F686" s="4">
        <f ca="1">(CP*(D686-K)&gt;0)*1</f>
        <v>0</v>
      </c>
      <c r="H686" s="4">
        <v>671</v>
      </c>
      <c r="I686" s="3">
        <v>0.6677523907652968</v>
      </c>
      <c r="J686" s="128">
        <v>1.5017783851797016E-3</v>
      </c>
      <c r="K686" s="128"/>
      <c r="L686" s="128">
        <v>4.2799999999999998E-2</v>
      </c>
      <c r="O686" s="2"/>
    </row>
    <row r="687" spans="2:15" x14ac:dyDescent="0.2">
      <c r="B687" s="1">
        <v>672</v>
      </c>
      <c r="C687" s="5">
        <f ca="1">_xlfn.NORM.S.INV(RAND())</f>
        <v>-0.75158642696709088</v>
      </c>
      <c r="D687" s="5">
        <f ca="1">S0*EXP((μ-0.5*σ*σ)*T+σ*SQRT(T)*$C687)</f>
        <v>0.617047769388548</v>
      </c>
      <c r="E687" s="5">
        <f ca="1">MAX(0,CP*(D687-K))</f>
        <v>0</v>
      </c>
      <c r="F687" s="4">
        <f ca="1">(CP*(D687-K)&gt;0)*1</f>
        <v>0</v>
      </c>
      <c r="H687" s="4">
        <v>672</v>
      </c>
      <c r="I687" s="3">
        <v>0.66757813290669477</v>
      </c>
      <c r="J687" s="128">
        <v>1.2419717121050203E-3</v>
      </c>
      <c r="K687" s="128"/>
      <c r="L687" s="128">
        <v>3.6400000000000002E-2</v>
      </c>
      <c r="O687" s="2"/>
    </row>
    <row r="688" spans="2:15" x14ac:dyDescent="0.2">
      <c r="B688" s="1">
        <v>673</v>
      </c>
      <c r="C688" s="5">
        <f ca="1">_xlfn.NORM.S.INV(RAND())</f>
        <v>0.37783031943736911</v>
      </c>
      <c r="D688" s="5">
        <f ca="1">S0*EXP((μ-0.5*σ*σ)*T+σ*SQRT(T)*$C688)</f>
        <v>0.68972487227751178</v>
      </c>
      <c r="E688" s="5">
        <f ca="1">MAX(0,CP*(D688-K))</f>
        <v>0</v>
      </c>
      <c r="F688" s="4">
        <f ca="1">(CP*(D688-K)&gt;0)*1</f>
        <v>0</v>
      </c>
      <c r="H688" s="4">
        <v>673</v>
      </c>
      <c r="I688" s="3">
        <v>0.66785483904840259</v>
      </c>
      <c r="J688" s="128">
        <v>1.3470414357191162E-3</v>
      </c>
      <c r="K688" s="128"/>
      <c r="L688" s="128">
        <v>4.4600000000000001E-2</v>
      </c>
      <c r="O688" s="2"/>
    </row>
    <row r="689" spans="2:15" x14ac:dyDescent="0.2">
      <c r="B689" s="1">
        <v>674</v>
      </c>
      <c r="C689" s="5">
        <f ca="1">_xlfn.NORM.S.INV(RAND())</f>
        <v>5.9715712301380126E-2</v>
      </c>
      <c r="D689" s="5">
        <f ca="1">S0*EXP((μ-0.5*σ*σ)*T+σ*SQRT(T)*$C689)</f>
        <v>0.66842932423239421</v>
      </c>
      <c r="E689" s="5">
        <f ca="1">MAX(0,CP*(D689-K))</f>
        <v>0</v>
      </c>
      <c r="F689" s="4">
        <f ca="1">(CP*(D689-K)&gt;0)*1</f>
        <v>0</v>
      </c>
      <c r="H689" s="4">
        <v>674</v>
      </c>
      <c r="I689" s="3">
        <v>0.66755402175853773</v>
      </c>
      <c r="J689" s="128">
        <v>1.0946105036670046E-3</v>
      </c>
      <c r="K689" s="128"/>
      <c r="L689" s="128">
        <v>3.5799999999999998E-2</v>
      </c>
      <c r="O689" s="2"/>
    </row>
    <row r="690" spans="2:15" x14ac:dyDescent="0.2">
      <c r="B690" s="1">
        <v>675</v>
      </c>
      <c r="C690" s="5">
        <f ca="1">_xlfn.NORM.S.INV(RAND())</f>
        <v>1.6725344180171884</v>
      </c>
      <c r="D690" s="5">
        <f ca="1">S0*EXP((μ-0.5*σ*σ)*T+σ*SQRT(T)*$C690)</f>
        <v>0.78362797291902531</v>
      </c>
      <c r="E690" s="5">
        <f ca="1">MAX(0,CP*(D690-K))</f>
        <v>0</v>
      </c>
      <c r="F690" s="4">
        <f ca="1">(CP*(D690-K)&gt;0)*1</f>
        <v>0</v>
      </c>
      <c r="H690" s="4">
        <v>675</v>
      </c>
      <c r="I690" s="3">
        <v>0.66758119717998399</v>
      </c>
      <c r="J690" s="128">
        <v>1.0740784758887986E-3</v>
      </c>
      <c r="K690" s="128"/>
      <c r="L690" s="128">
        <v>3.6999999999999998E-2</v>
      </c>
      <c r="O690" s="2"/>
    </row>
    <row r="691" spans="2:15" x14ac:dyDescent="0.2">
      <c r="B691" s="1">
        <v>676</v>
      </c>
      <c r="C691" s="5">
        <f ca="1">_xlfn.NORM.S.INV(RAND())</f>
        <v>-0.25620600199533372</v>
      </c>
      <c r="D691" s="5">
        <f ca="1">S0*EXP((μ-0.5*σ*σ)*T+σ*SQRT(T)*$C691)</f>
        <v>0.64793134754311599</v>
      </c>
      <c r="E691" s="5">
        <f ca="1">MAX(0,CP*(D691-K))</f>
        <v>0</v>
      </c>
      <c r="F691" s="4">
        <f ca="1">(CP*(D691-K)&gt;0)*1</f>
        <v>0</v>
      </c>
      <c r="H691" s="4">
        <v>676</v>
      </c>
      <c r="I691" s="3">
        <v>0.66775836505840902</v>
      </c>
      <c r="J691" s="128">
        <v>1.416522206549466E-3</v>
      </c>
      <c r="K691" s="128"/>
      <c r="L691" s="128">
        <v>0.04</v>
      </c>
      <c r="O691" s="2"/>
    </row>
    <row r="692" spans="2:15" x14ac:dyDescent="0.2">
      <c r="B692" s="1">
        <v>677</v>
      </c>
      <c r="C692" s="5">
        <f ca="1">_xlfn.NORM.S.INV(RAND())</f>
        <v>1.6041611900506787</v>
      </c>
      <c r="D692" s="5">
        <f ca="1">S0*EXP((μ-0.5*σ*σ)*T+σ*SQRT(T)*$C692)</f>
        <v>0.77836350088185347</v>
      </c>
      <c r="E692" s="5">
        <f ca="1">MAX(0,CP*(D692-K))</f>
        <v>0</v>
      </c>
      <c r="F692" s="4">
        <f ca="1">(CP*(D692-K)&gt;0)*1</f>
        <v>0</v>
      </c>
      <c r="H692" s="4">
        <v>677</v>
      </c>
      <c r="I692" s="3">
        <v>0.66766539890205545</v>
      </c>
      <c r="J692" s="128">
        <v>1.1736344193283811E-3</v>
      </c>
      <c r="K692" s="128"/>
      <c r="L692" s="128">
        <v>4.24E-2</v>
      </c>
      <c r="O692" s="2"/>
    </row>
    <row r="693" spans="2:15" x14ac:dyDescent="0.2">
      <c r="B693" s="1">
        <v>678</v>
      </c>
      <c r="C693" s="5">
        <f ca="1">_xlfn.NORM.S.INV(RAND())</f>
        <v>0.72260263665276736</v>
      </c>
      <c r="D693" s="5">
        <f ca="1">S0*EXP((μ-0.5*σ*σ)*T+σ*SQRT(T)*$C693)</f>
        <v>0.7135717643851256</v>
      </c>
      <c r="E693" s="5">
        <f ca="1">MAX(0,CP*(D693-K))</f>
        <v>0</v>
      </c>
      <c r="F693" s="4">
        <f ca="1">(CP*(D693-K)&gt;0)*1</f>
        <v>0</v>
      </c>
      <c r="H693" s="4">
        <v>678</v>
      </c>
      <c r="I693" s="3">
        <v>0.66755417785386106</v>
      </c>
      <c r="J693" s="128">
        <v>1.0806836760467143E-3</v>
      </c>
      <c r="K693" s="128"/>
      <c r="L693" s="128">
        <v>3.9399999999999998E-2</v>
      </c>
      <c r="O693" s="2"/>
    </row>
    <row r="694" spans="2:15" x14ac:dyDescent="0.2">
      <c r="B694" s="1">
        <v>679</v>
      </c>
      <c r="C694" s="5">
        <f ca="1">_xlfn.NORM.S.INV(RAND())</f>
        <v>-0.14521933918372473</v>
      </c>
      <c r="D694" s="5">
        <f ca="1">S0*EXP((μ-0.5*σ*σ)*T+σ*SQRT(T)*$C694)</f>
        <v>0.65505987249821895</v>
      </c>
      <c r="E694" s="5">
        <f ca="1">MAX(0,CP*(D694-K))</f>
        <v>0</v>
      </c>
      <c r="F694" s="4">
        <f ca="1">(CP*(D694-K)&gt;0)*1</f>
        <v>0</v>
      </c>
      <c r="H694" s="4">
        <v>679</v>
      </c>
      <c r="I694" s="3">
        <v>0.66776917178117334</v>
      </c>
      <c r="J694" s="128">
        <v>1.4352559727522508E-3</v>
      </c>
      <c r="K694" s="128"/>
      <c r="L694" s="128">
        <v>4.3200000000000002E-2</v>
      </c>
      <c r="O694" s="2"/>
    </row>
    <row r="695" spans="2:15" x14ac:dyDescent="0.2">
      <c r="B695" s="1">
        <v>680</v>
      </c>
      <c r="C695" s="5">
        <f ca="1">_xlfn.NORM.S.INV(RAND())</f>
        <v>-3.6034117302060728E-2</v>
      </c>
      <c r="D695" s="5">
        <f ca="1">S0*EXP((μ-0.5*σ*σ)*T+σ*SQRT(T)*$C695)</f>
        <v>0.66214921749652023</v>
      </c>
      <c r="E695" s="5">
        <f ca="1">MAX(0,CP*(D695-K))</f>
        <v>0</v>
      </c>
      <c r="F695" s="4">
        <f ca="1">(CP*(D695-K)&gt;0)*1</f>
        <v>0</v>
      </c>
      <c r="H695" s="4">
        <v>680</v>
      </c>
      <c r="I695" s="3">
        <v>0.66777720996414924</v>
      </c>
      <c r="J695" s="128">
        <v>1.4010821930348864E-3</v>
      </c>
      <c r="K695" s="128"/>
      <c r="L695" s="128">
        <v>4.1200000000000001E-2</v>
      </c>
      <c r="O695" s="2"/>
    </row>
    <row r="696" spans="2:15" x14ac:dyDescent="0.2">
      <c r="B696" s="1">
        <v>681</v>
      </c>
      <c r="C696" s="5">
        <f ca="1">_xlfn.NORM.S.INV(RAND())</f>
        <v>0.27747257948885307</v>
      </c>
      <c r="D696" s="5">
        <f ca="1">S0*EXP((μ-0.5*σ*σ)*T+σ*SQRT(T)*$C696)</f>
        <v>0.68293437165059256</v>
      </c>
      <c r="E696" s="5">
        <f ca="1">MAX(0,CP*(D696-K))</f>
        <v>0</v>
      </c>
      <c r="F696" s="4">
        <f ca="1">(CP*(D696-K)&gt;0)*1</f>
        <v>0</v>
      </c>
      <c r="H696" s="4">
        <v>681</v>
      </c>
      <c r="I696" s="3">
        <v>0.66775277633403052</v>
      </c>
      <c r="J696" s="128">
        <v>1.169226338692894E-3</v>
      </c>
      <c r="K696" s="128"/>
      <c r="L696" s="128">
        <v>3.9199999999999999E-2</v>
      </c>
      <c r="O696" s="2"/>
    </row>
    <row r="697" spans="2:15" x14ac:dyDescent="0.2">
      <c r="B697" s="1">
        <v>682</v>
      </c>
      <c r="C697" s="5">
        <f ca="1">_xlfn.NORM.S.INV(RAND())</f>
        <v>-0.40839517577686035</v>
      </c>
      <c r="D697" s="5">
        <f ca="1">S0*EXP((μ-0.5*σ*σ)*T+σ*SQRT(T)*$C697)</f>
        <v>0.63828238811795879</v>
      </c>
      <c r="E697" s="5">
        <f ca="1">MAX(0,CP*(D697-K))</f>
        <v>0</v>
      </c>
      <c r="F697" s="4">
        <f ca="1">(CP*(D697-K)&gt;0)*1</f>
        <v>0</v>
      </c>
      <c r="H697" s="4">
        <v>682</v>
      </c>
      <c r="I697" s="3">
        <v>0.66772600649113556</v>
      </c>
      <c r="J697" s="128">
        <v>1.3313301099782554E-3</v>
      </c>
      <c r="K697" s="128"/>
      <c r="L697" s="128">
        <v>4.1799999999999997E-2</v>
      </c>
      <c r="O697" s="2"/>
    </row>
    <row r="698" spans="2:15" x14ac:dyDescent="0.2">
      <c r="B698" s="1">
        <v>683</v>
      </c>
      <c r="C698" s="5">
        <f ca="1">_xlfn.NORM.S.INV(RAND())</f>
        <v>1.4547852051860122</v>
      </c>
      <c r="D698" s="5">
        <f ca="1">S0*EXP((μ-0.5*σ*σ)*T+σ*SQRT(T)*$C698)</f>
        <v>0.76698484276581891</v>
      </c>
      <c r="E698" s="5">
        <f ca="1">MAX(0,CP*(D698-K))</f>
        <v>0</v>
      </c>
      <c r="F698" s="4">
        <f ca="1">(CP*(D698-K)&gt;0)*1</f>
        <v>0</v>
      </c>
      <c r="H698" s="4">
        <v>683</v>
      </c>
      <c r="I698" s="3">
        <v>0.66796949819995055</v>
      </c>
      <c r="J698" s="128">
        <v>1.6550310717006705E-3</v>
      </c>
      <c r="K698" s="128"/>
      <c r="L698" s="128">
        <v>5.04E-2</v>
      </c>
      <c r="O698" s="2"/>
    </row>
    <row r="699" spans="2:15" x14ac:dyDescent="0.2">
      <c r="B699" s="1">
        <v>684</v>
      </c>
      <c r="C699" s="5">
        <f ca="1">_xlfn.NORM.S.INV(RAND())</f>
        <v>-3.3881109192100529E-2</v>
      </c>
      <c r="D699" s="5">
        <f ca="1">S0*EXP((μ-0.5*σ*σ)*T+σ*SQRT(T)*$C699)</f>
        <v>0.66228977995640492</v>
      </c>
      <c r="E699" s="5">
        <f ca="1">MAX(0,CP*(D699-K))</f>
        <v>0</v>
      </c>
      <c r="F699" s="4">
        <f ca="1">(CP*(D699-K)&gt;0)*1</f>
        <v>0</v>
      </c>
      <c r="H699" s="4">
        <v>684</v>
      </c>
      <c r="I699" s="3">
        <v>0.66778745664789207</v>
      </c>
      <c r="J699" s="128">
        <v>1.3432307541460717E-3</v>
      </c>
      <c r="K699" s="128"/>
      <c r="L699" s="128">
        <v>4.2200000000000001E-2</v>
      </c>
      <c r="O699" s="2"/>
    </row>
    <row r="700" spans="2:15" x14ac:dyDescent="0.2">
      <c r="B700" s="1">
        <v>685</v>
      </c>
      <c r="C700" s="5">
        <f ca="1">_xlfn.NORM.S.INV(RAND())</f>
        <v>2.4326542246317827E-2</v>
      </c>
      <c r="D700" s="5">
        <f ca="1">S0*EXP((μ-0.5*σ*σ)*T+σ*SQRT(T)*$C700)</f>
        <v>0.66610128549988723</v>
      </c>
      <c r="E700" s="5">
        <f ca="1">MAX(0,CP*(D700-K))</f>
        <v>0</v>
      </c>
      <c r="F700" s="4">
        <f ca="1">(CP*(D700-K)&gt;0)*1</f>
        <v>0</v>
      </c>
      <c r="H700" s="4">
        <v>685</v>
      </c>
      <c r="I700" s="3">
        <v>0.66776881549685674</v>
      </c>
      <c r="J700" s="128">
        <v>1.4714130826280864E-3</v>
      </c>
      <c r="K700" s="128"/>
      <c r="L700" s="128">
        <v>4.0800000000000003E-2</v>
      </c>
      <c r="O700" s="2"/>
    </row>
    <row r="701" spans="2:15" x14ac:dyDescent="0.2">
      <c r="B701" s="1">
        <v>686</v>
      </c>
      <c r="C701" s="5">
        <f ca="1">_xlfn.NORM.S.INV(RAND())</f>
        <v>1.3504673795512883</v>
      </c>
      <c r="D701" s="5">
        <f ca="1">S0*EXP((μ-0.5*σ*σ)*T+σ*SQRT(T)*$C701)</f>
        <v>0.75913726358309142</v>
      </c>
      <c r="E701" s="5">
        <f ca="1">MAX(0,CP*(D701-K))</f>
        <v>0</v>
      </c>
      <c r="F701" s="4">
        <f ca="1">(CP*(D701-K)&gt;0)*1</f>
        <v>0</v>
      </c>
      <c r="H701" s="4">
        <v>686</v>
      </c>
      <c r="I701" s="3">
        <v>0.66764861642170725</v>
      </c>
      <c r="J701" s="128">
        <v>1.3228383814402418E-3</v>
      </c>
      <c r="K701" s="128"/>
      <c r="L701" s="128">
        <v>3.9199999999999999E-2</v>
      </c>
      <c r="O701" s="2"/>
    </row>
    <row r="702" spans="2:15" x14ac:dyDescent="0.2">
      <c r="B702" s="1">
        <v>687</v>
      </c>
      <c r="C702" s="5">
        <f ca="1">_xlfn.NORM.S.INV(RAND())</f>
        <v>-2.8826741969027356</v>
      </c>
      <c r="D702" s="5">
        <f ca="1">S0*EXP((μ-0.5*σ*σ)*T+σ*SQRT(T)*$C702)</f>
        <v>0.50011991111227072</v>
      </c>
      <c r="E702" s="5">
        <f ca="1">MAX(0,CP*(D702-K))</f>
        <v>0</v>
      </c>
      <c r="F702" s="4">
        <f ca="1">(CP*(D702-K)&gt;0)*1</f>
        <v>0</v>
      </c>
      <c r="H702" s="4">
        <v>687</v>
      </c>
      <c r="I702" s="3">
        <v>0.6675823422431485</v>
      </c>
      <c r="J702" s="128">
        <v>1.2141572016839558E-3</v>
      </c>
      <c r="K702" s="128"/>
      <c r="L702" s="128">
        <v>3.5799999999999998E-2</v>
      </c>
      <c r="O702" s="2"/>
    </row>
    <row r="703" spans="2:15" x14ac:dyDescent="0.2">
      <c r="B703" s="1">
        <v>688</v>
      </c>
      <c r="C703" s="5">
        <f ca="1">_xlfn.NORM.S.INV(RAND())</f>
        <v>0.40780503084184838</v>
      </c>
      <c r="D703" s="5">
        <f ca="1">S0*EXP((μ-0.5*σ*σ)*T+σ*SQRT(T)*$C703)</f>
        <v>0.69176611418016176</v>
      </c>
      <c r="E703" s="5">
        <f ca="1">MAX(0,CP*(D703-K))</f>
        <v>0</v>
      </c>
      <c r="F703" s="4">
        <f ca="1">(CP*(D703-K)&gt;0)*1</f>
        <v>0</v>
      </c>
      <c r="H703" s="4">
        <v>688</v>
      </c>
      <c r="I703" s="3">
        <v>0.66775406843118246</v>
      </c>
      <c r="J703" s="128">
        <v>1.2824069130817611E-3</v>
      </c>
      <c r="K703" s="128"/>
      <c r="L703" s="128">
        <v>4.1399999999999999E-2</v>
      </c>
      <c r="O703" s="2"/>
    </row>
    <row r="704" spans="2:15" x14ac:dyDescent="0.2">
      <c r="B704" s="1">
        <v>689</v>
      </c>
      <c r="C704" s="5">
        <f ca="1">_xlfn.NORM.S.INV(RAND())</f>
        <v>0.55975765724205506</v>
      </c>
      <c r="D704" s="5">
        <f ca="1">S0*EXP((μ-0.5*σ*σ)*T+σ*SQRT(T)*$C704)</f>
        <v>0.70220721473636205</v>
      </c>
      <c r="E704" s="5">
        <f ca="1">MAX(0,CP*(D704-K))</f>
        <v>0</v>
      </c>
      <c r="F704" s="4">
        <f ca="1">(CP*(D704-K)&gt;0)*1</f>
        <v>0</v>
      </c>
      <c r="H704" s="4">
        <v>689</v>
      </c>
      <c r="I704" s="3">
        <v>0.66773821829241964</v>
      </c>
      <c r="J704" s="128">
        <v>1.4013455772297013E-3</v>
      </c>
      <c r="K704" s="128"/>
      <c r="L704" s="128">
        <v>4.0599999999999997E-2</v>
      </c>
      <c r="O704" s="2"/>
    </row>
    <row r="705" spans="2:15" x14ac:dyDescent="0.2">
      <c r="B705" s="1">
        <v>690</v>
      </c>
      <c r="C705" s="5">
        <f ca="1">_xlfn.NORM.S.INV(RAND())</f>
        <v>-0.39801653415673488</v>
      </c>
      <c r="D705" s="5">
        <f ca="1">S0*EXP((μ-0.5*σ*σ)*T+σ*SQRT(T)*$C705)</f>
        <v>0.63893581545899925</v>
      </c>
      <c r="E705" s="5">
        <f ca="1">MAX(0,CP*(D705-K))</f>
        <v>0</v>
      </c>
      <c r="F705" s="4">
        <f ca="1">(CP*(D705-K)&gt;0)*1</f>
        <v>0</v>
      </c>
      <c r="H705" s="4">
        <v>690</v>
      </c>
      <c r="I705" s="3">
        <v>0.66782200558461968</v>
      </c>
      <c r="J705" s="128">
        <v>1.3675015343790631E-3</v>
      </c>
      <c r="K705" s="128"/>
      <c r="L705" s="128">
        <v>4.24E-2</v>
      </c>
      <c r="O705" s="2"/>
    </row>
    <row r="706" spans="2:15" x14ac:dyDescent="0.2">
      <c r="B706" s="1">
        <v>691</v>
      </c>
      <c r="C706" s="5">
        <f ca="1">_xlfn.NORM.S.INV(RAND())</f>
        <v>0.47569077264296122</v>
      </c>
      <c r="D706" s="5">
        <f ca="1">S0*EXP((μ-0.5*σ*σ)*T+σ*SQRT(T)*$C706)</f>
        <v>0.69641141326829137</v>
      </c>
      <c r="E706" s="5">
        <f ca="1">MAX(0,CP*(D706-K))</f>
        <v>0</v>
      </c>
      <c r="F706" s="4">
        <f ca="1">(CP*(D706-K)&gt;0)*1</f>
        <v>0</v>
      </c>
      <c r="H706" s="4">
        <v>691</v>
      </c>
      <c r="I706" s="3">
        <v>0.66762121959987841</v>
      </c>
      <c r="J706" s="128">
        <v>1.2921125853854044E-3</v>
      </c>
      <c r="K706" s="128"/>
      <c r="L706" s="128">
        <v>3.8199999999999998E-2</v>
      </c>
      <c r="O706" s="2"/>
    </row>
    <row r="707" spans="2:15" x14ac:dyDescent="0.2">
      <c r="B707" s="1">
        <v>692</v>
      </c>
      <c r="C707" s="5">
        <f ca="1">_xlfn.NORM.S.INV(RAND())</f>
        <v>2.2233187558123721</v>
      </c>
      <c r="D707" s="5">
        <f ca="1">S0*EXP((μ-0.5*σ*σ)*T+σ*SQRT(T)*$C707)</f>
        <v>0.82735578790398212</v>
      </c>
      <c r="E707" s="5">
        <f ca="1">MAX(0,CP*(D707-K))</f>
        <v>3.9155787903982109E-2</v>
      </c>
      <c r="F707" s="4">
        <f ca="1">(CP*(D707-K)&gt;0)*1</f>
        <v>1</v>
      </c>
      <c r="H707" s="4">
        <v>692</v>
      </c>
      <c r="I707" s="3">
        <v>0.66772502228033503</v>
      </c>
      <c r="J707" s="128">
        <v>1.2812422100301685E-3</v>
      </c>
      <c r="K707" s="128"/>
      <c r="L707" s="128">
        <v>4.0399999999999998E-2</v>
      </c>
      <c r="O707" s="2"/>
    </row>
    <row r="708" spans="2:15" x14ac:dyDescent="0.2">
      <c r="B708" s="1">
        <v>693</v>
      </c>
      <c r="C708" s="5">
        <f ca="1">_xlfn.NORM.S.INV(RAND())</f>
        <v>-1.897213979333042</v>
      </c>
      <c r="D708" s="5">
        <f ca="1">S0*EXP((μ-0.5*σ*σ)*T+σ*SQRT(T)*$C708)</f>
        <v>0.55114719843846005</v>
      </c>
      <c r="E708" s="5">
        <f ca="1">MAX(0,CP*(D708-K))</f>
        <v>0</v>
      </c>
      <c r="F708" s="4">
        <f ca="1">(CP*(D708-K)&gt;0)*1</f>
        <v>0</v>
      </c>
      <c r="H708" s="4">
        <v>693</v>
      </c>
      <c r="I708" s="3">
        <v>0.66782736467702009</v>
      </c>
      <c r="J708" s="128">
        <v>1.4177293199383869E-3</v>
      </c>
      <c r="K708" s="128"/>
      <c r="L708" s="128">
        <v>4.6399999999999997E-2</v>
      </c>
      <c r="O708" s="2"/>
    </row>
    <row r="709" spans="2:15" x14ac:dyDescent="0.2">
      <c r="B709" s="1">
        <v>694</v>
      </c>
      <c r="C709" s="5">
        <f ca="1">_xlfn.NORM.S.INV(RAND())</f>
        <v>-0.47346427644992539</v>
      </c>
      <c r="D709" s="5">
        <f ca="1">S0*EXP((μ-0.5*σ*σ)*T+σ*SQRT(T)*$C709)</f>
        <v>0.63420091320219518</v>
      </c>
      <c r="E709" s="5">
        <f ca="1">MAX(0,CP*(D709-K))</f>
        <v>0</v>
      </c>
      <c r="F709" s="4">
        <f ca="1">(CP*(D709-K)&gt;0)*1</f>
        <v>0</v>
      </c>
      <c r="H709" s="4">
        <v>694</v>
      </c>
      <c r="I709" s="3">
        <v>0.6676752819077717</v>
      </c>
      <c r="J709" s="128">
        <v>1.260880565292949E-3</v>
      </c>
      <c r="K709" s="128"/>
      <c r="L709" s="128">
        <v>3.9199999999999999E-2</v>
      </c>
      <c r="O709" s="2"/>
    </row>
    <row r="710" spans="2:15" x14ac:dyDescent="0.2">
      <c r="B710" s="1">
        <v>695</v>
      </c>
      <c r="C710" s="5">
        <f ca="1">_xlfn.NORM.S.INV(RAND())</f>
        <v>-0.54485133250424167</v>
      </c>
      <c r="D710" s="5">
        <f ca="1">S0*EXP((μ-0.5*σ*σ)*T+σ*SQRT(T)*$C710)</f>
        <v>0.62975315982230373</v>
      </c>
      <c r="E710" s="5">
        <f ca="1">MAX(0,CP*(D710-K))</f>
        <v>0</v>
      </c>
      <c r="F710" s="4">
        <f ca="1">(CP*(D710-K)&gt;0)*1</f>
        <v>0</v>
      </c>
      <c r="H710" s="4">
        <v>695</v>
      </c>
      <c r="I710" s="3">
        <v>0.66780288943255284</v>
      </c>
      <c r="J710" s="128">
        <v>1.4737181882651133E-3</v>
      </c>
      <c r="K710" s="128"/>
      <c r="L710" s="128">
        <v>4.1200000000000001E-2</v>
      </c>
      <c r="O710" s="2"/>
    </row>
    <row r="711" spans="2:15" x14ac:dyDescent="0.2">
      <c r="B711" s="1">
        <v>696</v>
      </c>
      <c r="C711" s="5">
        <f ca="1">_xlfn.NORM.S.INV(RAND())</f>
        <v>0.24102812918420519</v>
      </c>
      <c r="D711" s="5">
        <f ca="1">S0*EXP((μ-0.5*σ*σ)*T+σ*SQRT(T)*$C711)</f>
        <v>0.68048501443998566</v>
      </c>
      <c r="E711" s="5">
        <f ca="1">MAX(0,CP*(D711-K))</f>
        <v>0</v>
      </c>
      <c r="F711" s="4">
        <f ca="1">(CP*(D711-K)&gt;0)*1</f>
        <v>0</v>
      </c>
      <c r="H711" s="4">
        <v>696</v>
      </c>
      <c r="I711" s="3">
        <v>0.66769402940427858</v>
      </c>
      <c r="J711" s="128">
        <v>1.3395506049789147E-3</v>
      </c>
      <c r="K711" s="128"/>
      <c r="L711" s="128">
        <v>0.04</v>
      </c>
      <c r="O711" s="2"/>
    </row>
    <row r="712" spans="2:15" x14ac:dyDescent="0.2">
      <c r="B712" s="1">
        <v>697</v>
      </c>
      <c r="C712" s="5">
        <f ca="1">_xlfn.NORM.S.INV(RAND())</f>
        <v>-0.72611203983489736</v>
      </c>
      <c r="D712" s="5">
        <f ca="1">S0*EXP((μ-0.5*σ*σ)*T+σ*SQRT(T)*$C712)</f>
        <v>0.61859940493905652</v>
      </c>
      <c r="E712" s="5">
        <f ca="1">MAX(0,CP*(D712-K))</f>
        <v>0</v>
      </c>
      <c r="F712" s="4">
        <f ca="1">(CP*(D712-K)&gt;0)*1</f>
        <v>0</v>
      </c>
      <c r="H712" s="4">
        <v>697</v>
      </c>
      <c r="I712" s="3">
        <v>0.66763086002569438</v>
      </c>
      <c r="J712" s="128">
        <v>1.2388865561381516E-3</v>
      </c>
      <c r="K712" s="128"/>
      <c r="L712" s="128">
        <v>3.7600000000000001E-2</v>
      </c>
      <c r="O712" s="2"/>
    </row>
    <row r="713" spans="2:15" x14ac:dyDescent="0.2">
      <c r="B713" s="1">
        <v>698</v>
      </c>
      <c r="C713" s="5">
        <f ca="1">_xlfn.NORM.S.INV(RAND())</f>
        <v>-0.80121266218369402</v>
      </c>
      <c r="D713" s="5">
        <f ca="1">S0*EXP((μ-0.5*σ*σ)*T+σ*SQRT(T)*$C713)</f>
        <v>0.61403622081904041</v>
      </c>
      <c r="E713" s="5">
        <f ca="1">MAX(0,CP*(D713-K))</f>
        <v>0</v>
      </c>
      <c r="F713" s="4">
        <f ca="1">(CP*(D713-K)&gt;0)*1</f>
        <v>0</v>
      </c>
      <c r="H713" s="4">
        <v>698</v>
      </c>
      <c r="I713" s="3">
        <v>0.66780690849357294</v>
      </c>
      <c r="J713" s="128">
        <v>1.4408111191957181E-3</v>
      </c>
      <c r="K713" s="128"/>
      <c r="L713" s="128">
        <v>4.36E-2</v>
      </c>
      <c r="O713" s="2"/>
    </row>
    <row r="714" spans="2:15" x14ac:dyDescent="0.2">
      <c r="B714" s="1">
        <v>699</v>
      </c>
      <c r="C714" s="5">
        <f ca="1">_xlfn.NORM.S.INV(RAND())</f>
        <v>-8.4617467987457909E-2</v>
      </c>
      <c r="D714" s="5">
        <f ca="1">S0*EXP((μ-0.5*σ*σ)*T+σ*SQRT(T)*$C714)</f>
        <v>0.65898529819849128</v>
      </c>
      <c r="E714" s="5">
        <f ca="1">MAX(0,CP*(D714-K))</f>
        <v>0</v>
      </c>
      <c r="F714" s="4">
        <f ca="1">(CP*(D714-K)&gt;0)*1</f>
        <v>0</v>
      </c>
      <c r="H714" s="4">
        <v>699</v>
      </c>
      <c r="I714" s="3">
        <v>0.66771399037633716</v>
      </c>
      <c r="J714" s="128">
        <v>1.2849856972274381E-3</v>
      </c>
      <c r="K714" s="128"/>
      <c r="L714" s="128">
        <v>4.2200000000000001E-2</v>
      </c>
      <c r="O714" s="2"/>
    </row>
    <row r="715" spans="2:15" x14ac:dyDescent="0.2">
      <c r="B715" s="1">
        <v>700</v>
      </c>
      <c r="C715" s="5">
        <f ca="1">_xlfn.NORM.S.INV(RAND())</f>
        <v>0.76443065099534946</v>
      </c>
      <c r="D715" s="5">
        <f ca="1">S0*EXP((μ-0.5*σ*σ)*T+σ*SQRT(T)*$C715)</f>
        <v>0.71652040869489908</v>
      </c>
      <c r="E715" s="5">
        <f ca="1">MAX(0,CP*(D715-K))</f>
        <v>0</v>
      </c>
      <c r="F715" s="4">
        <f ca="1">(CP*(D715-K)&gt;0)*1</f>
        <v>0</v>
      </c>
      <c r="H715" s="4">
        <v>700</v>
      </c>
      <c r="I715" s="3">
        <v>0.66787555537851628</v>
      </c>
      <c r="J715" s="128">
        <v>1.5288812065205311E-3</v>
      </c>
      <c r="K715" s="128"/>
      <c r="L715" s="128">
        <v>4.3999999999999997E-2</v>
      </c>
      <c r="O715" s="2"/>
    </row>
    <row r="716" spans="2:15" x14ac:dyDescent="0.2">
      <c r="B716" s="1">
        <v>701</v>
      </c>
      <c r="C716" s="5">
        <f ca="1">_xlfn.NORM.S.INV(RAND())</f>
        <v>1.0987387044151706</v>
      </c>
      <c r="D716" s="5">
        <f ca="1">S0*EXP((μ-0.5*σ*σ)*T+σ*SQRT(T)*$C716)</f>
        <v>0.74052938519948919</v>
      </c>
      <c r="E716" s="5">
        <f ca="1">MAX(0,CP*(D716-K))</f>
        <v>0</v>
      </c>
      <c r="F716" s="4">
        <f ca="1">(CP*(D716-K)&gt;0)*1</f>
        <v>0</v>
      </c>
      <c r="H716" s="4">
        <v>701</v>
      </c>
      <c r="I716" s="3">
        <v>0.66786203999011273</v>
      </c>
      <c r="J716" s="128">
        <v>1.5902101685024233E-3</v>
      </c>
      <c r="K716" s="128"/>
      <c r="L716" s="128">
        <v>4.6600000000000003E-2</v>
      </c>
      <c r="O716" s="2"/>
    </row>
    <row r="717" spans="2:15" x14ac:dyDescent="0.2">
      <c r="B717" s="1">
        <v>702</v>
      </c>
      <c r="C717" s="5">
        <f ca="1">_xlfn.NORM.S.INV(RAND())</f>
        <v>1.017158160102172</v>
      </c>
      <c r="D717" s="5">
        <f ca="1">S0*EXP((μ-0.5*σ*σ)*T+σ*SQRT(T)*$C717)</f>
        <v>0.73459732826989566</v>
      </c>
      <c r="E717" s="5">
        <f ca="1">MAX(0,CP*(D717-K))</f>
        <v>0</v>
      </c>
      <c r="F717" s="4">
        <f ca="1">(CP*(D717-K)&gt;0)*1</f>
        <v>0</v>
      </c>
      <c r="H717" s="4">
        <v>702</v>
      </c>
      <c r="I717" s="3">
        <v>0.66768268243245243</v>
      </c>
      <c r="J717" s="128">
        <v>1.2118691428667711E-3</v>
      </c>
      <c r="K717" s="128"/>
      <c r="L717" s="128">
        <v>3.6799999999999999E-2</v>
      </c>
      <c r="O717" s="2"/>
    </row>
    <row r="718" spans="2:15" x14ac:dyDescent="0.2">
      <c r="B718" s="1">
        <v>703</v>
      </c>
      <c r="C718" s="5">
        <f ca="1">_xlfn.NORM.S.INV(RAND())</f>
        <v>-0.54071118110876859</v>
      </c>
      <c r="D718" s="5">
        <f ca="1">S0*EXP((μ-0.5*σ*σ)*T+σ*SQRT(T)*$C718)</f>
        <v>0.63001025677773248</v>
      </c>
      <c r="E718" s="5">
        <f ca="1">MAX(0,CP*(D718-K))</f>
        <v>0</v>
      </c>
      <c r="F718" s="4">
        <f ca="1">(CP*(D718-K)&gt;0)*1</f>
        <v>0</v>
      </c>
      <c r="H718" s="4">
        <v>703</v>
      </c>
      <c r="I718" s="3">
        <v>0.66767941741503745</v>
      </c>
      <c r="J718" s="128">
        <v>1.3215337743517014E-3</v>
      </c>
      <c r="K718" s="128"/>
      <c r="L718" s="128">
        <v>4.02E-2</v>
      </c>
      <c r="O718" s="2"/>
    </row>
    <row r="719" spans="2:15" x14ac:dyDescent="0.2">
      <c r="B719" s="1">
        <v>704</v>
      </c>
      <c r="C719" s="5">
        <f ca="1">_xlfn.NORM.S.INV(RAND())</f>
        <v>0.42044053512883683</v>
      </c>
      <c r="D719" s="5">
        <f ca="1">S0*EXP((μ-0.5*σ*σ)*T+σ*SQRT(T)*$C719)</f>
        <v>0.69262838584190234</v>
      </c>
      <c r="E719" s="5">
        <f ca="1">MAX(0,CP*(D719-K))</f>
        <v>0</v>
      </c>
      <c r="F719" s="4">
        <f ca="1">(CP*(D719-K)&gt;0)*1</f>
        <v>0</v>
      </c>
      <c r="H719" s="4">
        <v>704</v>
      </c>
      <c r="I719" s="3">
        <v>0.66776772449307054</v>
      </c>
      <c r="J719" s="128">
        <v>1.4001563840687779E-3</v>
      </c>
      <c r="K719" s="128"/>
      <c r="L719" s="128">
        <v>4.0800000000000003E-2</v>
      </c>
      <c r="O719" s="2"/>
    </row>
    <row r="720" spans="2:15" x14ac:dyDescent="0.2">
      <c r="B720" s="1">
        <v>705</v>
      </c>
      <c r="C720" s="5">
        <f ca="1">_xlfn.NORM.S.INV(RAND())</f>
        <v>0.69244207831713334</v>
      </c>
      <c r="D720" s="5">
        <f ca="1">S0*EXP((μ-0.5*σ*σ)*T+σ*SQRT(T)*$C720)</f>
        <v>0.71145314355799805</v>
      </c>
      <c r="E720" s="5">
        <f ca="1">MAX(0,CP*(D720-K))</f>
        <v>0</v>
      </c>
      <c r="F720" s="4">
        <f ca="1">(CP*(D720-K)&gt;0)*1</f>
        <v>0</v>
      </c>
      <c r="H720" s="4">
        <v>705</v>
      </c>
      <c r="I720" s="3">
        <v>0.66779589486642954</v>
      </c>
      <c r="J720" s="128">
        <v>1.4795596655422297E-3</v>
      </c>
      <c r="K720" s="128"/>
      <c r="L720" s="128">
        <v>4.1200000000000001E-2</v>
      </c>
      <c r="O720" s="2"/>
    </row>
    <row r="721" spans="2:15" x14ac:dyDescent="0.2">
      <c r="B721" s="1">
        <v>706</v>
      </c>
      <c r="C721" s="5">
        <f ca="1">_xlfn.NORM.S.INV(RAND())</f>
        <v>-0.9275634995454366</v>
      </c>
      <c r="D721" s="5">
        <f ca="1">S0*EXP((μ-0.5*σ*σ)*T+σ*SQRT(T)*$C721)</f>
        <v>0.60643485340837022</v>
      </c>
      <c r="E721" s="5">
        <f ca="1">MAX(0,CP*(D721-K))</f>
        <v>0</v>
      </c>
      <c r="F721" s="4">
        <f ca="1">(CP*(D721-K)&gt;0)*1</f>
        <v>0</v>
      </c>
      <c r="H721" s="4">
        <v>706</v>
      </c>
      <c r="I721" s="3">
        <v>0.66758584355027251</v>
      </c>
      <c r="J721" s="128">
        <v>1.2183857313764746E-3</v>
      </c>
      <c r="K721" s="128"/>
      <c r="L721" s="128">
        <v>3.6400000000000002E-2</v>
      </c>
      <c r="O721" s="2"/>
    </row>
    <row r="722" spans="2:15" x14ac:dyDescent="0.2">
      <c r="B722" s="1">
        <v>707</v>
      </c>
      <c r="C722" s="5">
        <f ca="1">_xlfn.NORM.S.INV(RAND())</f>
        <v>2.2277026790333831</v>
      </c>
      <c r="D722" s="5">
        <f ca="1">S0*EXP((μ-0.5*σ*σ)*T+σ*SQRT(T)*$C722)</f>
        <v>0.82771344827586735</v>
      </c>
      <c r="E722" s="5">
        <f ca="1">MAX(0,CP*(D722-K))</f>
        <v>3.9513448275867336E-2</v>
      </c>
      <c r="F722" s="4">
        <f ca="1">(CP*(D722-K)&gt;0)*1</f>
        <v>1</v>
      </c>
      <c r="H722" s="4">
        <v>707</v>
      </c>
      <c r="I722" s="3">
        <v>0.66781420660198798</v>
      </c>
      <c r="J722" s="128">
        <v>1.4640716008236907E-3</v>
      </c>
      <c r="K722" s="128"/>
      <c r="L722" s="128">
        <v>4.3799999999999999E-2</v>
      </c>
      <c r="O722" s="2"/>
    </row>
    <row r="723" spans="2:15" x14ac:dyDescent="0.2">
      <c r="B723" s="1">
        <v>708</v>
      </c>
      <c r="C723" s="5">
        <f ca="1">_xlfn.NORM.S.INV(RAND())</f>
        <v>0.76740801108271151</v>
      </c>
      <c r="D723" s="5">
        <f ca="1">S0*EXP((μ-0.5*σ*σ)*T+σ*SQRT(T)*$C723)</f>
        <v>0.71673076008605252</v>
      </c>
      <c r="E723" s="5">
        <f ca="1">MAX(0,CP*(D723-K))</f>
        <v>0</v>
      </c>
      <c r="F723" s="4">
        <f ca="1">(CP*(D723-K)&gt;0)*1</f>
        <v>0</v>
      </c>
      <c r="H723" s="4">
        <v>708</v>
      </c>
      <c r="I723" s="3">
        <v>0.66767932298476207</v>
      </c>
      <c r="J723" s="128">
        <v>1.31181524369244E-3</v>
      </c>
      <c r="K723" s="128"/>
      <c r="L723" s="128">
        <v>4.1799999999999997E-2</v>
      </c>
      <c r="O723" s="2"/>
    </row>
    <row r="724" spans="2:15" x14ac:dyDescent="0.2">
      <c r="B724" s="1">
        <v>709</v>
      </c>
      <c r="C724" s="5">
        <f ca="1">_xlfn.NORM.S.INV(RAND())</f>
        <v>-0.68388102359277436</v>
      </c>
      <c r="D724" s="5">
        <f ca="1">S0*EXP((μ-0.5*σ*σ)*T+σ*SQRT(T)*$C724)</f>
        <v>0.62118028098000178</v>
      </c>
      <c r="E724" s="5">
        <f ca="1">MAX(0,CP*(D724-K))</f>
        <v>0</v>
      </c>
      <c r="F724" s="4">
        <f ca="1">(CP*(D724-K)&gt;0)*1</f>
        <v>0</v>
      </c>
      <c r="H724" s="4">
        <v>709</v>
      </c>
      <c r="I724" s="3">
        <v>0.66782429350205508</v>
      </c>
      <c r="J724" s="128">
        <v>1.3464104667929328E-3</v>
      </c>
      <c r="K724" s="128"/>
      <c r="L724" s="128">
        <v>4.2599999999999999E-2</v>
      </c>
      <c r="O724" s="2"/>
    </row>
    <row r="725" spans="2:15" x14ac:dyDescent="0.2">
      <c r="B725" s="1">
        <v>710</v>
      </c>
      <c r="C725" s="5">
        <f ca="1">_xlfn.NORM.S.INV(RAND())</f>
        <v>0.82502836971048676</v>
      </c>
      <c r="D725" s="5">
        <f ca="1">S0*EXP((μ-0.5*σ*σ)*T+σ*SQRT(T)*$C725)</f>
        <v>0.7208138396381838</v>
      </c>
      <c r="E725" s="5">
        <f ca="1">MAX(0,CP*(D725-K))</f>
        <v>0</v>
      </c>
      <c r="F725" s="4">
        <f ca="1">(CP*(D725-K)&gt;0)*1</f>
        <v>0</v>
      </c>
      <c r="H725" s="4">
        <v>710</v>
      </c>
      <c r="I725" s="3">
        <v>0.66778531358936433</v>
      </c>
      <c r="J725" s="128">
        <v>1.3208904388275059E-3</v>
      </c>
      <c r="K725" s="128"/>
      <c r="L725" s="128">
        <v>4.5199999999999997E-2</v>
      </c>
      <c r="O725" s="2"/>
    </row>
    <row r="726" spans="2:15" x14ac:dyDescent="0.2">
      <c r="B726" s="1">
        <v>711</v>
      </c>
      <c r="C726" s="5">
        <f ca="1">_xlfn.NORM.S.INV(RAND())</f>
        <v>9.5434935685151351E-2</v>
      </c>
      <c r="D726" s="5">
        <f ca="1">S0*EXP((μ-0.5*σ*σ)*T+σ*SQRT(T)*$C726)</f>
        <v>0.6707873259876882</v>
      </c>
      <c r="E726" s="5">
        <f ca="1">MAX(0,CP*(D726-K))</f>
        <v>0</v>
      </c>
      <c r="F726" s="4">
        <f ca="1">(CP*(D726-K)&gt;0)*1</f>
        <v>0</v>
      </c>
      <c r="H726" s="4">
        <v>711</v>
      </c>
      <c r="I726" s="3">
        <v>0.66786930885676987</v>
      </c>
      <c r="J726" s="128">
        <v>1.487515344229859E-3</v>
      </c>
      <c r="K726" s="128"/>
      <c r="L726" s="128">
        <v>4.4200000000000003E-2</v>
      </c>
      <c r="O726" s="2"/>
    </row>
    <row r="727" spans="2:15" x14ac:dyDescent="0.2">
      <c r="B727" s="1">
        <v>712</v>
      </c>
      <c r="C727" s="5">
        <f ca="1">_xlfn.NORM.S.INV(RAND())</f>
        <v>0.41275138522630106</v>
      </c>
      <c r="D727" s="5">
        <f ca="1">S0*EXP((μ-0.5*σ*σ)*T+σ*SQRT(T)*$C727)</f>
        <v>0.69210353519657286</v>
      </c>
      <c r="E727" s="5">
        <f ca="1">MAX(0,CP*(D727-K))</f>
        <v>0</v>
      </c>
      <c r="F727" s="4">
        <f ca="1">(CP*(D727-K)&gt;0)*1</f>
        <v>0</v>
      </c>
      <c r="H727" s="4">
        <v>712</v>
      </c>
      <c r="I727" s="3">
        <v>0.66771692712652286</v>
      </c>
      <c r="J727" s="128">
        <v>1.4136544238117067E-3</v>
      </c>
      <c r="K727" s="128"/>
      <c r="L727" s="128">
        <v>3.8600000000000002E-2</v>
      </c>
      <c r="O727" s="2"/>
    </row>
    <row r="728" spans="2:15" x14ac:dyDescent="0.2">
      <c r="B728" s="1">
        <v>713</v>
      </c>
      <c r="C728" s="5">
        <f ca="1">_xlfn.NORM.S.INV(RAND())</f>
        <v>-0.6763243425646478</v>
      </c>
      <c r="D728" s="5">
        <f ca="1">S0*EXP((μ-0.5*σ*σ)*T+σ*SQRT(T)*$C728)</f>
        <v>0.62164322902625913</v>
      </c>
      <c r="E728" s="5">
        <f ca="1">MAX(0,CP*(D728-K))</f>
        <v>0</v>
      </c>
      <c r="F728" s="4">
        <f ca="1">(CP*(D728-K)&gt;0)*1</f>
        <v>0</v>
      </c>
      <c r="H728" s="4">
        <v>713</v>
      </c>
      <c r="I728" s="3">
        <v>0.66781994850908166</v>
      </c>
      <c r="J728" s="128">
        <v>1.3905489962410006E-3</v>
      </c>
      <c r="K728" s="128"/>
      <c r="L728" s="128">
        <v>4.4600000000000001E-2</v>
      </c>
      <c r="O728" s="2"/>
    </row>
    <row r="729" spans="2:15" x14ac:dyDescent="0.2">
      <c r="B729" s="1">
        <v>714</v>
      </c>
      <c r="C729" s="5">
        <f ca="1">_xlfn.NORM.S.INV(RAND())</f>
        <v>0.74907920240862069</v>
      </c>
      <c r="D729" s="5">
        <f ca="1">S0*EXP((μ-0.5*σ*σ)*T+σ*SQRT(T)*$C729)</f>
        <v>0.71543680358179496</v>
      </c>
      <c r="E729" s="5">
        <f ca="1">MAX(0,CP*(D729-K))</f>
        <v>0</v>
      </c>
      <c r="F729" s="4">
        <f ca="1">(CP*(D729-K)&gt;0)*1</f>
        <v>0</v>
      </c>
      <c r="H729" s="4">
        <v>714</v>
      </c>
      <c r="I729" s="3">
        <v>0.66771352598607769</v>
      </c>
      <c r="J729" s="128">
        <v>1.3652833124873465E-3</v>
      </c>
      <c r="K729" s="128"/>
      <c r="L729" s="128">
        <v>4.02E-2</v>
      </c>
      <c r="O729" s="2"/>
    </row>
    <row r="730" spans="2:15" x14ac:dyDescent="0.2">
      <c r="B730" s="1">
        <v>715</v>
      </c>
      <c r="C730" s="5">
        <f ca="1">_xlfn.NORM.S.INV(RAND())</f>
        <v>0.53182418141216314</v>
      </c>
      <c r="D730" s="5">
        <f ca="1">S0*EXP((μ-0.5*σ*σ)*T+σ*SQRT(T)*$C730)</f>
        <v>0.70027607311293272</v>
      </c>
      <c r="E730" s="5">
        <f ca="1">MAX(0,CP*(D730-K))</f>
        <v>0</v>
      </c>
      <c r="F730" s="4">
        <f ca="1">(CP*(D730-K)&gt;0)*1</f>
        <v>0</v>
      </c>
      <c r="H730" s="4">
        <v>715</v>
      </c>
      <c r="I730" s="3">
        <v>0.66791041705996612</v>
      </c>
      <c r="J730" s="128">
        <v>1.4743716281977852E-3</v>
      </c>
      <c r="K730" s="128"/>
      <c r="L730" s="128">
        <v>0.05</v>
      </c>
      <c r="O730" s="2"/>
    </row>
    <row r="731" spans="2:15" x14ac:dyDescent="0.2">
      <c r="B731" s="1">
        <v>716</v>
      </c>
      <c r="C731" s="5">
        <f ca="1">_xlfn.NORM.S.INV(RAND())</f>
        <v>0.35620211301053184</v>
      </c>
      <c r="D731" s="5">
        <f ca="1">S0*EXP((μ-0.5*σ*σ)*T+σ*SQRT(T)*$C731)</f>
        <v>0.68825575935235372</v>
      </c>
      <c r="E731" s="5">
        <f ca="1">MAX(0,CP*(D731-K))</f>
        <v>0</v>
      </c>
      <c r="F731" s="4">
        <f ca="1">(CP*(D731-K)&gt;0)*1</f>
        <v>0</v>
      </c>
      <c r="H731" s="4">
        <v>716</v>
      </c>
      <c r="I731" s="3">
        <v>0.66771039257942</v>
      </c>
      <c r="J731" s="128">
        <v>1.3685874570158261E-3</v>
      </c>
      <c r="K731" s="128"/>
      <c r="L731" s="128">
        <v>4.0800000000000003E-2</v>
      </c>
      <c r="O731" s="2"/>
    </row>
    <row r="732" spans="2:15" x14ac:dyDescent="0.2">
      <c r="B732" s="1">
        <v>717</v>
      </c>
      <c r="C732" s="5">
        <f ca="1">_xlfn.NORM.S.INV(RAND())</f>
        <v>1.3191208847764069</v>
      </c>
      <c r="D732" s="5">
        <f ca="1">S0*EXP((μ-0.5*σ*σ)*T+σ*SQRT(T)*$C732)</f>
        <v>0.75679486863893597</v>
      </c>
      <c r="E732" s="5">
        <f ca="1">MAX(0,CP*(D732-K))</f>
        <v>0</v>
      </c>
      <c r="F732" s="4">
        <f ca="1">(CP*(D732-K)&gt;0)*1</f>
        <v>0</v>
      </c>
      <c r="H732" s="4">
        <v>717</v>
      </c>
      <c r="I732" s="3">
        <v>0.66800067745332536</v>
      </c>
      <c r="J732" s="128">
        <v>1.8622348374592874E-3</v>
      </c>
      <c r="K732" s="128"/>
      <c r="L732" s="128">
        <v>4.9599999999999998E-2</v>
      </c>
      <c r="O732" s="2"/>
    </row>
    <row r="733" spans="2:15" x14ac:dyDescent="0.2">
      <c r="B733" s="1">
        <v>718</v>
      </c>
      <c r="C733" s="5">
        <f ca="1">_xlfn.NORM.S.INV(RAND())</f>
        <v>0.45930897732539078</v>
      </c>
      <c r="D733" s="5">
        <f ca="1">S0*EXP((μ-0.5*σ*σ)*T+σ*SQRT(T)*$C733)</f>
        <v>0.69528758890815046</v>
      </c>
      <c r="E733" s="5">
        <f ca="1">MAX(0,CP*(D733-K))</f>
        <v>0</v>
      </c>
      <c r="F733" s="4">
        <f ca="1">(CP*(D733-K)&gt;0)*1</f>
        <v>0</v>
      </c>
      <c r="H733" s="4">
        <v>718</v>
      </c>
      <c r="I733" s="3">
        <v>0.6678456177740858</v>
      </c>
      <c r="J733" s="128">
        <v>1.4257573212434018E-3</v>
      </c>
      <c r="K733" s="128"/>
      <c r="L733" s="128">
        <v>4.2799999999999998E-2</v>
      </c>
      <c r="O733" s="2"/>
    </row>
    <row r="734" spans="2:15" x14ac:dyDescent="0.2">
      <c r="B734" s="1">
        <v>719</v>
      </c>
      <c r="C734" s="5">
        <f ca="1">_xlfn.NORM.S.INV(RAND())</f>
        <v>0.65708763338918641</v>
      </c>
      <c r="D734" s="5">
        <f ca="1">S0*EXP((μ-0.5*σ*σ)*T+σ*SQRT(T)*$C734)</f>
        <v>0.70897768649250914</v>
      </c>
      <c r="E734" s="5">
        <f ca="1">MAX(0,CP*(D734-K))</f>
        <v>0</v>
      </c>
      <c r="F734" s="4">
        <f ca="1">(CP*(D734-K)&gt;0)*1</f>
        <v>0</v>
      </c>
      <c r="H734" s="4">
        <v>719</v>
      </c>
      <c r="I734" s="3">
        <v>0.66790109653900009</v>
      </c>
      <c r="J734" s="128">
        <v>1.5470064853026456E-3</v>
      </c>
      <c r="K734" s="128"/>
      <c r="L734" s="128">
        <v>4.4600000000000001E-2</v>
      </c>
      <c r="O734" s="2"/>
    </row>
    <row r="735" spans="2:15" x14ac:dyDescent="0.2">
      <c r="B735" s="1">
        <v>720</v>
      </c>
      <c r="C735" s="5">
        <f ca="1">_xlfn.NORM.S.INV(RAND())</f>
        <v>-1.5157305504792051</v>
      </c>
      <c r="D735" s="5">
        <f ca="1">S0*EXP((μ-0.5*σ*σ)*T+σ*SQRT(T)*$C735)</f>
        <v>0.57227028573126681</v>
      </c>
      <c r="E735" s="5">
        <f ca="1">MAX(0,CP*(D735-K))</f>
        <v>0</v>
      </c>
      <c r="F735" s="4">
        <f ca="1">(CP*(D735-K)&gt;0)*1</f>
        <v>0</v>
      </c>
      <c r="H735" s="4">
        <v>720</v>
      </c>
      <c r="I735" s="3">
        <v>0.66760865039650796</v>
      </c>
      <c r="J735" s="128">
        <v>1.2558113608788367E-3</v>
      </c>
      <c r="K735" s="128"/>
      <c r="L735" s="128">
        <v>4.02E-2</v>
      </c>
      <c r="O735" s="2"/>
    </row>
    <row r="736" spans="2:15" x14ac:dyDescent="0.2">
      <c r="B736" s="1">
        <v>721</v>
      </c>
      <c r="C736" s="5">
        <f ca="1">_xlfn.NORM.S.INV(RAND())</f>
        <v>-1.1991723109288148</v>
      </c>
      <c r="D736" s="5">
        <f ca="1">S0*EXP((μ-0.5*σ*σ)*T+σ*SQRT(T)*$C736)</f>
        <v>0.59041169585325515</v>
      </c>
      <c r="E736" s="5">
        <f ca="1">MAX(0,CP*(D736-K))</f>
        <v>0</v>
      </c>
      <c r="F736" s="4">
        <f ca="1">(CP*(D736-K)&gt;0)*1</f>
        <v>0</v>
      </c>
      <c r="H736" s="4">
        <v>721</v>
      </c>
      <c r="I736" s="3">
        <v>0.66763709267834925</v>
      </c>
      <c r="J736" s="128">
        <v>1.3319267871199981E-3</v>
      </c>
      <c r="K736" s="128"/>
      <c r="L736" s="128">
        <v>3.5999999999999997E-2</v>
      </c>
      <c r="O736" s="2"/>
    </row>
    <row r="737" spans="2:15" x14ac:dyDescent="0.2">
      <c r="B737" s="1">
        <v>722</v>
      </c>
      <c r="C737" s="5">
        <f ca="1">_xlfn.NORM.S.INV(RAND())</f>
        <v>1.6945503068274035</v>
      </c>
      <c r="D737" s="5">
        <f ca="1">S0*EXP((μ-0.5*σ*σ)*T+σ*SQRT(T)*$C737)</f>
        <v>0.78533067738659013</v>
      </c>
      <c r="E737" s="5">
        <f ca="1">MAX(0,CP*(D737-K))</f>
        <v>0</v>
      </c>
      <c r="F737" s="4">
        <f ca="1">(CP*(D737-K)&gt;0)*1</f>
        <v>0</v>
      </c>
      <c r="H737" s="4">
        <v>722</v>
      </c>
      <c r="I737" s="3">
        <v>0.66774457640589835</v>
      </c>
      <c r="J737" s="128">
        <v>1.3766369415496083E-3</v>
      </c>
      <c r="K737" s="128"/>
      <c r="L737" s="128">
        <v>4.3200000000000002E-2</v>
      </c>
      <c r="O737" s="2"/>
    </row>
    <row r="738" spans="2:15" x14ac:dyDescent="0.2">
      <c r="B738" s="1">
        <v>723</v>
      </c>
      <c r="C738" s="5">
        <f ca="1">_xlfn.NORM.S.INV(RAND())</f>
        <v>0.18828866621887752</v>
      </c>
      <c r="D738" s="5">
        <f ca="1">S0*EXP((μ-0.5*σ*σ)*T+σ*SQRT(T)*$C738)</f>
        <v>0.67695604878006488</v>
      </c>
      <c r="E738" s="5">
        <f ca="1">MAX(0,CP*(D738-K))</f>
        <v>0</v>
      </c>
      <c r="F738" s="4">
        <f ca="1">(CP*(D738-K)&gt;0)*1</f>
        <v>0</v>
      </c>
      <c r="H738" s="4">
        <v>723</v>
      </c>
      <c r="I738" s="3">
        <v>0.66780290150785404</v>
      </c>
      <c r="J738" s="128">
        <v>1.3992628292748832E-3</v>
      </c>
      <c r="K738" s="128"/>
      <c r="L738" s="128">
        <v>4.3799999999999999E-2</v>
      </c>
      <c r="O738" s="2"/>
    </row>
    <row r="739" spans="2:15" x14ac:dyDescent="0.2">
      <c r="B739" s="1">
        <v>724</v>
      </c>
      <c r="C739" s="5">
        <f ca="1">_xlfn.NORM.S.INV(RAND())</f>
        <v>-0.13061878456051756</v>
      </c>
      <c r="D739" s="5">
        <f ca="1">S0*EXP((μ-0.5*σ*σ)*T+σ*SQRT(T)*$C739)</f>
        <v>0.65600346542430155</v>
      </c>
      <c r="E739" s="5">
        <f ca="1">MAX(0,CP*(D739-K))</f>
        <v>0</v>
      </c>
      <c r="F739" s="4">
        <f ca="1">(CP*(D739-K)&gt;0)*1</f>
        <v>0</v>
      </c>
      <c r="H739" s="4">
        <v>724</v>
      </c>
      <c r="I739" s="3">
        <v>0.66775642432958804</v>
      </c>
      <c r="J739" s="128">
        <v>1.1733499533281315E-3</v>
      </c>
      <c r="K739" s="128"/>
      <c r="L739" s="128">
        <v>4.2200000000000001E-2</v>
      </c>
      <c r="O739" s="2"/>
    </row>
    <row r="740" spans="2:15" x14ac:dyDescent="0.2">
      <c r="B740" s="1">
        <v>725</v>
      </c>
      <c r="C740" s="5">
        <f ca="1">_xlfn.NORM.S.INV(RAND())</f>
        <v>0.60677548614459131</v>
      </c>
      <c r="D740" s="5">
        <f ca="1">S0*EXP((μ-0.5*σ*σ)*T+σ*SQRT(T)*$C740)</f>
        <v>0.70546975984778959</v>
      </c>
      <c r="E740" s="5">
        <f ca="1">MAX(0,CP*(D740-K))</f>
        <v>0</v>
      </c>
      <c r="F740" s="4">
        <f ca="1">(CP*(D740-K)&gt;0)*1</f>
        <v>0</v>
      </c>
      <c r="H740" s="4">
        <v>725</v>
      </c>
      <c r="I740" s="3">
        <v>0.66760198771758583</v>
      </c>
      <c r="J740" s="128">
        <v>1.2538401503810882E-3</v>
      </c>
      <c r="K740" s="128"/>
      <c r="L740" s="128">
        <v>3.6999999999999998E-2</v>
      </c>
      <c r="O740" s="2"/>
    </row>
    <row r="741" spans="2:15" x14ac:dyDescent="0.2">
      <c r="B741" s="1">
        <v>726</v>
      </c>
      <c r="C741" s="5">
        <f ca="1">_xlfn.NORM.S.INV(RAND())</f>
        <v>-0.71947041510574816</v>
      </c>
      <c r="D741" s="5">
        <f ca="1">S0*EXP((μ-0.5*σ*σ)*T+σ*SQRT(T)*$C741)</f>
        <v>0.61900458469933539</v>
      </c>
      <c r="E741" s="5">
        <f ca="1">MAX(0,CP*(D741-K))</f>
        <v>0</v>
      </c>
      <c r="F741" s="4">
        <f ca="1">(CP*(D741-K)&gt;0)*1</f>
        <v>0</v>
      </c>
      <c r="H741" s="4">
        <v>726</v>
      </c>
      <c r="I741" s="3">
        <v>0.66773347588108356</v>
      </c>
      <c r="J741" s="128">
        <v>1.437355066528552E-3</v>
      </c>
      <c r="K741" s="128"/>
      <c r="L741" s="128">
        <v>4.1000000000000002E-2</v>
      </c>
      <c r="O741" s="2"/>
    </row>
    <row r="742" spans="2:15" x14ac:dyDescent="0.2">
      <c r="B742" s="1">
        <v>727</v>
      </c>
      <c r="C742" s="5">
        <f ca="1">_xlfn.NORM.S.INV(RAND())</f>
        <v>1.3124853286709077</v>
      </c>
      <c r="D742" s="5">
        <f ca="1">S0*EXP((μ-0.5*σ*σ)*T+σ*SQRT(T)*$C742)</f>
        <v>0.75629994844019266</v>
      </c>
      <c r="E742" s="5">
        <f ca="1">MAX(0,CP*(D742-K))</f>
        <v>0</v>
      </c>
      <c r="F742" s="4">
        <f ca="1">(CP*(D742-K)&gt;0)*1</f>
        <v>0</v>
      </c>
      <c r="H742" s="4">
        <v>727</v>
      </c>
      <c r="I742" s="3">
        <v>0.66789675780249713</v>
      </c>
      <c r="J742" s="128">
        <v>1.4964506216589065E-3</v>
      </c>
      <c r="K742" s="128"/>
      <c r="L742" s="128">
        <v>4.5199999999999997E-2</v>
      </c>
      <c r="O742" s="2"/>
    </row>
    <row r="743" spans="2:15" x14ac:dyDescent="0.2">
      <c r="B743" s="1">
        <v>728</v>
      </c>
      <c r="C743" s="5">
        <f ca="1">_xlfn.NORM.S.INV(RAND())</f>
        <v>0.97503492756234511</v>
      </c>
      <c r="D743" s="5">
        <f ca="1">S0*EXP((μ-0.5*σ*σ)*T+σ*SQRT(T)*$C743)</f>
        <v>0.73155300130344403</v>
      </c>
      <c r="E743" s="5">
        <f ca="1">MAX(0,CP*(D743-K))</f>
        <v>0</v>
      </c>
      <c r="F743" s="4">
        <f ca="1">(CP*(D743-K)&gt;0)*1</f>
        <v>0</v>
      </c>
      <c r="H743" s="4">
        <v>728</v>
      </c>
      <c r="I743" s="3">
        <v>0.66775318288987096</v>
      </c>
      <c r="J743" s="128">
        <v>1.5001563303968773E-3</v>
      </c>
      <c r="K743" s="128"/>
      <c r="L743" s="128">
        <v>4.2599999999999999E-2</v>
      </c>
      <c r="O743" s="2"/>
    </row>
    <row r="744" spans="2:15" x14ac:dyDescent="0.2">
      <c r="B744" s="1">
        <v>729</v>
      </c>
      <c r="C744" s="5">
        <f ca="1">_xlfn.NORM.S.INV(RAND())</f>
        <v>-1.0348523442850366</v>
      </c>
      <c r="D744" s="5">
        <f ca="1">S0*EXP((μ-0.5*σ*σ)*T+σ*SQRT(T)*$C744)</f>
        <v>0.60005419304512009</v>
      </c>
      <c r="E744" s="5">
        <f ca="1">MAX(0,CP*(D744-K))</f>
        <v>0</v>
      </c>
      <c r="F744" s="4">
        <f ca="1">(CP*(D744-K)&gt;0)*1</f>
        <v>0</v>
      </c>
      <c r="H744" s="4">
        <v>729</v>
      </c>
      <c r="I744" s="3">
        <v>0.66782521436054354</v>
      </c>
      <c r="J744" s="128">
        <v>1.3504971723678786E-3</v>
      </c>
      <c r="K744" s="128"/>
      <c r="L744" s="128">
        <v>4.0399999999999998E-2</v>
      </c>
      <c r="O744" s="2"/>
    </row>
    <row r="745" spans="2:15" x14ac:dyDescent="0.2">
      <c r="B745" s="1">
        <v>730</v>
      </c>
      <c r="C745" s="5">
        <f ca="1">_xlfn.NORM.S.INV(RAND())</f>
        <v>2.1692215221795008</v>
      </c>
      <c r="D745" s="5">
        <f ca="1">S0*EXP((μ-0.5*σ*σ)*T+σ*SQRT(T)*$C745)</f>
        <v>0.82295498935799782</v>
      </c>
      <c r="E745" s="5">
        <f ca="1">MAX(0,CP*(D745-K))</f>
        <v>3.4754989357997812E-2</v>
      </c>
      <c r="F745" s="4">
        <f ca="1">(CP*(D745-K)&gt;0)*1</f>
        <v>1</v>
      </c>
      <c r="H745" s="4">
        <v>730</v>
      </c>
      <c r="I745" s="3">
        <v>0.66778876110207663</v>
      </c>
      <c r="J745" s="128">
        <v>1.5315309759260894E-3</v>
      </c>
      <c r="K745" s="128"/>
      <c r="L745" s="128">
        <v>4.1599999999999998E-2</v>
      </c>
      <c r="O745" s="2"/>
    </row>
    <row r="746" spans="2:15" x14ac:dyDescent="0.2">
      <c r="B746" s="1">
        <v>731</v>
      </c>
      <c r="C746" s="5">
        <f ca="1">_xlfn.NORM.S.INV(RAND())</f>
        <v>0.17842235819905025</v>
      </c>
      <c r="D746" s="5">
        <f ca="1">S0*EXP((μ-0.5*σ*σ)*T+σ*SQRT(T)*$C746)</f>
        <v>0.67629789760255554</v>
      </c>
      <c r="E746" s="5">
        <f ca="1">MAX(0,CP*(D746-K))</f>
        <v>0</v>
      </c>
      <c r="F746" s="4">
        <f ca="1">(CP*(D746-K)&gt;0)*1</f>
        <v>0</v>
      </c>
      <c r="H746" s="4">
        <v>731</v>
      </c>
      <c r="I746" s="3">
        <v>0.6678025825718058</v>
      </c>
      <c r="J746" s="128">
        <v>1.3938380004200662E-3</v>
      </c>
      <c r="K746" s="128"/>
      <c r="L746" s="128">
        <v>4.2799999999999998E-2</v>
      </c>
      <c r="O746" s="2"/>
    </row>
    <row r="747" spans="2:15" x14ac:dyDescent="0.2">
      <c r="B747" s="1">
        <v>732</v>
      </c>
      <c r="C747" s="5">
        <f ca="1">_xlfn.NORM.S.INV(RAND())</f>
        <v>0.50916000456141686</v>
      </c>
      <c r="D747" s="5">
        <f ca="1">S0*EXP((μ-0.5*σ*σ)*T+σ*SQRT(T)*$C747)</f>
        <v>0.69871312034354505</v>
      </c>
      <c r="E747" s="5">
        <f ca="1">MAX(0,CP*(D747-K))</f>
        <v>0</v>
      </c>
      <c r="F747" s="4">
        <f ca="1">(CP*(D747-K)&gt;0)*1</f>
        <v>0</v>
      </c>
      <c r="H747" s="4">
        <v>732</v>
      </c>
      <c r="I747" s="3">
        <v>0.66773120929826468</v>
      </c>
      <c r="J747" s="128">
        <v>1.3522247212954864E-3</v>
      </c>
      <c r="K747" s="128"/>
      <c r="L747" s="128">
        <v>4.5999999999999999E-2</v>
      </c>
      <c r="O747" s="2"/>
    </row>
    <row r="748" spans="2:15" x14ac:dyDescent="0.2">
      <c r="B748" s="1">
        <v>733</v>
      </c>
      <c r="C748" s="5">
        <f ca="1">_xlfn.NORM.S.INV(RAND())</f>
        <v>0.79221328325191087</v>
      </c>
      <c r="D748" s="5">
        <f ca="1">S0*EXP((μ-0.5*σ*σ)*T+σ*SQRT(T)*$C748)</f>
        <v>0.71848566221209498</v>
      </c>
      <c r="E748" s="5">
        <f ca="1">MAX(0,CP*(D748-K))</f>
        <v>0</v>
      </c>
      <c r="F748" s="4">
        <f ca="1">(CP*(D748-K)&gt;0)*1</f>
        <v>0</v>
      </c>
      <c r="H748" s="4">
        <v>733</v>
      </c>
      <c r="I748" s="3">
        <v>0.66779625410046561</v>
      </c>
      <c r="J748" s="128">
        <v>1.3455989616630781E-3</v>
      </c>
      <c r="K748" s="128"/>
      <c r="L748" s="128">
        <v>4.4200000000000003E-2</v>
      </c>
      <c r="O748" s="2"/>
    </row>
    <row r="749" spans="2:15" x14ac:dyDescent="0.2">
      <c r="B749" s="1">
        <v>734</v>
      </c>
      <c r="C749" s="5">
        <f ca="1">_xlfn.NORM.S.INV(RAND())</f>
        <v>-0.70473819502821589</v>
      </c>
      <c r="D749" s="5">
        <f ca="1">S0*EXP((μ-0.5*σ*σ)*T+σ*SQRT(T)*$C749)</f>
        <v>0.61990428778436824</v>
      </c>
      <c r="E749" s="5">
        <f ca="1">MAX(0,CP*(D749-K))</f>
        <v>0</v>
      </c>
      <c r="F749" s="4">
        <f ca="1">(CP*(D749-K)&gt;0)*1</f>
        <v>0</v>
      </c>
      <c r="H749" s="4">
        <v>734</v>
      </c>
      <c r="I749" s="3">
        <v>0.66774327990065963</v>
      </c>
      <c r="J749" s="128">
        <v>1.2608764811152626E-3</v>
      </c>
      <c r="K749" s="128"/>
      <c r="L749" s="128">
        <v>4.1200000000000001E-2</v>
      </c>
      <c r="O749" s="2"/>
    </row>
    <row r="750" spans="2:15" x14ac:dyDescent="0.2">
      <c r="B750" s="1">
        <v>735</v>
      </c>
      <c r="C750" s="5">
        <f ca="1">_xlfn.NORM.S.INV(RAND())</f>
        <v>0.30405665968862616</v>
      </c>
      <c r="D750" s="5">
        <f ca="1">S0*EXP((μ-0.5*σ*σ)*T+σ*SQRT(T)*$C750)</f>
        <v>0.684726592669059</v>
      </c>
      <c r="E750" s="5">
        <f ca="1">MAX(0,CP*(D750-K))</f>
        <v>0</v>
      </c>
      <c r="F750" s="4">
        <f ca="1">(CP*(D750-K)&gt;0)*1</f>
        <v>0</v>
      </c>
      <c r="H750" s="4">
        <v>735</v>
      </c>
      <c r="I750" s="3">
        <v>0.66782164200680039</v>
      </c>
      <c r="J750" s="128">
        <v>1.2691071905435087E-3</v>
      </c>
      <c r="K750" s="128"/>
      <c r="L750" s="128">
        <v>4.4400000000000002E-2</v>
      </c>
      <c r="O750" s="2"/>
    </row>
    <row r="751" spans="2:15" x14ac:dyDescent="0.2">
      <c r="B751" s="1">
        <v>736</v>
      </c>
      <c r="C751" s="5">
        <f ca="1">_xlfn.NORM.S.INV(RAND())</f>
        <v>0.1743210338701319</v>
      </c>
      <c r="D751" s="5">
        <f ca="1">S0*EXP((μ-0.5*σ*σ)*T+σ*SQRT(T)*$C751)</f>
        <v>0.67602449913625084</v>
      </c>
      <c r="E751" s="5">
        <f ca="1">MAX(0,CP*(D751-K))</f>
        <v>0</v>
      </c>
      <c r="F751" s="4">
        <f ca="1">(CP*(D751-K)&gt;0)*1</f>
        <v>0</v>
      </c>
      <c r="H751" s="4">
        <v>736</v>
      </c>
      <c r="I751" s="3">
        <v>0.66769890685743238</v>
      </c>
      <c r="J751" s="128">
        <v>1.2670484148674882E-3</v>
      </c>
      <c r="K751" s="128"/>
      <c r="L751" s="128">
        <v>4.0599999999999997E-2</v>
      </c>
      <c r="O751" s="2"/>
    </row>
    <row r="752" spans="2:15" x14ac:dyDescent="0.2">
      <c r="B752" s="1">
        <v>737</v>
      </c>
      <c r="C752" s="5">
        <f ca="1">_xlfn.NORM.S.INV(RAND())</f>
        <v>-0.43269910552866614</v>
      </c>
      <c r="D752" s="5">
        <f ca="1">S0*EXP((μ-0.5*σ*σ)*T+σ*SQRT(T)*$C752)</f>
        <v>0.63675485410777466</v>
      </c>
      <c r="E752" s="5">
        <f ca="1">MAX(0,CP*(D752-K))</f>
        <v>0</v>
      </c>
      <c r="F752" s="4">
        <f ca="1">(CP*(D752-K)&gt;0)*1</f>
        <v>0</v>
      </c>
      <c r="H752" s="4">
        <v>737</v>
      </c>
      <c r="I752" s="3">
        <v>0.66759849354786993</v>
      </c>
      <c r="J752" s="128">
        <v>1.3250770861475097E-3</v>
      </c>
      <c r="K752" s="128"/>
      <c r="L752" s="128">
        <v>3.6600000000000001E-2</v>
      </c>
      <c r="O752" s="2"/>
    </row>
    <row r="753" spans="2:15" x14ac:dyDescent="0.2">
      <c r="B753" s="1">
        <v>738</v>
      </c>
      <c r="C753" s="5">
        <f ca="1">_xlfn.NORM.S.INV(RAND())</f>
        <v>0.80373286638564745</v>
      </c>
      <c r="D753" s="5">
        <f ca="1">S0*EXP((μ-0.5*σ*σ)*T+σ*SQRT(T)*$C753)</f>
        <v>0.71930210023875041</v>
      </c>
      <c r="E753" s="5">
        <f ca="1">MAX(0,CP*(D753-K))</f>
        <v>0</v>
      </c>
      <c r="F753" s="4">
        <f ca="1">(CP*(D753-K)&gt;0)*1</f>
        <v>0</v>
      </c>
      <c r="H753" s="4">
        <v>738</v>
      </c>
      <c r="I753" s="3">
        <v>0.66761093113249192</v>
      </c>
      <c r="J753" s="128">
        <v>1.2561948473112918E-3</v>
      </c>
      <c r="K753" s="128"/>
      <c r="L753" s="128">
        <v>0.04</v>
      </c>
      <c r="O753" s="2"/>
    </row>
    <row r="754" spans="2:15" x14ac:dyDescent="0.2">
      <c r="B754" s="1">
        <v>739</v>
      </c>
      <c r="C754" s="5">
        <f ca="1">_xlfn.NORM.S.INV(RAND())</f>
        <v>-0.1376207571748439</v>
      </c>
      <c r="D754" s="5">
        <f ca="1">S0*EXP((μ-0.5*σ*σ)*T+σ*SQRT(T)*$C754)</f>
        <v>0.65555077805995088</v>
      </c>
      <c r="E754" s="5">
        <f ca="1">MAX(0,CP*(D754-K))</f>
        <v>0</v>
      </c>
      <c r="F754" s="4">
        <f ca="1">(CP*(D754-K)&gt;0)*1</f>
        <v>0</v>
      </c>
      <c r="H754" s="4">
        <v>739</v>
      </c>
      <c r="I754" s="3">
        <v>0.66765107128430246</v>
      </c>
      <c r="J754" s="128">
        <v>1.1601797618254008E-3</v>
      </c>
      <c r="K754" s="128"/>
      <c r="L754" s="128">
        <v>3.9E-2</v>
      </c>
      <c r="O754" s="2"/>
    </row>
    <row r="755" spans="2:15" x14ac:dyDescent="0.2">
      <c r="B755" s="1">
        <v>740</v>
      </c>
      <c r="C755" s="5">
        <f ca="1">_xlfn.NORM.S.INV(RAND())</f>
        <v>-6.5936104080485086E-2</v>
      </c>
      <c r="D755" s="5">
        <f ca="1">S0*EXP((μ-0.5*σ*σ)*T+σ*SQRT(T)*$C755)</f>
        <v>0.66020010165414189</v>
      </c>
      <c r="E755" s="5">
        <f ca="1">MAX(0,CP*(D755-K))</f>
        <v>0</v>
      </c>
      <c r="F755" s="4">
        <f ca="1">(CP*(D755-K)&gt;0)*1</f>
        <v>0</v>
      </c>
      <c r="H755" s="4">
        <v>740</v>
      </c>
      <c r="I755" s="3">
        <v>0.66776707054663542</v>
      </c>
      <c r="J755" s="128">
        <v>1.311469280200166E-3</v>
      </c>
      <c r="K755" s="128"/>
      <c r="L755" s="128">
        <v>4.2799999999999998E-2</v>
      </c>
      <c r="O755" s="2"/>
    </row>
    <row r="756" spans="2:15" x14ac:dyDescent="0.2">
      <c r="B756" s="1">
        <v>741</v>
      </c>
      <c r="C756" s="5">
        <f ca="1">_xlfn.NORM.S.INV(RAND())</f>
        <v>-0.63232812983993503</v>
      </c>
      <c r="D756" s="5">
        <f ca="1">S0*EXP((μ-0.5*σ*σ)*T+σ*SQRT(T)*$C756)</f>
        <v>0.62434544733787567</v>
      </c>
      <c r="E756" s="5">
        <f ca="1">MAX(0,CP*(D756-K))</f>
        <v>0</v>
      </c>
      <c r="F756" s="4">
        <f ca="1">(CP*(D756-K)&gt;0)*1</f>
        <v>0</v>
      </c>
      <c r="H756" s="4">
        <v>741</v>
      </c>
      <c r="I756" s="3">
        <v>0.66777594233551829</v>
      </c>
      <c r="J756" s="128">
        <v>1.3800679305925412E-3</v>
      </c>
      <c r="K756" s="128"/>
      <c r="L756" s="128">
        <v>4.1000000000000002E-2</v>
      </c>
      <c r="O756" s="2"/>
    </row>
    <row r="757" spans="2:15" x14ac:dyDescent="0.2">
      <c r="B757" s="1">
        <v>742</v>
      </c>
      <c r="C757" s="5">
        <f ca="1">_xlfn.NORM.S.INV(RAND())</f>
        <v>0.2849587287042053</v>
      </c>
      <c r="D757" s="5">
        <f ca="1">S0*EXP((μ-0.5*σ*σ)*T+σ*SQRT(T)*$C757)</f>
        <v>0.68343859092627446</v>
      </c>
      <c r="E757" s="5">
        <f ca="1">MAX(0,CP*(D757-K))</f>
        <v>0</v>
      </c>
      <c r="F757" s="4">
        <f ca="1">(CP*(D757-K)&gt;0)*1</f>
        <v>0</v>
      </c>
      <c r="H757" s="4">
        <v>742</v>
      </c>
      <c r="I757" s="3">
        <v>0.66777576547188378</v>
      </c>
      <c r="J757" s="128">
        <v>1.517479550841619E-3</v>
      </c>
      <c r="K757" s="128"/>
      <c r="L757" s="128">
        <v>4.0599999999999997E-2</v>
      </c>
      <c r="O757" s="2"/>
    </row>
    <row r="758" spans="2:15" x14ac:dyDescent="0.2">
      <c r="B758" s="1">
        <v>743</v>
      </c>
      <c r="C758" s="5">
        <f ca="1">_xlfn.NORM.S.INV(RAND())</f>
        <v>1.5658810208736205</v>
      </c>
      <c r="D758" s="5">
        <f ca="1">S0*EXP((μ-0.5*σ*σ)*T+σ*SQRT(T)*$C758)</f>
        <v>0.77543153584091129</v>
      </c>
      <c r="E758" s="5">
        <f ca="1">MAX(0,CP*(D758-K))</f>
        <v>0</v>
      </c>
      <c r="F758" s="4">
        <f ca="1">(CP*(D758-K)&gt;0)*1</f>
        <v>0</v>
      </c>
      <c r="H758" s="4">
        <v>743</v>
      </c>
      <c r="I758" s="3">
        <v>0.6678774288110213</v>
      </c>
      <c r="J758" s="128">
        <v>1.4881186765258517E-3</v>
      </c>
      <c r="K758" s="128"/>
      <c r="L758" s="128">
        <v>4.36E-2</v>
      </c>
      <c r="O758" s="2"/>
    </row>
    <row r="759" spans="2:15" x14ac:dyDescent="0.2">
      <c r="B759" s="1">
        <v>744</v>
      </c>
      <c r="C759" s="5">
        <f ca="1">_xlfn.NORM.S.INV(RAND())</f>
        <v>-0.2193422073657795</v>
      </c>
      <c r="D759" s="5">
        <f ca="1">S0*EXP((μ-0.5*σ*σ)*T+σ*SQRT(T)*$C759)</f>
        <v>0.65029041396761011</v>
      </c>
      <c r="E759" s="5">
        <f ca="1">MAX(0,CP*(D759-K))</f>
        <v>0</v>
      </c>
      <c r="F759" s="4">
        <f ca="1">(CP*(D759-K)&gt;0)*1</f>
        <v>0</v>
      </c>
      <c r="H759" s="4">
        <v>744</v>
      </c>
      <c r="I759" s="3">
        <v>0.66781105533303953</v>
      </c>
      <c r="J759" s="128">
        <v>1.4068030001628258E-3</v>
      </c>
      <c r="K759" s="128"/>
      <c r="L759" s="128">
        <v>4.4400000000000002E-2</v>
      </c>
      <c r="O759" s="2"/>
    </row>
    <row r="760" spans="2:15" x14ac:dyDescent="0.2">
      <c r="B760" s="1">
        <v>745</v>
      </c>
      <c r="C760" s="5">
        <f ca="1">_xlfn.NORM.S.INV(RAND())</f>
        <v>-1.0072558290640325</v>
      </c>
      <c r="D760" s="5">
        <f ca="1">S0*EXP((μ-0.5*σ*σ)*T+σ*SQRT(T)*$C760)</f>
        <v>0.60168896568270713</v>
      </c>
      <c r="E760" s="5">
        <f ca="1">MAX(0,CP*(D760-K))</f>
        <v>0</v>
      </c>
      <c r="F760" s="4">
        <f ca="1">(CP*(D760-K)&gt;0)*1</f>
        <v>0</v>
      </c>
      <c r="H760" s="4">
        <v>745</v>
      </c>
      <c r="I760" s="3">
        <v>0.66764335977274192</v>
      </c>
      <c r="J760" s="128">
        <v>1.3405469246849781E-3</v>
      </c>
      <c r="K760" s="128"/>
      <c r="L760" s="128">
        <v>4.1000000000000002E-2</v>
      </c>
      <c r="O760" s="2"/>
    </row>
    <row r="761" spans="2:15" x14ac:dyDescent="0.2">
      <c r="B761" s="1">
        <v>746</v>
      </c>
      <c r="C761" s="5">
        <f ca="1">_xlfn.NORM.S.INV(RAND())</f>
        <v>-0.22856946748572457</v>
      </c>
      <c r="D761" s="5">
        <f ca="1">S0*EXP((μ-0.5*σ*σ)*T+σ*SQRT(T)*$C761)</f>
        <v>0.64969911882123166</v>
      </c>
      <c r="E761" s="5">
        <f ca="1">MAX(0,CP*(D761-K))</f>
        <v>0</v>
      </c>
      <c r="F761" s="4">
        <f ca="1">(CP*(D761-K)&gt;0)*1</f>
        <v>0</v>
      </c>
      <c r="H761" s="4">
        <v>746</v>
      </c>
      <c r="I761" s="3">
        <v>0.6677440772221136</v>
      </c>
      <c r="J761" s="128">
        <v>1.2418456071901615E-3</v>
      </c>
      <c r="K761" s="128"/>
      <c r="L761" s="128">
        <v>4.0399999999999998E-2</v>
      </c>
      <c r="O761" s="2"/>
    </row>
    <row r="762" spans="2:15" x14ac:dyDescent="0.2">
      <c r="B762" s="1">
        <v>747</v>
      </c>
      <c r="C762" s="5">
        <f ca="1">_xlfn.NORM.S.INV(RAND())</f>
        <v>0.10008281664672834</v>
      </c>
      <c r="D762" s="5">
        <f ca="1">S0*EXP((μ-0.5*σ*σ)*T+σ*SQRT(T)*$C762)</f>
        <v>0.67109476648302968</v>
      </c>
      <c r="E762" s="5">
        <f ca="1">MAX(0,CP*(D762-K))</f>
        <v>0</v>
      </c>
      <c r="F762" s="4">
        <f ca="1">(CP*(D762-K)&gt;0)*1</f>
        <v>0</v>
      </c>
      <c r="H762" s="4">
        <v>747</v>
      </c>
      <c r="I762" s="3">
        <v>0.66775186497959149</v>
      </c>
      <c r="J762" s="128">
        <v>1.4760212998400984E-3</v>
      </c>
      <c r="K762" s="128"/>
      <c r="L762" s="128">
        <v>4.3200000000000002E-2</v>
      </c>
      <c r="O762" s="2"/>
    </row>
    <row r="763" spans="2:15" x14ac:dyDescent="0.2">
      <c r="B763" s="1">
        <v>748</v>
      </c>
      <c r="C763" s="5">
        <f ca="1">_xlfn.NORM.S.INV(RAND())</f>
        <v>1.2978541908023382</v>
      </c>
      <c r="D763" s="5">
        <f ca="1">S0*EXP((μ-0.5*σ*σ)*T+σ*SQRT(T)*$C763)</f>
        <v>0.75520981237358364</v>
      </c>
      <c r="E763" s="5">
        <f ca="1">MAX(0,CP*(D763-K))</f>
        <v>0</v>
      </c>
      <c r="F763" s="4">
        <f ca="1">(CP*(D763-K)&gt;0)*1</f>
        <v>0</v>
      </c>
      <c r="H763" s="4">
        <v>748</v>
      </c>
      <c r="I763" s="3">
        <v>0.66783412777635398</v>
      </c>
      <c r="J763" s="128">
        <v>1.4808678417582363E-3</v>
      </c>
      <c r="K763" s="128"/>
      <c r="L763" s="128">
        <v>4.4400000000000002E-2</v>
      </c>
      <c r="O763" s="2"/>
    </row>
    <row r="764" spans="2:15" x14ac:dyDescent="0.2">
      <c r="B764" s="1">
        <v>749</v>
      </c>
      <c r="C764" s="5">
        <f ca="1">_xlfn.NORM.S.INV(RAND())</f>
        <v>-1.2274529585613811</v>
      </c>
      <c r="D764" s="5">
        <f ca="1">S0*EXP((μ-0.5*σ*σ)*T+σ*SQRT(T)*$C764)</f>
        <v>0.58876785135678145</v>
      </c>
      <c r="E764" s="5">
        <f ca="1">MAX(0,CP*(D764-K))</f>
        <v>0</v>
      </c>
      <c r="F764" s="4">
        <f ca="1">(CP*(D764-K)&gt;0)*1</f>
        <v>0</v>
      </c>
      <c r="H764" s="4">
        <v>749</v>
      </c>
      <c r="I764" s="3">
        <v>0.66780121306490259</v>
      </c>
      <c r="J764" s="128">
        <v>1.5486653694248393E-3</v>
      </c>
      <c r="K764" s="128"/>
      <c r="L764" s="128">
        <v>4.3200000000000002E-2</v>
      </c>
      <c r="O764" s="2"/>
    </row>
    <row r="765" spans="2:15" x14ac:dyDescent="0.2">
      <c r="B765" s="1">
        <v>750</v>
      </c>
      <c r="C765" s="5">
        <f ca="1">_xlfn.NORM.S.INV(RAND())</f>
        <v>-0.86865769639299861</v>
      </c>
      <c r="D765" s="5">
        <f ca="1">S0*EXP((μ-0.5*σ*σ)*T+σ*SQRT(T)*$C765)</f>
        <v>0.60996689347318334</v>
      </c>
      <c r="E765" s="5">
        <f ca="1">MAX(0,CP*(D765-K))</f>
        <v>0</v>
      </c>
      <c r="F765" s="4">
        <f ca="1">(CP*(D765-K)&gt;0)*1</f>
        <v>0</v>
      </c>
      <c r="H765" s="4">
        <v>750</v>
      </c>
      <c r="I765" s="3">
        <v>0.6677532134188896</v>
      </c>
      <c r="J765" s="128">
        <v>1.5087356321944116E-3</v>
      </c>
      <c r="K765" s="128"/>
      <c r="L765" s="128">
        <v>4.24E-2</v>
      </c>
      <c r="O765" s="2"/>
    </row>
    <row r="766" spans="2:15" x14ac:dyDescent="0.2">
      <c r="B766" s="1">
        <v>751</v>
      </c>
      <c r="C766" s="5">
        <f ca="1">_xlfn.NORM.S.INV(RAND())</f>
        <v>1.3370758490207846</v>
      </c>
      <c r="D766" s="5">
        <f ca="1">S0*EXP((μ-0.5*σ*σ)*T+σ*SQRT(T)*$C766)</f>
        <v>0.75813568370232132</v>
      </c>
      <c r="E766" s="5">
        <f ca="1">MAX(0,CP*(D766-K))</f>
        <v>0</v>
      </c>
      <c r="F766" s="4">
        <f ca="1">(CP*(D766-K)&gt;0)*1</f>
        <v>0</v>
      </c>
      <c r="H766" s="4">
        <v>751</v>
      </c>
      <c r="I766" s="3">
        <v>0.66780660117877355</v>
      </c>
      <c r="J766" s="128">
        <v>1.5815750569238964E-3</v>
      </c>
      <c r="K766" s="128"/>
      <c r="L766" s="128">
        <v>4.2999999999999997E-2</v>
      </c>
      <c r="O766" s="2"/>
    </row>
    <row r="767" spans="2:15" x14ac:dyDescent="0.2">
      <c r="B767" s="1">
        <v>752</v>
      </c>
      <c r="C767" s="5">
        <f ca="1">_xlfn.NORM.S.INV(RAND())</f>
        <v>0.35871083636764006</v>
      </c>
      <c r="D767" s="5">
        <f ca="1">S0*EXP((μ-0.5*σ*σ)*T+σ*SQRT(T)*$C767)</f>
        <v>0.688426005798913</v>
      </c>
      <c r="E767" s="5">
        <f ca="1">MAX(0,CP*(D767-K))</f>
        <v>0</v>
      </c>
      <c r="F767" s="4">
        <f ca="1">(CP*(D767-K)&gt;0)*1</f>
        <v>0</v>
      </c>
      <c r="H767" s="4">
        <v>752</v>
      </c>
      <c r="I767" s="3">
        <v>0.66777125512511259</v>
      </c>
      <c r="J767" s="128">
        <v>1.3872741704672438E-3</v>
      </c>
      <c r="K767" s="128"/>
      <c r="L767" s="128">
        <v>4.1399999999999999E-2</v>
      </c>
      <c r="O767" s="2"/>
    </row>
    <row r="768" spans="2:15" x14ac:dyDescent="0.2">
      <c r="B768" s="1">
        <v>753</v>
      </c>
      <c r="C768" s="5">
        <f ca="1">_xlfn.NORM.S.INV(RAND())</f>
        <v>-0.3288158692776697</v>
      </c>
      <c r="D768" s="5">
        <f ca="1">S0*EXP((μ-0.5*σ*σ)*T+σ*SQRT(T)*$C768)</f>
        <v>0.64330974226010351</v>
      </c>
      <c r="E768" s="5">
        <f ca="1">MAX(0,CP*(D768-K))</f>
        <v>0</v>
      </c>
      <c r="F768" s="4">
        <f ca="1">(CP*(D768-K)&gt;0)*1</f>
        <v>0</v>
      </c>
      <c r="H768" s="4">
        <v>753</v>
      </c>
      <c r="I768" s="3">
        <v>0.66778449259048656</v>
      </c>
      <c r="J768" s="128">
        <v>1.3660797314152249E-3</v>
      </c>
      <c r="K768" s="128"/>
      <c r="L768" s="128">
        <v>4.4400000000000002E-2</v>
      </c>
      <c r="O768" s="2"/>
    </row>
    <row r="769" spans="2:15" x14ac:dyDescent="0.2">
      <c r="B769" s="1">
        <v>754</v>
      </c>
      <c r="C769" s="5">
        <f ca="1">_xlfn.NORM.S.INV(RAND())</f>
        <v>-0.88793178267762063</v>
      </c>
      <c r="D769" s="5">
        <f ca="1">S0*EXP((μ-0.5*σ*σ)*T+σ*SQRT(T)*$C769)</f>
        <v>0.60880894501426286</v>
      </c>
      <c r="E769" s="5">
        <f ca="1">MAX(0,CP*(D769-K))</f>
        <v>0</v>
      </c>
      <c r="F769" s="4">
        <f ca="1">(CP*(D769-K)&gt;0)*1</f>
        <v>0</v>
      </c>
      <c r="H769" s="4">
        <v>754</v>
      </c>
      <c r="I769" s="3">
        <v>0.66769177597103191</v>
      </c>
      <c r="J769" s="128">
        <v>1.1484819335437972E-3</v>
      </c>
      <c r="K769" s="128"/>
      <c r="L769" s="128">
        <v>3.8399999999999997E-2</v>
      </c>
      <c r="O769" s="2"/>
    </row>
    <row r="770" spans="2:15" x14ac:dyDescent="0.2">
      <c r="B770" s="1">
        <v>755</v>
      </c>
      <c r="C770" s="5">
        <f ca="1">_xlfn.NORM.S.INV(RAND())</f>
        <v>-1.8629538602912488</v>
      </c>
      <c r="D770" s="5">
        <f ca="1">S0*EXP((μ-0.5*σ*σ)*T+σ*SQRT(T)*$C770)</f>
        <v>0.55301191075484724</v>
      </c>
      <c r="E770" s="5">
        <f ca="1">MAX(0,CP*(D770-K))</f>
        <v>0</v>
      </c>
      <c r="F770" s="4">
        <f ca="1">(CP*(D770-K)&gt;0)*1</f>
        <v>0</v>
      </c>
      <c r="H770" s="4">
        <v>755</v>
      </c>
      <c r="I770" s="3">
        <v>0.6677873372439328</v>
      </c>
      <c r="J770" s="128">
        <v>1.528881260210193E-3</v>
      </c>
      <c r="K770" s="128"/>
      <c r="L770" s="128">
        <v>4.2599999999999999E-2</v>
      </c>
      <c r="O770" s="2"/>
    </row>
    <row r="771" spans="2:15" x14ac:dyDescent="0.2">
      <c r="B771" s="1">
        <v>756</v>
      </c>
      <c r="C771" s="5">
        <f ca="1">_xlfn.NORM.S.INV(RAND())</f>
        <v>0.26081477594346697</v>
      </c>
      <c r="D771" s="5">
        <f ca="1">S0*EXP((μ-0.5*σ*σ)*T+σ*SQRT(T)*$C771)</f>
        <v>0.68181374262739758</v>
      </c>
      <c r="E771" s="5">
        <f ca="1">MAX(0,CP*(D771-K))</f>
        <v>0</v>
      </c>
      <c r="F771" s="4">
        <f ca="1">(CP*(D771-K)&gt;0)*1</f>
        <v>0</v>
      </c>
      <c r="H771" s="4">
        <v>756</v>
      </c>
      <c r="I771" s="3">
        <v>0.66770023709478399</v>
      </c>
      <c r="J771" s="128">
        <v>1.3232785909218921E-3</v>
      </c>
      <c r="K771" s="128"/>
      <c r="L771" s="128">
        <v>4.0800000000000003E-2</v>
      </c>
      <c r="O771" s="2"/>
    </row>
    <row r="772" spans="2:15" x14ac:dyDescent="0.2">
      <c r="B772" s="1">
        <v>757</v>
      </c>
      <c r="C772" s="5">
        <f ca="1">_xlfn.NORM.S.INV(RAND())</f>
        <v>1.7112597527883751</v>
      </c>
      <c r="D772" s="5">
        <f ca="1">S0*EXP((μ-0.5*σ*σ)*T+σ*SQRT(T)*$C772)</f>
        <v>0.786625451769147</v>
      </c>
      <c r="E772" s="5">
        <f ca="1">MAX(0,CP*(D772-K))</f>
        <v>0</v>
      </c>
      <c r="F772" s="4">
        <f ca="1">(CP*(D772-K)&gt;0)*1</f>
        <v>0</v>
      </c>
      <c r="H772" s="4">
        <v>757</v>
      </c>
      <c r="I772" s="3">
        <v>0.66764692934908776</v>
      </c>
      <c r="J772" s="128">
        <v>1.2589949818225098E-3</v>
      </c>
      <c r="K772" s="128"/>
      <c r="L772" s="128">
        <v>4.24E-2</v>
      </c>
      <c r="O772" s="2"/>
    </row>
    <row r="773" spans="2:15" x14ac:dyDescent="0.2">
      <c r="B773" s="1">
        <v>758</v>
      </c>
      <c r="C773" s="5">
        <f ca="1">_xlfn.NORM.S.INV(RAND())</f>
        <v>-0.35073848823886383</v>
      </c>
      <c r="D773" s="5">
        <f ca="1">S0*EXP((μ-0.5*σ*σ)*T+σ*SQRT(T)*$C773)</f>
        <v>0.64192086121932512</v>
      </c>
      <c r="E773" s="5">
        <f ca="1">MAX(0,CP*(D773-K))</f>
        <v>0</v>
      </c>
      <c r="F773" s="4">
        <f ca="1">(CP*(D773-K)&gt;0)*1</f>
        <v>0</v>
      </c>
      <c r="H773" s="4">
        <v>758</v>
      </c>
      <c r="I773" s="3">
        <v>0.66774637370025658</v>
      </c>
      <c r="J773" s="128">
        <v>1.3776626692944981E-3</v>
      </c>
      <c r="K773" s="128"/>
      <c r="L773" s="128">
        <v>4.1200000000000001E-2</v>
      </c>
      <c r="O773" s="2"/>
    </row>
    <row r="774" spans="2:15" x14ac:dyDescent="0.2">
      <c r="B774" s="1">
        <v>759</v>
      </c>
      <c r="C774" s="5">
        <f ca="1">_xlfn.NORM.S.INV(RAND())</f>
        <v>1.2217729294008854</v>
      </c>
      <c r="D774" s="5">
        <f ca="1">S0*EXP((μ-0.5*σ*σ)*T+σ*SQRT(T)*$C774)</f>
        <v>0.74956643204874762</v>
      </c>
      <c r="E774" s="5">
        <f ca="1">MAX(0,CP*(D774-K))</f>
        <v>0</v>
      </c>
      <c r="F774" s="4">
        <f ca="1">(CP*(D774-K)&gt;0)*1</f>
        <v>0</v>
      </c>
      <c r="H774" s="4">
        <v>759</v>
      </c>
      <c r="I774" s="3">
        <v>0.6677659394511587</v>
      </c>
      <c r="J774" s="128">
        <v>1.3619243921503073E-3</v>
      </c>
      <c r="K774" s="128"/>
      <c r="L774" s="128">
        <v>4.2200000000000001E-2</v>
      </c>
      <c r="O774" s="2"/>
    </row>
    <row r="775" spans="2:15" x14ac:dyDescent="0.2">
      <c r="B775" s="1">
        <v>760</v>
      </c>
      <c r="C775" s="5">
        <f ca="1">_xlfn.NORM.S.INV(RAND())</f>
        <v>-2.5054000567431389</v>
      </c>
      <c r="D775" s="5">
        <f ca="1">S0*EXP((μ-0.5*σ*σ)*T+σ*SQRT(T)*$C775)</f>
        <v>0.51907189250230223</v>
      </c>
      <c r="E775" s="5">
        <f ca="1">MAX(0,CP*(D775-K))</f>
        <v>0</v>
      </c>
      <c r="F775" s="4">
        <f ca="1">(CP*(D775-K)&gt;0)*1</f>
        <v>0</v>
      </c>
      <c r="H775" s="4">
        <v>760</v>
      </c>
      <c r="I775" s="3">
        <v>0.6677101101504137</v>
      </c>
      <c r="J775" s="128">
        <v>1.427221805851465E-3</v>
      </c>
      <c r="K775" s="128"/>
      <c r="L775" s="128">
        <v>4.2000000000000003E-2</v>
      </c>
      <c r="O775" s="2"/>
    </row>
    <row r="776" spans="2:15" x14ac:dyDescent="0.2">
      <c r="B776" s="1">
        <v>761</v>
      </c>
      <c r="C776" s="5">
        <f ca="1">_xlfn.NORM.S.INV(RAND())</f>
        <v>0.22718858046342932</v>
      </c>
      <c r="D776" s="5">
        <f ca="1">S0*EXP((μ-0.5*σ*σ)*T+σ*SQRT(T)*$C776)</f>
        <v>0.67955718965044298</v>
      </c>
      <c r="E776" s="5">
        <f ca="1">MAX(0,CP*(D776-K))</f>
        <v>0</v>
      </c>
      <c r="F776" s="4">
        <f ca="1">(CP*(D776-K)&gt;0)*1</f>
        <v>0</v>
      </c>
      <c r="H776" s="4">
        <v>761</v>
      </c>
      <c r="I776" s="3">
        <v>0.66785032962652979</v>
      </c>
      <c r="J776" s="128">
        <v>1.5685355042753194E-3</v>
      </c>
      <c r="K776" s="128"/>
      <c r="L776" s="128">
        <v>4.5199999999999997E-2</v>
      </c>
      <c r="O776" s="2"/>
    </row>
    <row r="777" spans="2:15" x14ac:dyDescent="0.2">
      <c r="B777" s="1">
        <v>762</v>
      </c>
      <c r="C777" s="5">
        <f ca="1">_xlfn.NORM.S.INV(RAND())</f>
        <v>0.54027116118780738</v>
      </c>
      <c r="D777" s="5">
        <f ca="1">S0*EXP((μ-0.5*σ*σ)*T+σ*SQRT(T)*$C777)</f>
        <v>0.7008594823595522</v>
      </c>
      <c r="E777" s="5">
        <f ca="1">MAX(0,CP*(D777-K))</f>
        <v>0</v>
      </c>
      <c r="F777" s="4">
        <f ca="1">(CP*(D777-K)&gt;0)*1</f>
        <v>0</v>
      </c>
      <c r="H777" s="4">
        <v>762</v>
      </c>
      <c r="I777" s="3">
        <v>0.66780775830295847</v>
      </c>
      <c r="J777" s="128">
        <v>1.4841195766977762E-3</v>
      </c>
      <c r="K777" s="128"/>
      <c r="L777" s="128">
        <v>4.2599999999999999E-2</v>
      </c>
      <c r="O777" s="2"/>
    </row>
    <row r="778" spans="2:15" x14ac:dyDescent="0.2">
      <c r="B778" s="1">
        <v>763</v>
      </c>
      <c r="C778" s="5">
        <f ca="1">_xlfn.NORM.S.INV(RAND())</f>
        <v>1.3297608433240813</v>
      </c>
      <c r="D778" s="5">
        <f ca="1">S0*EXP((μ-0.5*σ*σ)*T+σ*SQRT(T)*$C778)</f>
        <v>0.75758913768068459</v>
      </c>
      <c r="E778" s="5">
        <f ca="1">MAX(0,CP*(D778-K))</f>
        <v>0</v>
      </c>
      <c r="F778" s="4">
        <f ca="1">(CP*(D778-K)&gt;0)*1</f>
        <v>0</v>
      </c>
      <c r="H778" s="4">
        <v>763</v>
      </c>
      <c r="I778" s="3">
        <v>0.66769098714981601</v>
      </c>
      <c r="J778" s="128">
        <v>1.3286876357726648E-3</v>
      </c>
      <c r="K778" s="128"/>
      <c r="L778" s="128">
        <v>3.9800000000000002E-2</v>
      </c>
      <c r="O778" s="2"/>
    </row>
    <row r="779" spans="2:15" x14ac:dyDescent="0.2">
      <c r="B779" s="1">
        <v>764</v>
      </c>
      <c r="C779" s="5">
        <f ca="1">_xlfn.NORM.S.INV(RAND())</f>
        <v>1.623436787612867</v>
      </c>
      <c r="D779" s="5">
        <f ca="1">S0*EXP((μ-0.5*σ*σ)*T+σ*SQRT(T)*$C779)</f>
        <v>0.77984405658331546</v>
      </c>
      <c r="E779" s="5">
        <f ca="1">MAX(0,CP*(D779-K))</f>
        <v>0</v>
      </c>
      <c r="F779" s="4">
        <f ca="1">(CP*(D779-K)&gt;0)*1</f>
        <v>0</v>
      </c>
      <c r="H779" s="4">
        <v>764</v>
      </c>
      <c r="I779" s="3">
        <v>0.66771585013381785</v>
      </c>
      <c r="J779" s="128">
        <v>1.4017429259137438E-3</v>
      </c>
      <c r="K779" s="128"/>
      <c r="L779" s="128">
        <v>4.24E-2</v>
      </c>
      <c r="O779" s="2"/>
    </row>
    <row r="780" spans="2:15" x14ac:dyDescent="0.2">
      <c r="B780" s="1">
        <v>765</v>
      </c>
      <c r="C780" s="5">
        <f ca="1">_xlfn.NORM.S.INV(RAND())</f>
        <v>-0.70045733543651101</v>
      </c>
      <c r="D780" s="5">
        <f ca="1">S0*EXP((μ-0.5*σ*σ)*T+σ*SQRT(T)*$C780)</f>
        <v>0.62016596685717951</v>
      </c>
      <c r="E780" s="5">
        <f ca="1">MAX(0,CP*(D780-K))</f>
        <v>0</v>
      </c>
      <c r="F780" s="4">
        <f ca="1">(CP*(D780-K)&gt;0)*1</f>
        <v>0</v>
      </c>
      <c r="H780" s="4">
        <v>765</v>
      </c>
      <c r="I780" s="3">
        <v>0.6678175576340023</v>
      </c>
      <c r="J780" s="128">
        <v>1.490627919653728E-3</v>
      </c>
      <c r="K780" s="128"/>
      <c r="L780" s="128">
        <v>4.2000000000000003E-2</v>
      </c>
      <c r="O780" s="2"/>
    </row>
    <row r="781" spans="2:15" x14ac:dyDescent="0.2">
      <c r="B781" s="1">
        <v>766</v>
      </c>
      <c r="C781" s="5">
        <f ca="1">_xlfn.NORM.S.INV(RAND())</f>
        <v>0.96413959491494239</v>
      </c>
      <c r="D781" s="5">
        <f ca="1">S0*EXP((μ-0.5*σ*σ)*T+σ*SQRT(T)*$C781)</f>
        <v>0.73076763044073056</v>
      </c>
      <c r="E781" s="5">
        <f ca="1">MAX(0,CP*(D781-K))</f>
        <v>0</v>
      </c>
      <c r="F781" s="4">
        <f ca="1">(CP*(D781-K)&gt;0)*1</f>
        <v>0</v>
      </c>
      <c r="H781" s="4">
        <v>766</v>
      </c>
      <c r="I781" s="3">
        <v>0.66778206584292421</v>
      </c>
      <c r="J781" s="128">
        <v>1.4821409573751493E-3</v>
      </c>
      <c r="K781" s="128"/>
      <c r="L781" s="128">
        <v>4.2000000000000003E-2</v>
      </c>
      <c r="O781" s="2"/>
    </row>
    <row r="782" spans="2:15" x14ac:dyDescent="0.2">
      <c r="B782" s="1">
        <v>767</v>
      </c>
      <c r="C782" s="5">
        <f ca="1">_xlfn.NORM.S.INV(RAND())</f>
        <v>-0.36733987108433602</v>
      </c>
      <c r="D782" s="5">
        <f ca="1">S0*EXP((μ-0.5*σ*σ)*T+σ*SQRT(T)*$C782)</f>
        <v>0.64087109614110982</v>
      </c>
      <c r="E782" s="5">
        <f ca="1">MAX(0,CP*(D782-K))</f>
        <v>0</v>
      </c>
      <c r="F782" s="4">
        <f ca="1">(CP*(D782-K)&gt;0)*1</f>
        <v>0</v>
      </c>
      <c r="H782" s="4">
        <v>767</v>
      </c>
      <c r="I782" s="3">
        <v>0.66767125029582786</v>
      </c>
      <c r="J782" s="128">
        <v>1.1098295853440839E-3</v>
      </c>
      <c r="K782" s="128"/>
      <c r="L782" s="128">
        <v>3.9199999999999999E-2</v>
      </c>
      <c r="O782" s="2"/>
    </row>
    <row r="783" spans="2:15" x14ac:dyDescent="0.2">
      <c r="B783" s="1">
        <v>768</v>
      </c>
      <c r="C783" s="5">
        <f ca="1">_xlfn.NORM.S.INV(RAND())</f>
        <v>1.0053120413195604</v>
      </c>
      <c r="D783" s="5">
        <f ca="1">S0*EXP((μ-0.5*σ*σ)*T+σ*SQRT(T)*$C783)</f>
        <v>0.73373990834583547</v>
      </c>
      <c r="E783" s="5">
        <f ca="1">MAX(0,CP*(D783-K))</f>
        <v>0</v>
      </c>
      <c r="F783" s="4">
        <f ca="1">(CP*(D783-K)&gt;0)*1</f>
        <v>0</v>
      </c>
      <c r="H783" s="4">
        <v>768</v>
      </c>
      <c r="I783" s="3">
        <v>0.66769480412732674</v>
      </c>
      <c r="J783" s="128">
        <v>1.2308301697099013E-3</v>
      </c>
      <c r="K783" s="128"/>
      <c r="L783" s="128">
        <v>4.3200000000000002E-2</v>
      </c>
      <c r="O783" s="2"/>
    </row>
    <row r="784" spans="2:15" x14ac:dyDescent="0.2">
      <c r="B784" s="1">
        <v>769</v>
      </c>
      <c r="C784" s="5">
        <f ca="1">_xlfn.NORM.S.INV(RAND())</f>
        <v>1.6372636945028378</v>
      </c>
      <c r="D784" s="5">
        <f ca="1">S0*EXP((μ-0.5*σ*σ)*T+σ*SQRT(T)*$C784)</f>
        <v>0.78090783350817872</v>
      </c>
      <c r="E784" s="5">
        <f ca="1">MAX(0,CP*(D784-K))</f>
        <v>0</v>
      </c>
      <c r="F784" s="4">
        <f ca="1">(CP*(D784-K)&gt;0)*1</f>
        <v>0</v>
      </c>
      <c r="H784" s="4">
        <v>769</v>
      </c>
      <c r="I784" s="3">
        <v>0.66771117875776087</v>
      </c>
      <c r="J784" s="128">
        <v>1.2492767308943211E-3</v>
      </c>
      <c r="K784" s="128"/>
      <c r="L784" s="128">
        <v>4.02E-2</v>
      </c>
      <c r="O784" s="2"/>
    </row>
    <row r="785" spans="2:15" x14ac:dyDescent="0.2">
      <c r="B785" s="1">
        <v>770</v>
      </c>
      <c r="C785" s="5">
        <f ca="1">_xlfn.NORM.S.INV(RAND())</f>
        <v>-0.46579275978275075</v>
      </c>
      <c r="D785" s="5">
        <f ca="1">S0*EXP((μ-0.5*σ*σ)*T+σ*SQRT(T)*$C785)</f>
        <v>0.63468075056184403</v>
      </c>
      <c r="E785" s="5">
        <f ca="1">MAX(0,CP*(D785-K))</f>
        <v>0</v>
      </c>
      <c r="F785" s="4">
        <f ca="1">(CP*(D785-K)&gt;0)*1</f>
        <v>0</v>
      </c>
      <c r="H785" s="4">
        <v>770</v>
      </c>
      <c r="I785" s="3">
        <v>0.66771143613582384</v>
      </c>
      <c r="J785" s="128">
        <v>1.3332013339809499E-3</v>
      </c>
      <c r="K785" s="128"/>
      <c r="L785" s="128">
        <v>4.1599999999999998E-2</v>
      </c>
      <c r="O785" s="2"/>
    </row>
    <row r="786" spans="2:15" x14ac:dyDescent="0.2">
      <c r="B786" s="1">
        <v>771</v>
      </c>
      <c r="C786" s="5">
        <f ca="1">_xlfn.NORM.S.INV(RAND())</f>
        <v>-0.51883517008072277</v>
      </c>
      <c r="D786" s="5">
        <f ca="1">S0*EXP((μ-0.5*σ*σ)*T+σ*SQRT(T)*$C786)</f>
        <v>0.63137046651631246</v>
      </c>
      <c r="E786" s="5">
        <f ca="1">MAX(0,CP*(D786-K))</f>
        <v>0</v>
      </c>
      <c r="F786" s="4">
        <f ca="1">(CP*(D786-K)&gt;0)*1</f>
        <v>0</v>
      </c>
      <c r="H786" s="4">
        <v>771</v>
      </c>
      <c r="I786" s="3">
        <v>0.66770423505907484</v>
      </c>
      <c r="J786" s="128">
        <v>1.3830173217139088E-3</v>
      </c>
      <c r="K786" s="128"/>
      <c r="L786" s="128">
        <v>3.9600000000000003E-2</v>
      </c>
      <c r="O786" s="2"/>
    </row>
    <row r="787" spans="2:15" x14ac:dyDescent="0.2">
      <c r="B787" s="1">
        <v>772</v>
      </c>
      <c r="C787" s="5">
        <f ca="1">_xlfn.NORM.S.INV(RAND())</f>
        <v>-0.2471918993658658</v>
      </c>
      <c r="D787" s="5">
        <f ca="1">S0*EXP((μ-0.5*σ*σ)*T+σ*SQRT(T)*$C787)</f>
        <v>0.64850740552572683</v>
      </c>
      <c r="E787" s="5">
        <f ca="1">MAX(0,CP*(D787-K))</f>
        <v>0</v>
      </c>
      <c r="F787" s="4">
        <f ca="1">(CP*(D787-K)&gt;0)*1</f>
        <v>0</v>
      </c>
      <c r="H787" s="4">
        <v>772</v>
      </c>
      <c r="I787" s="3">
        <v>0.66775488527739113</v>
      </c>
      <c r="J787" s="128">
        <v>1.3787462334586538E-3</v>
      </c>
      <c r="K787" s="128"/>
      <c r="L787" s="128">
        <v>4.3799999999999999E-2</v>
      </c>
      <c r="O787" s="2"/>
    </row>
    <row r="788" spans="2:15" x14ac:dyDescent="0.2">
      <c r="B788" s="1">
        <v>773</v>
      </c>
      <c r="C788" s="5">
        <f ca="1">_xlfn.NORM.S.INV(RAND())</f>
        <v>1.4081373583715637</v>
      </c>
      <c r="D788" s="5">
        <f ca="1">S0*EXP((μ-0.5*σ*σ)*T+σ*SQRT(T)*$C788)</f>
        <v>0.76346565977420267</v>
      </c>
      <c r="E788" s="5">
        <f ca="1">MAX(0,CP*(D788-K))</f>
        <v>0</v>
      </c>
      <c r="F788" s="4">
        <f ca="1">(CP*(D788-K)&gt;0)*1</f>
        <v>0</v>
      </c>
      <c r="H788" s="4">
        <v>773</v>
      </c>
      <c r="I788" s="3">
        <v>0.66770117551889463</v>
      </c>
      <c r="J788" s="128">
        <v>1.3250624015259324E-3</v>
      </c>
      <c r="K788" s="128"/>
      <c r="L788" s="128">
        <v>3.8399999999999997E-2</v>
      </c>
      <c r="O788" s="2"/>
    </row>
    <row r="789" spans="2:15" x14ac:dyDescent="0.2">
      <c r="B789" s="1">
        <v>774</v>
      </c>
      <c r="C789" s="5">
        <f ca="1">_xlfn.NORM.S.INV(RAND())</f>
        <v>-1.2573007985108937</v>
      </c>
      <c r="D789" s="5">
        <f ca="1">S0*EXP((μ-0.5*σ*σ)*T+σ*SQRT(T)*$C789)</f>
        <v>0.58703787610599323</v>
      </c>
      <c r="E789" s="5">
        <f ca="1">MAX(0,CP*(D789-K))</f>
        <v>0</v>
      </c>
      <c r="F789" s="4">
        <f ca="1">(CP*(D789-K)&gt;0)*1</f>
        <v>0</v>
      </c>
      <c r="H789" s="4">
        <v>774</v>
      </c>
      <c r="I789" s="3">
        <v>0.66776545316024927</v>
      </c>
      <c r="J789" s="128">
        <v>1.3922990124166405E-3</v>
      </c>
      <c r="K789" s="128"/>
      <c r="L789" s="128">
        <v>4.1799999999999997E-2</v>
      </c>
      <c r="O789" s="2"/>
    </row>
    <row r="790" spans="2:15" x14ac:dyDescent="0.2">
      <c r="B790" s="1">
        <v>775</v>
      </c>
      <c r="C790" s="5">
        <f ca="1">_xlfn.NORM.S.INV(RAND())</f>
        <v>0.45838902783494523</v>
      </c>
      <c r="D790" s="5">
        <f ca="1">S0*EXP((μ-0.5*σ*σ)*T+σ*SQRT(T)*$C790)</f>
        <v>0.69522453231732506</v>
      </c>
      <c r="E790" s="5">
        <f ca="1">MAX(0,CP*(D790-K))</f>
        <v>0</v>
      </c>
      <c r="F790" s="4">
        <f ca="1">(CP*(D790-K)&gt;0)*1</f>
        <v>0</v>
      </c>
      <c r="H790" s="4">
        <v>775</v>
      </c>
      <c r="I790" s="3">
        <v>0.66765194845088582</v>
      </c>
      <c r="J790" s="128">
        <v>1.3104599745766682E-3</v>
      </c>
      <c r="K790" s="128"/>
      <c r="L790" s="128">
        <v>3.8199999999999998E-2</v>
      </c>
      <c r="O790" s="2"/>
    </row>
    <row r="791" spans="2:15" x14ac:dyDescent="0.2">
      <c r="B791" s="1">
        <v>776</v>
      </c>
      <c r="C791" s="5">
        <f ca="1">_xlfn.NORM.S.INV(RAND())</f>
        <v>-1.6150101318131838</v>
      </c>
      <c r="D791" s="5">
        <f ca="1">S0*EXP((μ-0.5*σ*σ)*T+σ*SQRT(T)*$C791)</f>
        <v>0.56669638524735988</v>
      </c>
      <c r="E791" s="5">
        <f ca="1">MAX(0,CP*(D791-K))</f>
        <v>0</v>
      </c>
      <c r="F791" s="4">
        <f ca="1">(CP*(D791-K)&gt;0)*1</f>
        <v>0</v>
      </c>
      <c r="H791" s="4">
        <v>776</v>
      </c>
      <c r="I791" s="3">
        <v>0.66777781987805296</v>
      </c>
      <c r="J791" s="128">
        <v>1.4752795166767137E-3</v>
      </c>
      <c r="K791" s="128"/>
      <c r="L791" s="128">
        <v>4.48E-2</v>
      </c>
      <c r="O791" s="2"/>
    </row>
    <row r="792" spans="2:15" x14ac:dyDescent="0.2">
      <c r="B792" s="1">
        <v>777</v>
      </c>
      <c r="C792" s="5">
        <f ca="1">_xlfn.NORM.S.INV(RAND())</f>
        <v>0.88793216452579693</v>
      </c>
      <c r="D792" s="5">
        <f ca="1">S0*EXP((μ-0.5*σ*σ)*T+σ*SQRT(T)*$C792)</f>
        <v>0.72529787494261322</v>
      </c>
      <c r="E792" s="5">
        <f ca="1">MAX(0,CP*(D792-K))</f>
        <v>0</v>
      </c>
      <c r="F792" s="4">
        <f ca="1">(CP*(D792-K)&gt;0)*1</f>
        <v>0</v>
      </c>
      <c r="H792" s="4">
        <v>777</v>
      </c>
      <c r="I792" s="3">
        <v>0.66790098133875453</v>
      </c>
      <c r="J792" s="128">
        <v>1.5857710820898774E-3</v>
      </c>
      <c r="K792" s="128"/>
      <c r="L792" s="128">
        <v>4.5400000000000003E-2</v>
      </c>
      <c r="O792" s="2"/>
    </row>
    <row r="793" spans="2:15" x14ac:dyDescent="0.2">
      <c r="B793" s="1">
        <v>778</v>
      </c>
      <c r="C793" s="5">
        <f ca="1">_xlfn.NORM.S.INV(RAND())</f>
        <v>2.03255499135143</v>
      </c>
      <c r="D793" s="5">
        <f ca="1">S0*EXP((μ-0.5*σ*σ)*T+σ*SQRT(T)*$C793)</f>
        <v>0.81194118134482207</v>
      </c>
      <c r="E793" s="5">
        <f ca="1">MAX(0,CP*(D793-K))</f>
        <v>2.374118134482206E-2</v>
      </c>
      <c r="F793" s="4">
        <f ca="1">(CP*(D793-K)&gt;0)*1</f>
        <v>1</v>
      </c>
      <c r="H793" s="4">
        <v>778</v>
      </c>
      <c r="I793" s="3">
        <v>0.66769864845933757</v>
      </c>
      <c r="J793" s="128">
        <v>1.3336925626452757E-3</v>
      </c>
      <c r="K793" s="128"/>
      <c r="L793" s="128">
        <v>3.7199999999999997E-2</v>
      </c>
      <c r="O793" s="2"/>
    </row>
    <row r="794" spans="2:15" x14ac:dyDescent="0.2">
      <c r="B794" s="1">
        <v>779</v>
      </c>
      <c r="C794" s="5">
        <f ca="1">_xlfn.NORM.S.INV(RAND())</f>
        <v>-1.6419443584258744</v>
      </c>
      <c r="D794" s="5">
        <f ca="1">S0*EXP((μ-0.5*σ*σ)*T+σ*SQRT(T)*$C794)</f>
        <v>0.56519358868654301</v>
      </c>
      <c r="E794" s="5">
        <f ca="1">MAX(0,CP*(D794-K))</f>
        <v>0</v>
      </c>
      <c r="F794" s="4">
        <f ca="1">(CP*(D794-K)&gt;0)*1</f>
        <v>0</v>
      </c>
      <c r="H794" s="4">
        <v>779</v>
      </c>
      <c r="I794" s="3">
        <v>0.66782431281361176</v>
      </c>
      <c r="J794" s="128">
        <v>1.4234509524617121E-3</v>
      </c>
      <c r="K794" s="128"/>
      <c r="L794" s="128">
        <v>4.5400000000000003E-2</v>
      </c>
      <c r="O794" s="2"/>
    </row>
    <row r="795" spans="2:15" x14ac:dyDescent="0.2">
      <c r="B795" s="1">
        <v>780</v>
      </c>
      <c r="C795" s="5">
        <f ca="1">_xlfn.NORM.S.INV(RAND())</f>
        <v>-0.19670728521821362</v>
      </c>
      <c r="D795" s="5">
        <f ca="1">S0*EXP((μ-0.5*σ*σ)*T+σ*SQRT(T)*$C795)</f>
        <v>0.65174317016281358</v>
      </c>
      <c r="E795" s="5">
        <f ca="1">MAX(0,CP*(D795-K))</f>
        <v>0</v>
      </c>
      <c r="F795" s="4">
        <f ca="1">(CP*(D795-K)&gt;0)*1</f>
        <v>0</v>
      </c>
      <c r="H795" s="4">
        <v>780</v>
      </c>
      <c r="I795" s="3">
        <v>0.66764407248035762</v>
      </c>
      <c r="J795" s="128">
        <v>1.2034691106177818E-3</v>
      </c>
      <c r="K795" s="128"/>
      <c r="L795" s="128">
        <v>4.2000000000000003E-2</v>
      </c>
      <c r="O795" s="2"/>
    </row>
    <row r="796" spans="2:15" x14ac:dyDescent="0.2">
      <c r="B796" s="1">
        <v>781</v>
      </c>
      <c r="C796" s="5">
        <f ca="1">_xlfn.NORM.S.INV(RAND())</f>
        <v>0.96245059578719461</v>
      </c>
      <c r="D796" s="5">
        <f ca="1">S0*EXP((μ-0.5*σ*σ)*T+σ*SQRT(T)*$C796)</f>
        <v>0.73064595742002691</v>
      </c>
      <c r="E796" s="5">
        <f ca="1">MAX(0,CP*(D796-K))</f>
        <v>0</v>
      </c>
      <c r="F796" s="4">
        <f ca="1">(CP*(D796-K)&gt;0)*1</f>
        <v>0</v>
      </c>
      <c r="H796" s="4">
        <v>781</v>
      </c>
      <c r="I796" s="3">
        <v>0.66774390703369313</v>
      </c>
      <c r="J796" s="128">
        <v>1.3200866474689522E-3</v>
      </c>
      <c r="K796" s="128"/>
      <c r="L796" s="128">
        <v>4.24E-2</v>
      </c>
      <c r="O796" s="2"/>
    </row>
    <row r="797" spans="2:15" x14ac:dyDescent="0.2">
      <c r="B797" s="1">
        <v>782</v>
      </c>
      <c r="C797" s="5">
        <f ca="1">_xlfn.NORM.S.INV(RAND())</f>
        <v>0.8393651603404626</v>
      </c>
      <c r="D797" s="5">
        <f ca="1">S0*EXP((μ-0.5*σ*σ)*T+σ*SQRT(T)*$C797)</f>
        <v>0.72183337839133532</v>
      </c>
      <c r="E797" s="5">
        <f ca="1">MAX(0,CP*(D797-K))</f>
        <v>0</v>
      </c>
      <c r="F797" s="4">
        <f ca="1">(CP*(D797-K)&gt;0)*1</f>
        <v>0</v>
      </c>
      <c r="H797" s="4">
        <v>782</v>
      </c>
      <c r="I797" s="3">
        <v>0.66775148236425397</v>
      </c>
      <c r="J797" s="128">
        <v>1.2841811963193049E-3</v>
      </c>
      <c r="K797" s="128"/>
      <c r="L797" s="128">
        <v>4.1000000000000002E-2</v>
      </c>
      <c r="O797" s="2"/>
    </row>
    <row r="798" spans="2:15" x14ac:dyDescent="0.2">
      <c r="B798" s="1">
        <v>783</v>
      </c>
      <c r="C798" s="5">
        <f ca="1">_xlfn.NORM.S.INV(RAND())</f>
        <v>-0.70528550686027347</v>
      </c>
      <c r="D798" s="5">
        <f ca="1">S0*EXP((μ-0.5*σ*σ)*T+σ*SQRT(T)*$C798)</f>
        <v>0.61987083983623492</v>
      </c>
      <c r="E798" s="5">
        <f ca="1">MAX(0,CP*(D798-K))</f>
        <v>0</v>
      </c>
      <c r="F798" s="4">
        <f ca="1">(CP*(D798-K)&gt;0)*1</f>
        <v>0</v>
      </c>
      <c r="H798" s="4">
        <v>783</v>
      </c>
      <c r="I798" s="3">
        <v>0.66760189171993378</v>
      </c>
      <c r="J798" s="128">
        <v>1.2619562664763263E-3</v>
      </c>
      <c r="K798" s="128"/>
      <c r="L798" s="128">
        <v>3.78E-2</v>
      </c>
      <c r="O798" s="2"/>
    </row>
    <row r="799" spans="2:15" x14ac:dyDescent="0.2">
      <c r="B799" s="1">
        <v>784</v>
      </c>
      <c r="C799" s="5">
        <f ca="1">_xlfn.NORM.S.INV(RAND())</f>
        <v>-8.7765221909753902E-2</v>
      </c>
      <c r="D799" s="5">
        <f ca="1">S0*EXP((μ-0.5*σ*σ)*T+σ*SQRT(T)*$C799)</f>
        <v>0.65878082761579115</v>
      </c>
      <c r="E799" s="5">
        <f ca="1">MAX(0,CP*(D799-K))</f>
        <v>0</v>
      </c>
      <c r="F799" s="4">
        <f ca="1">(CP*(D799-K)&gt;0)*1</f>
        <v>0</v>
      </c>
      <c r="H799" s="4">
        <v>784</v>
      </c>
      <c r="I799" s="3">
        <v>0.66783888001818814</v>
      </c>
      <c r="J799" s="128">
        <v>1.4025634124823784E-3</v>
      </c>
      <c r="K799" s="128"/>
      <c r="L799" s="128">
        <v>4.5400000000000003E-2</v>
      </c>
      <c r="O799" s="2"/>
    </row>
    <row r="800" spans="2:15" x14ac:dyDescent="0.2">
      <c r="B800" s="1">
        <v>785</v>
      </c>
      <c r="C800" s="5">
        <f ca="1">_xlfn.NORM.S.INV(RAND())</f>
        <v>0.8650571402737337</v>
      </c>
      <c r="D800" s="5">
        <f ca="1">S0*EXP((μ-0.5*σ*σ)*T+σ*SQRT(T)*$C800)</f>
        <v>0.72366403288106051</v>
      </c>
      <c r="E800" s="5">
        <f ca="1">MAX(0,CP*(D800-K))</f>
        <v>0</v>
      </c>
      <c r="F800" s="4">
        <f ca="1">(CP*(D800-K)&gt;0)*1</f>
        <v>0</v>
      </c>
      <c r="H800" s="4">
        <v>785</v>
      </c>
      <c r="I800" s="3">
        <v>0.66773518750493521</v>
      </c>
      <c r="J800" s="128">
        <v>1.3569507161262069E-3</v>
      </c>
      <c r="K800" s="128"/>
      <c r="L800" s="128">
        <v>4.1000000000000002E-2</v>
      </c>
      <c r="O800" s="2"/>
    </row>
    <row r="801" spans="2:15" x14ac:dyDescent="0.2">
      <c r="B801" s="1">
        <v>786</v>
      </c>
      <c r="C801" s="5">
        <f ca="1">_xlfn.NORM.S.INV(RAND())</f>
        <v>9.9278678064880707E-2</v>
      </c>
      <c r="D801" s="5">
        <f ca="1">S0*EXP((μ-0.5*σ*σ)*T+σ*SQRT(T)*$C801)</f>
        <v>0.6710415655489731</v>
      </c>
      <c r="E801" s="5">
        <f ca="1">MAX(0,CP*(D801-K))</f>
        <v>0</v>
      </c>
      <c r="F801" s="4">
        <f ca="1">(CP*(D801-K)&gt;0)*1</f>
        <v>0</v>
      </c>
      <c r="H801" s="4">
        <v>786</v>
      </c>
      <c r="I801" s="3">
        <v>0.66796860175797268</v>
      </c>
      <c r="J801" s="128">
        <v>1.6450390161261183E-3</v>
      </c>
      <c r="K801" s="128"/>
      <c r="L801" s="128">
        <v>4.3400000000000001E-2</v>
      </c>
      <c r="O801" s="2"/>
    </row>
    <row r="802" spans="2:15" x14ac:dyDescent="0.2">
      <c r="B802" s="1">
        <v>787</v>
      </c>
      <c r="C802" s="5">
        <f ca="1">_xlfn.NORM.S.INV(RAND())</f>
        <v>-1.0292780635632925</v>
      </c>
      <c r="D802" s="5">
        <f ca="1">S0*EXP((μ-0.5*σ*σ)*T+σ*SQRT(T)*$C802)</f>
        <v>0.60038404599407402</v>
      </c>
      <c r="E802" s="5">
        <f ca="1">MAX(0,CP*(D802-K))</f>
        <v>0</v>
      </c>
      <c r="F802" s="4">
        <f ca="1">(CP*(D802-K)&gt;0)*1</f>
        <v>0</v>
      </c>
      <c r="H802" s="4">
        <v>787</v>
      </c>
      <c r="I802" s="3">
        <v>0.66766105734011616</v>
      </c>
      <c r="J802" s="128">
        <v>1.1678229660336804E-3</v>
      </c>
      <c r="K802" s="128"/>
      <c r="L802" s="128">
        <v>3.9800000000000002E-2</v>
      </c>
      <c r="O802" s="2"/>
    </row>
    <row r="803" spans="2:15" x14ac:dyDescent="0.2">
      <c r="B803" s="1">
        <v>788</v>
      </c>
      <c r="C803" s="5">
        <f ca="1">_xlfn.NORM.S.INV(RAND())</f>
        <v>-0.43128538657779986</v>
      </c>
      <c r="D803" s="5">
        <f ca="1">S0*EXP((μ-0.5*σ*σ)*T+σ*SQRT(T)*$C803)</f>
        <v>0.63684360798408823</v>
      </c>
      <c r="E803" s="5">
        <f ca="1">MAX(0,CP*(D803-K))</f>
        <v>0</v>
      </c>
      <c r="F803" s="4">
        <f ca="1">(CP*(D803-K)&gt;0)*1</f>
        <v>0</v>
      </c>
      <c r="H803" s="4">
        <v>788</v>
      </c>
      <c r="I803" s="3">
        <v>0.66785450913448974</v>
      </c>
      <c r="J803" s="128">
        <v>1.4583879550118637E-3</v>
      </c>
      <c r="K803" s="128"/>
      <c r="L803" s="128">
        <v>4.58E-2</v>
      </c>
      <c r="O803" s="2"/>
    </row>
    <row r="804" spans="2:15" x14ac:dyDescent="0.2">
      <c r="B804" s="1">
        <v>789</v>
      </c>
      <c r="C804" s="5">
        <f ca="1">_xlfn.NORM.S.INV(RAND())</f>
        <v>-0.27201010212716065</v>
      </c>
      <c r="D804" s="5">
        <f ca="1">S0*EXP((μ-0.5*σ*σ)*T+σ*SQRT(T)*$C804)</f>
        <v>0.64692260068511087</v>
      </c>
      <c r="E804" s="5">
        <f ca="1">MAX(0,CP*(D804-K))</f>
        <v>0</v>
      </c>
      <c r="F804" s="4">
        <f ca="1">(CP*(D804-K)&gt;0)*1</f>
        <v>0</v>
      </c>
      <c r="H804" s="4">
        <v>789</v>
      </c>
      <c r="I804" s="3">
        <v>0.66763945634642985</v>
      </c>
      <c r="J804" s="128">
        <v>1.268479686786704E-3</v>
      </c>
      <c r="K804" s="128"/>
      <c r="L804" s="128">
        <v>3.9399999999999998E-2</v>
      </c>
      <c r="O804" s="2"/>
    </row>
    <row r="805" spans="2:15" x14ac:dyDescent="0.2">
      <c r="B805" s="1">
        <v>790</v>
      </c>
      <c r="C805" s="5">
        <f ca="1">_xlfn.NORM.S.INV(RAND())</f>
        <v>0.57549193013560751</v>
      </c>
      <c r="D805" s="5">
        <f ca="1">S0*EXP((μ-0.5*σ*σ)*T+σ*SQRT(T)*$C805)</f>
        <v>0.70329732535196587</v>
      </c>
      <c r="E805" s="5">
        <f ca="1">MAX(0,CP*(D805-K))</f>
        <v>0</v>
      </c>
      <c r="F805" s="4">
        <f ca="1">(CP*(D805-K)&gt;0)*1</f>
        <v>0</v>
      </c>
      <c r="H805" s="4">
        <v>790</v>
      </c>
      <c r="I805" s="3">
        <v>0.66757248962963078</v>
      </c>
      <c r="J805" s="128">
        <v>1.1805992908214265E-3</v>
      </c>
      <c r="K805" s="128"/>
      <c r="L805" s="128">
        <v>3.8800000000000001E-2</v>
      </c>
      <c r="O805" s="2"/>
    </row>
    <row r="806" spans="2:15" x14ac:dyDescent="0.2">
      <c r="B806" s="1">
        <v>791</v>
      </c>
      <c r="C806" s="5">
        <f ca="1">_xlfn.NORM.S.INV(RAND())</f>
        <v>1.3803350755505273</v>
      </c>
      <c r="D806" s="5">
        <f ca="1">S0*EXP((μ-0.5*σ*σ)*T+σ*SQRT(T)*$C806)</f>
        <v>0.76137589872692746</v>
      </c>
      <c r="E806" s="5">
        <f ca="1">MAX(0,CP*(D806-K))</f>
        <v>0</v>
      </c>
      <c r="F806" s="4">
        <f ca="1">(CP*(D806-K)&gt;0)*1</f>
        <v>0</v>
      </c>
      <c r="H806" s="4">
        <v>791</v>
      </c>
      <c r="I806" s="3">
        <v>0.66764922084607625</v>
      </c>
      <c r="J806" s="128">
        <v>1.2916102159917736E-3</v>
      </c>
      <c r="K806" s="128"/>
      <c r="L806" s="128">
        <v>4.0599999999999997E-2</v>
      </c>
      <c r="O806" s="2"/>
    </row>
    <row r="807" spans="2:15" x14ac:dyDescent="0.2">
      <c r="B807" s="1">
        <v>792</v>
      </c>
      <c r="C807" s="5">
        <f ca="1">_xlfn.NORM.S.INV(RAND())</f>
        <v>-0.15156365180227427</v>
      </c>
      <c r="D807" s="5">
        <f ca="1">S0*EXP((μ-0.5*σ*σ)*T+σ*SQRT(T)*$C807)</f>
        <v>0.65465028048478935</v>
      </c>
      <c r="E807" s="5">
        <f ca="1">MAX(0,CP*(D807-K))</f>
        <v>0</v>
      </c>
      <c r="F807" s="4">
        <f ca="1">(CP*(D807-K)&gt;0)*1</f>
        <v>0</v>
      </c>
      <c r="H807" s="4">
        <v>792</v>
      </c>
      <c r="I807" s="3">
        <v>0.6675668033262937</v>
      </c>
      <c r="J807" s="128">
        <v>1.1975875144578478E-3</v>
      </c>
      <c r="K807" s="128"/>
      <c r="L807" s="128">
        <v>4.1200000000000001E-2</v>
      </c>
      <c r="O807" s="2"/>
    </row>
    <row r="808" spans="2:15" x14ac:dyDescent="0.2">
      <c r="B808" s="1">
        <v>793</v>
      </c>
      <c r="C808" s="5">
        <f ca="1">_xlfn.NORM.S.INV(RAND())</f>
        <v>-0.7554127214121853</v>
      </c>
      <c r="D808" s="5">
        <f ca="1">S0*EXP((μ-0.5*σ*σ)*T+σ*SQRT(T)*$C808)</f>
        <v>0.61681504763331751</v>
      </c>
      <c r="E808" s="5">
        <f ca="1">MAX(0,CP*(D808-K))</f>
        <v>0</v>
      </c>
      <c r="F808" s="4">
        <f ca="1">(CP*(D808-K)&gt;0)*1</f>
        <v>0</v>
      </c>
      <c r="H808" s="4">
        <v>793</v>
      </c>
      <c r="I808" s="3">
        <v>0.66772914501646108</v>
      </c>
      <c r="J808" s="128">
        <v>1.3370270141905461E-3</v>
      </c>
      <c r="K808" s="128"/>
      <c r="L808" s="128">
        <v>4.4999999999999998E-2</v>
      </c>
      <c r="O808" s="2"/>
    </row>
    <row r="809" spans="2:15" x14ac:dyDescent="0.2">
      <c r="B809" s="1">
        <v>794</v>
      </c>
      <c r="C809" s="5">
        <f ca="1">_xlfn.NORM.S.INV(RAND())</f>
        <v>1.3816856530947605</v>
      </c>
      <c r="D809" s="5">
        <f ca="1">S0*EXP((μ-0.5*σ*σ)*T+σ*SQRT(T)*$C809)</f>
        <v>0.76147728269467418</v>
      </c>
      <c r="E809" s="5">
        <f ca="1">MAX(0,CP*(D809-K))</f>
        <v>0</v>
      </c>
      <c r="F809" s="4">
        <f ca="1">(CP*(D809-K)&gt;0)*1</f>
        <v>0</v>
      </c>
      <c r="H809" s="4">
        <v>794</v>
      </c>
      <c r="I809" s="3">
        <v>0.66787637568550828</v>
      </c>
      <c r="J809" s="128">
        <v>1.5727918596907316E-3</v>
      </c>
      <c r="K809" s="128"/>
      <c r="L809" s="128">
        <v>4.24E-2</v>
      </c>
      <c r="O809" s="2"/>
    </row>
    <row r="810" spans="2:15" x14ac:dyDescent="0.2">
      <c r="B810" s="1">
        <v>795</v>
      </c>
      <c r="C810" s="5">
        <f ca="1">_xlfn.NORM.S.INV(RAND())</f>
        <v>-0.92224263582845545</v>
      </c>
      <c r="D810" s="5">
        <f ca="1">S0*EXP((μ-0.5*σ*σ)*T+σ*SQRT(T)*$C810)</f>
        <v>0.60675305468920704</v>
      </c>
      <c r="E810" s="5">
        <f ca="1">MAX(0,CP*(D810-K))</f>
        <v>0</v>
      </c>
      <c r="F810" s="4">
        <f ca="1">(CP*(D810-K)&gt;0)*1</f>
        <v>0</v>
      </c>
      <c r="H810" s="4">
        <v>795</v>
      </c>
      <c r="I810" s="3">
        <v>0.66793903307984082</v>
      </c>
      <c r="J810" s="128">
        <v>1.5594622674560208E-3</v>
      </c>
      <c r="K810" s="128"/>
      <c r="L810" s="128">
        <v>4.48E-2</v>
      </c>
      <c r="O810" s="2"/>
    </row>
    <row r="811" spans="2:15" x14ac:dyDescent="0.2">
      <c r="B811" s="1">
        <v>796</v>
      </c>
      <c r="C811" s="5">
        <f ca="1">_xlfn.NORM.S.INV(RAND())</f>
        <v>-0.73629831262840051</v>
      </c>
      <c r="D811" s="5">
        <f ca="1">S0*EXP((μ-0.5*σ*σ)*T+σ*SQRT(T)*$C811)</f>
        <v>0.61797849520036141</v>
      </c>
      <c r="E811" s="5">
        <f ca="1">MAX(0,CP*(D811-K))</f>
        <v>0</v>
      </c>
      <c r="F811" s="4">
        <f ca="1">(CP*(D811-K)&gt;0)*1</f>
        <v>0</v>
      </c>
      <c r="H811" s="4">
        <v>796</v>
      </c>
      <c r="I811" s="3">
        <v>0.66776289354363749</v>
      </c>
      <c r="J811" s="128">
        <v>1.3714526102724658E-3</v>
      </c>
      <c r="K811" s="128"/>
      <c r="L811" s="128">
        <v>3.9E-2</v>
      </c>
      <c r="O811" s="2"/>
    </row>
    <row r="812" spans="2:15" x14ac:dyDescent="0.2">
      <c r="B812" s="1">
        <v>797</v>
      </c>
      <c r="C812" s="5">
        <f ca="1">_xlfn.NORM.S.INV(RAND())</f>
        <v>-2.2400628717564492</v>
      </c>
      <c r="D812" s="5">
        <f ca="1">S0*EXP((μ-0.5*σ*σ)*T+σ*SQRT(T)*$C812)</f>
        <v>0.5328294099022689</v>
      </c>
      <c r="E812" s="5">
        <f ca="1">MAX(0,CP*(D812-K))</f>
        <v>0</v>
      </c>
      <c r="F812" s="4">
        <f ca="1">(CP*(D812-K)&gt;0)*1</f>
        <v>0</v>
      </c>
      <c r="H812" s="4">
        <v>797</v>
      </c>
      <c r="I812" s="3">
        <v>0.66770333923166814</v>
      </c>
      <c r="J812" s="128">
        <v>1.4229703348800627E-3</v>
      </c>
      <c r="K812" s="128"/>
      <c r="L812" s="128">
        <v>4.0800000000000003E-2</v>
      </c>
      <c r="O812" s="2"/>
    </row>
    <row r="813" spans="2:15" x14ac:dyDescent="0.2">
      <c r="B813" s="1">
        <v>798</v>
      </c>
      <c r="C813" s="5">
        <f ca="1">_xlfn.NORM.S.INV(RAND())</f>
        <v>-0.45052287846081801</v>
      </c>
      <c r="D813" s="5">
        <f ca="1">S0*EXP((μ-0.5*σ*σ)*T+σ*SQRT(T)*$C813)</f>
        <v>0.63563693054422388</v>
      </c>
      <c r="E813" s="5">
        <f ca="1">MAX(0,CP*(D813-K))</f>
        <v>0</v>
      </c>
      <c r="F813" s="4">
        <f ca="1">(CP*(D813-K)&gt;0)*1</f>
        <v>0</v>
      </c>
      <c r="H813" s="4">
        <v>798</v>
      </c>
      <c r="I813" s="3">
        <v>0.66773174991221795</v>
      </c>
      <c r="J813" s="128">
        <v>1.4089845700923699E-3</v>
      </c>
      <c r="K813" s="128"/>
      <c r="L813" s="128">
        <v>4.1000000000000002E-2</v>
      </c>
      <c r="O813" s="2"/>
    </row>
    <row r="814" spans="2:15" x14ac:dyDescent="0.2">
      <c r="B814" s="1">
        <v>799</v>
      </c>
      <c r="C814" s="5">
        <f ca="1">_xlfn.NORM.S.INV(RAND())</f>
        <v>-0.32745737729607394</v>
      </c>
      <c r="D814" s="5">
        <f ca="1">S0*EXP((μ-0.5*σ*σ)*T+σ*SQRT(T)*$C814)</f>
        <v>0.64339590668848357</v>
      </c>
      <c r="E814" s="5">
        <f ca="1">MAX(0,CP*(D814-K))</f>
        <v>0</v>
      </c>
      <c r="F814" s="4">
        <f ca="1">(CP*(D814-K)&gt;0)*1</f>
        <v>0</v>
      </c>
      <c r="H814" s="4">
        <v>799</v>
      </c>
      <c r="I814" s="3">
        <v>0.6677036683109534</v>
      </c>
      <c r="J814" s="128">
        <v>1.1759152862983945E-3</v>
      </c>
      <c r="K814" s="128"/>
      <c r="L814" s="128">
        <v>0.04</v>
      </c>
      <c r="O814" s="2"/>
    </row>
    <row r="815" spans="2:15" x14ac:dyDescent="0.2">
      <c r="B815" s="1">
        <v>800</v>
      </c>
      <c r="C815" s="5">
        <f ca="1">_xlfn.NORM.S.INV(RAND())</f>
        <v>-0.31690373450196602</v>
      </c>
      <c r="D815" s="5">
        <f ca="1">S0*EXP((μ-0.5*σ*σ)*T+σ*SQRT(T)*$C815)</f>
        <v>0.64406568079967352</v>
      </c>
      <c r="E815" s="5">
        <f ca="1">MAX(0,CP*(D815-K))</f>
        <v>0</v>
      </c>
      <c r="F815" s="4">
        <f ca="1">(CP*(D815-K)&gt;0)*1</f>
        <v>0</v>
      </c>
      <c r="H815" s="4">
        <v>800</v>
      </c>
      <c r="I815" s="3">
        <v>0.66782867557530667</v>
      </c>
      <c r="J815" s="128">
        <v>1.385736116296824E-3</v>
      </c>
      <c r="K815" s="128"/>
      <c r="L815" s="128">
        <v>4.48E-2</v>
      </c>
      <c r="O815" s="2"/>
    </row>
    <row r="816" spans="2:15" x14ac:dyDescent="0.2">
      <c r="B816" s="1">
        <v>801</v>
      </c>
      <c r="C816" s="5">
        <f ca="1">_xlfn.NORM.S.INV(RAND())</f>
        <v>0.61719564194557697</v>
      </c>
      <c r="D816" s="5">
        <f ca="1">S0*EXP((μ-0.5*σ*σ)*T+σ*SQRT(T)*$C816)</f>
        <v>0.70619485905314772</v>
      </c>
      <c r="E816" s="5">
        <f ca="1">MAX(0,CP*(D816-K))</f>
        <v>0</v>
      </c>
      <c r="F816" s="4">
        <f ca="1">(CP*(D816-K)&gt;0)*1</f>
        <v>0</v>
      </c>
      <c r="H816" s="4">
        <v>801</v>
      </c>
      <c r="I816" s="3">
        <v>0.66778204831146326</v>
      </c>
      <c r="J816" s="128">
        <v>1.5791492076507486E-3</v>
      </c>
      <c r="K816" s="128"/>
      <c r="L816" s="128">
        <v>4.48E-2</v>
      </c>
      <c r="O816" s="2"/>
    </row>
    <row r="817" spans="2:15" x14ac:dyDescent="0.2">
      <c r="B817" s="1">
        <v>802</v>
      </c>
      <c r="C817" s="5">
        <f ca="1">_xlfn.NORM.S.INV(RAND())</f>
        <v>2.1417835998997745</v>
      </c>
      <c r="D817" s="5">
        <f ca="1">S0*EXP((μ-0.5*σ*σ)*T+σ*SQRT(T)*$C817)</f>
        <v>0.82073187519144497</v>
      </c>
      <c r="E817" s="5">
        <f ca="1">MAX(0,CP*(D817-K))</f>
        <v>3.2531875191444959E-2</v>
      </c>
      <c r="F817" s="4">
        <f ca="1">(CP*(D817-K)&gt;0)*1</f>
        <v>1</v>
      </c>
      <c r="H817" s="4">
        <v>802</v>
      </c>
      <c r="I817" s="3">
        <v>0.66779200092918578</v>
      </c>
      <c r="J817" s="128">
        <v>1.2761538477965653E-3</v>
      </c>
      <c r="K817" s="128"/>
      <c r="L817" s="128">
        <v>4.3200000000000002E-2</v>
      </c>
      <c r="O817" s="2"/>
    </row>
    <row r="818" spans="2:15" x14ac:dyDescent="0.2">
      <c r="B818" s="1">
        <v>803</v>
      </c>
      <c r="C818" s="5">
        <f ca="1">_xlfn.NORM.S.INV(RAND())</f>
        <v>1.066330581943717</v>
      </c>
      <c r="D818" s="5">
        <f ca="1">S0*EXP((μ-0.5*σ*σ)*T+σ*SQRT(T)*$C818)</f>
        <v>0.73816714377940107</v>
      </c>
      <c r="E818" s="5">
        <f ca="1">MAX(0,CP*(D818-K))</f>
        <v>0</v>
      </c>
      <c r="F818" s="4">
        <f ca="1">(CP*(D818-K)&gt;0)*1</f>
        <v>0</v>
      </c>
      <c r="H818" s="4">
        <v>803</v>
      </c>
      <c r="I818" s="3">
        <v>0.66783722324464512</v>
      </c>
      <c r="J818" s="128">
        <v>1.4652232050996361E-3</v>
      </c>
      <c r="K818" s="128"/>
      <c r="L818" s="128">
        <v>4.3400000000000001E-2</v>
      </c>
      <c r="O818" s="2"/>
    </row>
    <row r="819" spans="2:15" x14ac:dyDescent="0.2">
      <c r="B819" s="1">
        <v>804</v>
      </c>
      <c r="C819" s="5">
        <f ca="1">_xlfn.NORM.S.INV(RAND())</f>
        <v>-2.1742707972812636</v>
      </c>
      <c r="D819" s="5">
        <f ca="1">S0*EXP((μ-0.5*σ*σ)*T+σ*SQRT(T)*$C819)</f>
        <v>0.5362967203376714</v>
      </c>
      <c r="E819" s="5">
        <f ca="1">MAX(0,CP*(D819-K))</f>
        <v>0</v>
      </c>
      <c r="F819" s="4">
        <f ca="1">(CP*(D819-K)&gt;0)*1</f>
        <v>0</v>
      </c>
      <c r="H819" s="4">
        <v>804</v>
      </c>
      <c r="I819" s="3">
        <v>0.66776336381432388</v>
      </c>
      <c r="J819" s="128">
        <v>1.433877445218599E-3</v>
      </c>
      <c r="K819" s="128"/>
      <c r="L819" s="128">
        <v>4.0599999999999997E-2</v>
      </c>
      <c r="O819" s="2"/>
    </row>
    <row r="820" spans="2:15" x14ac:dyDescent="0.2">
      <c r="B820" s="1">
        <v>805</v>
      </c>
      <c r="C820" s="5">
        <f ca="1">_xlfn.NORM.S.INV(RAND())</f>
        <v>-0.21098812383905002</v>
      </c>
      <c r="D820" s="5">
        <f ca="1">S0*EXP((μ-0.5*σ*σ)*T+σ*SQRT(T)*$C820)</f>
        <v>0.65082621894319637</v>
      </c>
      <c r="E820" s="5">
        <f ca="1">MAX(0,CP*(D820-K))</f>
        <v>0</v>
      </c>
      <c r="F820" s="4">
        <f ca="1">(CP*(D820-K)&gt;0)*1</f>
        <v>0</v>
      </c>
      <c r="H820" s="4">
        <v>805</v>
      </c>
      <c r="I820" s="3">
        <v>0.66761415544824787</v>
      </c>
      <c r="J820" s="128">
        <v>1.0260249836920425E-3</v>
      </c>
      <c r="K820" s="128"/>
      <c r="L820" s="128">
        <v>3.7999999999999999E-2</v>
      </c>
      <c r="O820" s="2"/>
    </row>
    <row r="821" spans="2:15" x14ac:dyDescent="0.2">
      <c r="B821" s="1">
        <v>806</v>
      </c>
      <c r="C821" s="5">
        <f ca="1">_xlfn.NORM.S.INV(RAND())</f>
        <v>0.91993783751696057</v>
      </c>
      <c r="D821" s="5">
        <f ca="1">S0*EXP((μ-0.5*σ*σ)*T+σ*SQRT(T)*$C821)</f>
        <v>0.72759006406225923</v>
      </c>
      <c r="E821" s="5">
        <f ca="1">MAX(0,CP*(D821-K))</f>
        <v>0</v>
      </c>
      <c r="F821" s="4">
        <f ca="1">(CP*(D821-K)&gt;0)*1</f>
        <v>0</v>
      </c>
      <c r="H821" s="4">
        <v>806</v>
      </c>
      <c r="I821" s="3">
        <v>0.66767688291617311</v>
      </c>
      <c r="J821" s="128">
        <v>1.2743335636745212E-3</v>
      </c>
      <c r="K821" s="128"/>
      <c r="L821" s="128">
        <v>4.1200000000000001E-2</v>
      </c>
      <c r="O821" s="2"/>
    </row>
    <row r="822" spans="2:15" x14ac:dyDescent="0.2">
      <c r="B822" s="1">
        <v>807</v>
      </c>
      <c r="C822" s="5">
        <f ca="1">_xlfn.NORM.S.INV(RAND())</f>
        <v>0.82010937632823078</v>
      </c>
      <c r="D822" s="5">
        <f ca="1">S0*EXP((μ-0.5*σ*σ)*T+σ*SQRT(T)*$C822)</f>
        <v>0.7204643649115825</v>
      </c>
      <c r="E822" s="5">
        <f ca="1">MAX(0,CP*(D822-K))</f>
        <v>0</v>
      </c>
      <c r="F822" s="4">
        <f ca="1">(CP*(D822-K)&gt;0)*1</f>
        <v>0</v>
      </c>
      <c r="H822" s="4">
        <v>807</v>
      </c>
      <c r="I822" s="3">
        <v>0.66757888062425608</v>
      </c>
      <c r="J822" s="128">
        <v>1.0932992647313289E-3</v>
      </c>
      <c r="K822" s="128"/>
      <c r="L822" s="128">
        <v>3.56E-2</v>
      </c>
      <c r="O822" s="2"/>
    </row>
    <row r="823" spans="2:15" x14ac:dyDescent="0.2">
      <c r="B823" s="1">
        <v>808</v>
      </c>
      <c r="C823" s="5">
        <f ca="1">_xlfn.NORM.S.INV(RAND())</f>
        <v>9.9291618201432508E-2</v>
      </c>
      <c r="D823" s="5">
        <f ca="1">S0*EXP((μ-0.5*σ*σ)*T+σ*SQRT(T)*$C823)</f>
        <v>0.67104242162094607</v>
      </c>
      <c r="E823" s="5">
        <f ca="1">MAX(0,CP*(D823-K))</f>
        <v>0</v>
      </c>
      <c r="F823" s="4">
        <f ca="1">(CP*(D823-K)&gt;0)*1</f>
        <v>0</v>
      </c>
      <c r="H823" s="4">
        <v>808</v>
      </c>
      <c r="I823" s="3">
        <v>0.66768731996199904</v>
      </c>
      <c r="J823" s="128">
        <v>1.3814181237799328E-3</v>
      </c>
      <c r="K823" s="128"/>
      <c r="L823" s="128">
        <v>4.3400000000000001E-2</v>
      </c>
      <c r="O823" s="2"/>
    </row>
    <row r="824" spans="2:15" x14ac:dyDescent="0.2">
      <c r="B824" s="1">
        <v>809</v>
      </c>
      <c r="C824" s="5">
        <f ca="1">_xlfn.NORM.S.INV(RAND())</f>
        <v>-0.75442287846984368</v>
      </c>
      <c r="D824" s="5">
        <f ca="1">S0*EXP((μ-0.5*σ*σ)*T+σ*SQRT(T)*$C824)</f>
        <v>0.61687524315217712</v>
      </c>
      <c r="E824" s="5">
        <f ca="1">MAX(0,CP*(D824-K))</f>
        <v>0</v>
      </c>
      <c r="F824" s="4">
        <f ca="1">(CP*(D824-K)&gt;0)*1</f>
        <v>0</v>
      </c>
      <c r="H824" s="4">
        <v>809</v>
      </c>
      <c r="I824" s="3">
        <v>0.66774789768582432</v>
      </c>
      <c r="J824" s="128">
        <v>1.2765395427474209E-3</v>
      </c>
      <c r="K824" s="128"/>
      <c r="L824" s="128">
        <v>4.0800000000000003E-2</v>
      </c>
      <c r="O824" s="2"/>
    </row>
    <row r="825" spans="2:15" x14ac:dyDescent="0.2">
      <c r="B825" s="1">
        <v>810</v>
      </c>
      <c r="C825" s="5">
        <f ca="1">_xlfn.NORM.S.INV(RAND())</f>
        <v>4.9742222778379246E-2</v>
      </c>
      <c r="D825" s="5">
        <f ca="1">S0*EXP((μ-0.5*σ*σ)*T+σ*SQRT(T)*$C825)</f>
        <v>0.66777240669571769</v>
      </c>
      <c r="E825" s="5">
        <f ca="1">MAX(0,CP*(D825-K))</f>
        <v>0</v>
      </c>
      <c r="F825" s="4">
        <f ca="1">(CP*(D825-K)&gt;0)*1</f>
        <v>0</v>
      </c>
      <c r="H825" s="4">
        <v>810</v>
      </c>
      <c r="I825" s="3">
        <v>0.66775672246461559</v>
      </c>
      <c r="J825" s="128">
        <v>1.4496936247957544E-3</v>
      </c>
      <c r="K825" s="128"/>
      <c r="L825" s="128">
        <v>4.5600000000000002E-2</v>
      </c>
      <c r="O825" s="2"/>
    </row>
    <row r="826" spans="2:15" x14ac:dyDescent="0.2">
      <c r="B826" s="1">
        <v>811</v>
      </c>
      <c r="C826" s="5">
        <f ca="1">_xlfn.NORM.S.INV(RAND())</f>
        <v>-8.3516934343011329E-2</v>
      </c>
      <c r="D826" s="5">
        <f ca="1">S0*EXP((μ-0.5*σ*σ)*T+σ*SQRT(T)*$C826)</f>
        <v>0.65905680120952814</v>
      </c>
      <c r="E826" s="5">
        <f ca="1">MAX(0,CP*(D826-K))</f>
        <v>0</v>
      </c>
      <c r="F826" s="4">
        <f ca="1">(CP*(D826-K)&gt;0)*1</f>
        <v>0</v>
      </c>
      <c r="H826" s="4">
        <v>811</v>
      </c>
      <c r="I826" s="3">
        <v>0.66765689257794236</v>
      </c>
      <c r="J826" s="128">
        <v>1.3063070389925837E-3</v>
      </c>
      <c r="K826" s="128"/>
      <c r="L826" s="128">
        <v>4.02E-2</v>
      </c>
      <c r="O826" s="2"/>
    </row>
    <row r="827" spans="2:15" x14ac:dyDescent="0.2">
      <c r="B827" s="1">
        <v>812</v>
      </c>
      <c r="C827" s="5">
        <f ca="1">_xlfn.NORM.S.INV(RAND())</f>
        <v>0.45345221418353754</v>
      </c>
      <c r="D827" s="5">
        <f ca="1">S0*EXP((μ-0.5*σ*σ)*T+σ*SQRT(T)*$C827)</f>
        <v>0.69488624332960125</v>
      </c>
      <c r="E827" s="5">
        <f ca="1">MAX(0,CP*(D827-K))</f>
        <v>0</v>
      </c>
      <c r="F827" s="4">
        <f ca="1">(CP*(D827-K)&gt;0)*1</f>
        <v>0</v>
      </c>
      <c r="H827" s="4">
        <v>812</v>
      </c>
      <c r="I827" s="3">
        <v>0.66780518018200341</v>
      </c>
      <c r="J827" s="128">
        <v>1.5206472850372212E-3</v>
      </c>
      <c r="K827" s="128"/>
      <c r="L827" s="128">
        <v>4.0599999999999997E-2</v>
      </c>
      <c r="O827" s="2"/>
    </row>
    <row r="828" spans="2:15" x14ac:dyDescent="0.2">
      <c r="B828" s="1">
        <v>813</v>
      </c>
      <c r="C828" s="5">
        <f ca="1">_xlfn.NORM.S.INV(RAND())</f>
        <v>-0.30571147896313394</v>
      </c>
      <c r="D828" s="5">
        <f ca="1">S0*EXP((μ-0.5*σ*σ)*T+σ*SQRT(T)*$C828)</f>
        <v>0.64477674550428743</v>
      </c>
      <c r="E828" s="5">
        <f ca="1">MAX(0,CP*(D828-K))</f>
        <v>0</v>
      </c>
      <c r="F828" s="4">
        <f ca="1">(CP*(D828-K)&gt;0)*1</f>
        <v>0</v>
      </c>
      <c r="H828" s="4">
        <v>813</v>
      </c>
      <c r="I828" s="3">
        <v>0.66770784035169817</v>
      </c>
      <c r="J828" s="128">
        <v>1.2330390470903241E-3</v>
      </c>
      <c r="K828" s="128"/>
      <c r="L828" s="128">
        <v>3.7600000000000001E-2</v>
      </c>
      <c r="O828" s="2"/>
    </row>
    <row r="829" spans="2:15" x14ac:dyDescent="0.2">
      <c r="B829" s="1">
        <v>814</v>
      </c>
      <c r="C829" s="5">
        <f ca="1">_xlfn.NORM.S.INV(RAND())</f>
        <v>-0.60664026906486379</v>
      </c>
      <c r="D829" s="5">
        <f ca="1">S0*EXP((μ-0.5*σ*σ)*T+σ*SQRT(T)*$C829)</f>
        <v>0.62592860676097828</v>
      </c>
      <c r="E829" s="5">
        <f ca="1">MAX(0,CP*(D829-K))</f>
        <v>0</v>
      </c>
      <c r="F829" s="4">
        <f ca="1">(CP*(D829-K)&gt;0)*1</f>
        <v>0</v>
      </c>
      <c r="H829" s="4">
        <v>814</v>
      </c>
      <c r="I829" s="3">
        <v>0.6676576634979895</v>
      </c>
      <c r="J829" s="128">
        <v>1.29020920579448E-3</v>
      </c>
      <c r="K829" s="128"/>
      <c r="L829" s="128">
        <v>3.8800000000000001E-2</v>
      </c>
      <c r="O829" s="2"/>
    </row>
    <row r="830" spans="2:15" x14ac:dyDescent="0.2">
      <c r="B830" s="1">
        <v>815</v>
      </c>
      <c r="C830" s="5">
        <f ca="1">_xlfn.NORM.S.INV(RAND())</f>
        <v>1.5056391125994422</v>
      </c>
      <c r="D830" s="5">
        <f ca="1">S0*EXP((μ-0.5*σ*σ)*T+σ*SQRT(T)*$C830)</f>
        <v>0.77083982130951745</v>
      </c>
      <c r="E830" s="5">
        <f ca="1">MAX(0,CP*(D830-K))</f>
        <v>0</v>
      </c>
      <c r="F830" s="4">
        <f ca="1">(CP*(D830-K)&gt;0)*1</f>
        <v>0</v>
      </c>
      <c r="H830" s="4">
        <v>815</v>
      </c>
      <c r="I830" s="3">
        <v>0.66779872448228483</v>
      </c>
      <c r="J830" s="128">
        <v>1.4392712912821061E-3</v>
      </c>
      <c r="K830" s="128"/>
      <c r="L830" s="128">
        <v>4.1599999999999998E-2</v>
      </c>
      <c r="O830" s="2"/>
    </row>
    <row r="831" spans="2:15" x14ac:dyDescent="0.2">
      <c r="B831" s="1">
        <v>816</v>
      </c>
      <c r="C831" s="5">
        <f ca="1">_xlfn.NORM.S.INV(RAND())</f>
        <v>-0.10747068147518819</v>
      </c>
      <c r="D831" s="5">
        <f ca="1">S0*EXP((μ-0.5*σ*σ)*T+σ*SQRT(T)*$C831)</f>
        <v>0.65750224894955267</v>
      </c>
      <c r="E831" s="5">
        <f ca="1">MAX(0,CP*(D831-K))</f>
        <v>0</v>
      </c>
      <c r="F831" s="4">
        <f ca="1">(CP*(D831-K)&gt;0)*1</f>
        <v>0</v>
      </c>
      <c r="H831" s="4">
        <v>816</v>
      </c>
      <c r="I831" s="3">
        <v>0.66774912503073436</v>
      </c>
      <c r="J831" s="128">
        <v>1.2555107653708759E-3</v>
      </c>
      <c r="K831" s="128"/>
      <c r="L831" s="128">
        <v>4.0399999999999998E-2</v>
      </c>
      <c r="O831" s="2"/>
    </row>
    <row r="832" spans="2:15" x14ac:dyDescent="0.2">
      <c r="B832" s="1">
        <v>817</v>
      </c>
      <c r="C832" s="5">
        <f ca="1">_xlfn.NORM.S.INV(RAND())</f>
        <v>0.41222891822769547</v>
      </c>
      <c r="D832" s="5">
        <f ca="1">S0*EXP((μ-0.5*σ*σ)*T+σ*SQRT(T)*$C832)</f>
        <v>0.69206788676172326</v>
      </c>
      <c r="E832" s="5">
        <f ca="1">MAX(0,CP*(D832-K))</f>
        <v>0</v>
      </c>
      <c r="F832" s="4">
        <f ca="1">(CP*(D832-K)&gt;0)*1</f>
        <v>0</v>
      </c>
      <c r="H832" s="4">
        <v>817</v>
      </c>
      <c r="I832" s="3">
        <v>0.66794522656015431</v>
      </c>
      <c r="J832" s="128">
        <v>1.6094283204657668E-3</v>
      </c>
      <c r="K832" s="128"/>
      <c r="L832" s="128">
        <v>4.7600000000000003E-2</v>
      </c>
      <c r="O832" s="2"/>
    </row>
    <row r="833" spans="2:15" x14ac:dyDescent="0.2">
      <c r="B833" s="1">
        <v>818</v>
      </c>
      <c r="C833" s="5">
        <f ca="1">_xlfn.NORM.S.INV(RAND())</f>
        <v>0.33080899653970791</v>
      </c>
      <c r="D833" s="5">
        <f ca="1">S0*EXP((μ-0.5*σ*σ)*T+σ*SQRT(T)*$C833)</f>
        <v>0.68653490514840776</v>
      </c>
      <c r="E833" s="5">
        <f ca="1">MAX(0,CP*(D833-K))</f>
        <v>0</v>
      </c>
      <c r="F833" s="4">
        <f ca="1">(CP*(D833-K)&gt;0)*1</f>
        <v>0</v>
      </c>
      <c r="H833" s="4">
        <v>818</v>
      </c>
      <c r="I833" s="3">
        <v>0.6676933591324048</v>
      </c>
      <c r="J833" s="128">
        <v>1.517187680355702E-3</v>
      </c>
      <c r="K833" s="128"/>
      <c r="L833" s="128">
        <v>3.5799999999999998E-2</v>
      </c>
      <c r="O833" s="2"/>
    </row>
    <row r="834" spans="2:15" x14ac:dyDescent="0.2">
      <c r="B834" s="1">
        <v>819</v>
      </c>
      <c r="C834" s="5">
        <f ca="1">_xlfn.NORM.S.INV(RAND())</f>
        <v>-0.21931249367009689</v>
      </c>
      <c r="D834" s="5">
        <f ca="1">S0*EXP((μ-0.5*σ*σ)*T+σ*SQRT(T)*$C834)</f>
        <v>0.65029231892988659</v>
      </c>
      <c r="E834" s="5">
        <f ca="1">MAX(0,CP*(D834-K))</f>
        <v>0</v>
      </c>
      <c r="F834" s="4">
        <f ca="1">(CP*(D834-K)&gt;0)*1</f>
        <v>0</v>
      </c>
      <c r="H834" s="4">
        <v>819</v>
      </c>
      <c r="I834" s="3">
        <v>0.66766956411356704</v>
      </c>
      <c r="J834" s="128">
        <v>1.3100673749687245E-3</v>
      </c>
      <c r="K834" s="128"/>
      <c r="L834" s="128">
        <v>3.8600000000000002E-2</v>
      </c>
      <c r="O834" s="2"/>
    </row>
    <row r="835" spans="2:15" x14ac:dyDescent="0.2">
      <c r="B835" s="1">
        <v>820</v>
      </c>
      <c r="C835" s="5">
        <f ca="1">_xlfn.NORM.S.INV(RAND())</f>
        <v>0.13425380140503682</v>
      </c>
      <c r="D835" s="5">
        <f ca="1">S0*EXP((μ-0.5*σ*σ)*T+σ*SQRT(T)*$C835)</f>
        <v>0.6733593837010925</v>
      </c>
      <c r="E835" s="5">
        <f ca="1">MAX(0,CP*(D835-K))</f>
        <v>0</v>
      </c>
      <c r="F835" s="4">
        <f ca="1">(CP*(D835-K)&gt;0)*1</f>
        <v>0</v>
      </c>
      <c r="H835" s="4">
        <v>820</v>
      </c>
      <c r="I835" s="3">
        <v>0.6676810486539746</v>
      </c>
      <c r="J835" s="128">
        <v>1.2614215918264418E-3</v>
      </c>
      <c r="K835" s="128"/>
      <c r="L835" s="128">
        <v>4.1599999999999998E-2</v>
      </c>
      <c r="O835" s="2"/>
    </row>
    <row r="836" spans="2:15" x14ac:dyDescent="0.2">
      <c r="B836" s="1">
        <v>821</v>
      </c>
      <c r="C836" s="5">
        <f ca="1">_xlfn.NORM.S.INV(RAND())</f>
        <v>1.0004044038458249</v>
      </c>
      <c r="D836" s="5">
        <f ca="1">S0*EXP((μ-0.5*σ*σ)*T+σ*SQRT(T)*$C836)</f>
        <v>0.73338498768847993</v>
      </c>
      <c r="E836" s="5">
        <f ca="1">MAX(0,CP*(D836-K))</f>
        <v>0</v>
      </c>
      <c r="F836" s="4">
        <f ca="1">(CP*(D836-K)&gt;0)*1</f>
        <v>0</v>
      </c>
      <c r="H836" s="4">
        <v>821</v>
      </c>
      <c r="I836" s="3">
        <v>0.66766424099533839</v>
      </c>
      <c r="J836" s="128">
        <v>1.4035027426786821E-3</v>
      </c>
      <c r="K836" s="128"/>
      <c r="L836" s="128">
        <v>4.02E-2</v>
      </c>
      <c r="O836" s="2"/>
    </row>
    <row r="837" spans="2:15" x14ac:dyDescent="0.2">
      <c r="B837" s="1">
        <v>822</v>
      </c>
      <c r="C837" s="5">
        <f ca="1">_xlfn.NORM.S.INV(RAND())</f>
        <v>0.39335681681800483</v>
      </c>
      <c r="D837" s="5">
        <f ca="1">S0*EXP((μ-0.5*σ*σ)*T+σ*SQRT(T)*$C837)</f>
        <v>0.69078145507602695</v>
      </c>
      <c r="E837" s="5">
        <f ca="1">MAX(0,CP*(D837-K))</f>
        <v>0</v>
      </c>
      <c r="F837" s="4">
        <f ca="1">(CP*(D837-K)&gt;0)*1</f>
        <v>0</v>
      </c>
      <c r="H837" s="4">
        <v>822</v>
      </c>
      <c r="I837" s="3">
        <v>0.66769733777294404</v>
      </c>
      <c r="J837" s="128">
        <v>1.2787207920435647E-3</v>
      </c>
      <c r="K837" s="128"/>
      <c r="L837" s="128">
        <v>3.9399999999999998E-2</v>
      </c>
      <c r="O837" s="2"/>
    </row>
    <row r="838" spans="2:15" x14ac:dyDescent="0.2">
      <c r="B838" s="1">
        <v>823</v>
      </c>
      <c r="C838" s="5">
        <f ca="1">_xlfn.NORM.S.INV(RAND())</f>
        <v>-2.5697262590992178</v>
      </c>
      <c r="D838" s="5">
        <f ca="1">S0*EXP((μ-0.5*σ*σ)*T+σ*SQRT(T)*$C838)</f>
        <v>0.51579048037785202</v>
      </c>
      <c r="E838" s="5">
        <f ca="1">MAX(0,CP*(D838-K))</f>
        <v>0</v>
      </c>
      <c r="F838" s="4">
        <f ca="1">(CP*(D838-K)&gt;0)*1</f>
        <v>0</v>
      </c>
      <c r="H838" s="4">
        <v>823</v>
      </c>
      <c r="I838" s="3">
        <v>0.66773168896461088</v>
      </c>
      <c r="J838" s="128">
        <v>1.3552557227575863E-3</v>
      </c>
      <c r="K838" s="128"/>
      <c r="L838" s="128">
        <v>4.2599999999999999E-2</v>
      </c>
      <c r="O838" s="2"/>
    </row>
    <row r="839" spans="2:15" x14ac:dyDescent="0.2">
      <c r="B839" s="1">
        <v>824</v>
      </c>
      <c r="C839" s="5">
        <f ca="1">_xlfn.NORM.S.INV(RAND())</f>
        <v>-3.910102065867864E-2</v>
      </c>
      <c r="D839" s="5">
        <f ca="1">S0*EXP((μ-0.5*σ*σ)*T+σ*SQRT(T)*$C839)</f>
        <v>0.66194904148721723</v>
      </c>
      <c r="E839" s="5">
        <f ca="1">MAX(0,CP*(D839-K))</f>
        <v>0</v>
      </c>
      <c r="F839" s="4">
        <f ca="1">(CP*(D839-K)&gt;0)*1</f>
        <v>0</v>
      </c>
      <c r="H839" s="4">
        <v>824</v>
      </c>
      <c r="I839" s="3">
        <v>0.667608294626301</v>
      </c>
      <c r="J839" s="128">
        <v>1.2646704094761935E-3</v>
      </c>
      <c r="K839" s="128"/>
      <c r="L839" s="128">
        <v>4.0599999999999997E-2</v>
      </c>
      <c r="O839" s="2"/>
    </row>
    <row r="840" spans="2:15" x14ac:dyDescent="0.2">
      <c r="B840" s="1">
        <v>825</v>
      </c>
      <c r="C840" s="5">
        <f ca="1">_xlfn.NORM.S.INV(RAND())</f>
        <v>0.38678281783492391</v>
      </c>
      <c r="D840" s="5">
        <f ca="1">S0*EXP((μ-0.5*σ*σ)*T+σ*SQRT(T)*$C840)</f>
        <v>0.6903338950458946</v>
      </c>
      <c r="E840" s="5">
        <f ca="1">MAX(0,CP*(D840-K))</f>
        <v>0</v>
      </c>
      <c r="F840" s="4">
        <f ca="1">(CP*(D840-K)&gt;0)*1</f>
        <v>0</v>
      </c>
      <c r="H840" s="4">
        <v>825</v>
      </c>
      <c r="I840" s="3">
        <v>0.66781681385128999</v>
      </c>
      <c r="J840" s="128">
        <v>1.4337014239429028E-3</v>
      </c>
      <c r="K840" s="128"/>
      <c r="L840" s="128">
        <v>4.2799999999999998E-2</v>
      </c>
      <c r="O840" s="2"/>
    </row>
    <row r="841" spans="2:15" x14ac:dyDescent="0.2">
      <c r="B841" s="1">
        <v>826</v>
      </c>
      <c r="C841" s="5">
        <f ca="1">_xlfn.NORM.S.INV(RAND())</f>
        <v>-0.35091163632035899</v>
      </c>
      <c r="D841" s="5">
        <f ca="1">S0*EXP((μ-0.5*σ*σ)*T+σ*SQRT(T)*$C841)</f>
        <v>0.64190990357530797</v>
      </c>
      <c r="E841" s="5">
        <f ca="1">MAX(0,CP*(D841-K))</f>
        <v>0</v>
      </c>
      <c r="F841" s="4">
        <f ca="1">(CP*(D841-K)&gt;0)*1</f>
        <v>0</v>
      </c>
      <c r="H841" s="4">
        <v>826</v>
      </c>
      <c r="I841" s="3">
        <v>0.66766593030336341</v>
      </c>
      <c r="J841" s="128">
        <v>1.2184360959630934E-3</v>
      </c>
      <c r="K841" s="128"/>
      <c r="L841" s="128">
        <v>3.7199999999999997E-2</v>
      </c>
      <c r="O841" s="2"/>
    </row>
    <row r="842" spans="2:15" x14ac:dyDescent="0.2">
      <c r="B842" s="1">
        <v>827</v>
      </c>
      <c r="C842" s="5">
        <f ca="1">_xlfn.NORM.S.INV(RAND())</f>
        <v>0.26551548986903517</v>
      </c>
      <c r="D842" s="5">
        <f ca="1">S0*EXP((μ-0.5*σ*σ)*T+σ*SQRT(T)*$C842)</f>
        <v>0.68212978981479944</v>
      </c>
      <c r="E842" s="5">
        <f ca="1">MAX(0,CP*(D842-K))</f>
        <v>0</v>
      </c>
      <c r="F842" s="4">
        <f ca="1">(CP*(D842-K)&gt;0)*1</f>
        <v>0</v>
      </c>
      <c r="H842" s="4">
        <v>827</v>
      </c>
      <c r="I842" s="3">
        <v>0.66764878650663595</v>
      </c>
      <c r="J842" s="128">
        <v>1.2727450586668329E-3</v>
      </c>
      <c r="K842" s="128"/>
      <c r="L842" s="128">
        <v>3.8399999999999997E-2</v>
      </c>
      <c r="O842" s="2"/>
    </row>
    <row r="843" spans="2:15" x14ac:dyDescent="0.2">
      <c r="B843" s="1">
        <v>828</v>
      </c>
      <c r="C843" s="5">
        <f ca="1">_xlfn.NORM.S.INV(RAND())</f>
        <v>-2.6106033690451055E-2</v>
      </c>
      <c r="D843" s="5">
        <f ca="1">S0*EXP((μ-0.5*σ*σ)*T+σ*SQRT(T)*$C843)</f>
        <v>0.66279763626115629</v>
      </c>
      <c r="E843" s="5">
        <f ca="1">MAX(0,CP*(D843-K))</f>
        <v>0</v>
      </c>
      <c r="F843" s="4">
        <f ca="1">(CP*(D843-K)&gt;0)*1</f>
        <v>0</v>
      </c>
      <c r="H843" s="4">
        <v>828</v>
      </c>
      <c r="I843" s="3">
        <v>0.66757028497665782</v>
      </c>
      <c r="J843" s="128">
        <v>1.2735417884412402E-3</v>
      </c>
      <c r="K843" s="128"/>
      <c r="L843" s="128">
        <v>3.7400000000000003E-2</v>
      </c>
      <c r="O843" s="2"/>
    </row>
    <row r="844" spans="2:15" x14ac:dyDescent="0.2">
      <c r="B844" s="1">
        <v>829</v>
      </c>
      <c r="C844" s="5">
        <f ca="1">_xlfn.NORM.S.INV(RAND())</f>
        <v>-2.0844817885324542</v>
      </c>
      <c r="D844" s="5">
        <f ca="1">S0*EXP((μ-0.5*σ*σ)*T+σ*SQRT(T)*$C844)</f>
        <v>0.54106513109985455</v>
      </c>
      <c r="E844" s="5">
        <f ca="1">MAX(0,CP*(D844-K))</f>
        <v>0</v>
      </c>
      <c r="F844" s="4">
        <f ca="1">(CP*(D844-K)&gt;0)*1</f>
        <v>0</v>
      </c>
      <c r="H844" s="4">
        <v>829</v>
      </c>
      <c r="I844" s="3">
        <v>0.66791370520232884</v>
      </c>
      <c r="J844" s="128">
        <v>1.5587368601422712E-3</v>
      </c>
      <c r="K844" s="128"/>
      <c r="L844" s="128">
        <v>4.6399999999999997E-2</v>
      </c>
      <c r="O844" s="2"/>
    </row>
    <row r="845" spans="2:15" x14ac:dyDescent="0.2">
      <c r="B845" s="1">
        <v>830</v>
      </c>
      <c r="C845" s="5">
        <f ca="1">_xlfn.NORM.S.INV(RAND())</f>
        <v>-1.5696969059180641</v>
      </c>
      <c r="D845" s="5">
        <f ca="1">S0*EXP((μ-0.5*σ*σ)*T+σ*SQRT(T)*$C845)</f>
        <v>0.56923366042457801</v>
      </c>
      <c r="E845" s="5">
        <f ca="1">MAX(0,CP*(D845-K))</f>
        <v>0</v>
      </c>
      <c r="F845" s="4">
        <f ca="1">(CP*(D845-K)&gt;0)*1</f>
        <v>0</v>
      </c>
      <c r="H845" s="4">
        <v>830</v>
      </c>
      <c r="I845" s="3">
        <v>0.66796733751754367</v>
      </c>
      <c r="J845" s="128">
        <v>1.7360167145462871E-3</v>
      </c>
      <c r="K845" s="128"/>
      <c r="L845" s="128">
        <v>4.7E-2</v>
      </c>
      <c r="O845" s="2"/>
    </row>
    <row r="846" spans="2:15" x14ac:dyDescent="0.2">
      <c r="B846" s="1">
        <v>831</v>
      </c>
      <c r="C846" s="5">
        <f ca="1">_xlfn.NORM.S.INV(RAND())</f>
        <v>1.8481728397733441</v>
      </c>
      <c r="D846" s="5">
        <f ca="1">S0*EXP((μ-0.5*σ*σ)*T+σ*SQRT(T)*$C846)</f>
        <v>0.79731523772243829</v>
      </c>
      <c r="E846" s="5">
        <f ca="1">MAX(0,CP*(D846-K))</f>
        <v>9.1152377224382741E-3</v>
      </c>
      <c r="F846" s="4">
        <f ca="1">(CP*(D846-K)&gt;0)*1</f>
        <v>1</v>
      </c>
      <c r="H846" s="4">
        <v>831</v>
      </c>
      <c r="I846" s="3">
        <v>0.66777151296813997</v>
      </c>
      <c r="J846" s="128">
        <v>1.3658255293417737E-3</v>
      </c>
      <c r="K846" s="128"/>
      <c r="L846" s="128">
        <v>4.2200000000000001E-2</v>
      </c>
      <c r="O846" s="2"/>
    </row>
    <row r="847" spans="2:15" x14ac:dyDescent="0.2">
      <c r="B847" s="1">
        <v>832</v>
      </c>
      <c r="C847" s="5">
        <f ca="1">_xlfn.NORM.S.INV(RAND())</f>
        <v>1.2115097397304835</v>
      </c>
      <c r="D847" s="5">
        <f ca="1">S0*EXP((μ-0.5*σ*σ)*T+σ*SQRT(T)*$C847)</f>
        <v>0.74880838788399062</v>
      </c>
      <c r="E847" s="5">
        <f ca="1">MAX(0,CP*(D847-K))</f>
        <v>0</v>
      </c>
      <c r="F847" s="4">
        <f ca="1">(CP*(D847-K)&gt;0)*1</f>
        <v>0</v>
      </c>
      <c r="H847" s="4">
        <v>832</v>
      </c>
      <c r="I847" s="3">
        <v>0.66780529536524835</v>
      </c>
      <c r="J847" s="128">
        <v>1.4994308204503662E-3</v>
      </c>
      <c r="K847" s="128"/>
      <c r="L847" s="128">
        <v>4.5999999999999999E-2</v>
      </c>
      <c r="O847" s="2"/>
    </row>
    <row r="848" spans="2:15" x14ac:dyDescent="0.2">
      <c r="B848" s="1">
        <v>833</v>
      </c>
      <c r="C848" s="5">
        <f ca="1">_xlfn.NORM.S.INV(RAND())</f>
        <v>0.59677653025862487</v>
      </c>
      <c r="D848" s="5">
        <f ca="1">S0*EXP((μ-0.5*σ*σ)*T+σ*SQRT(T)*$C848)</f>
        <v>0.70477467033647823</v>
      </c>
      <c r="E848" s="5">
        <f ca="1">MAX(0,CP*(D848-K))</f>
        <v>0</v>
      </c>
      <c r="F848" s="4">
        <f ca="1">(CP*(D848-K)&gt;0)*1</f>
        <v>0</v>
      </c>
      <c r="H848" s="4">
        <v>833</v>
      </c>
      <c r="I848" s="3">
        <v>0.66786109188157439</v>
      </c>
      <c r="J848" s="128">
        <v>1.4158720277514447E-3</v>
      </c>
      <c r="K848" s="128"/>
      <c r="L848" s="128">
        <v>4.5199999999999997E-2</v>
      </c>
      <c r="O848" s="2"/>
    </row>
    <row r="849" spans="2:15" x14ac:dyDescent="0.2">
      <c r="B849" s="1">
        <v>834</v>
      </c>
      <c r="C849" s="5">
        <f ca="1">_xlfn.NORM.S.INV(RAND())</f>
        <v>-4.8499130560948234E-2</v>
      </c>
      <c r="D849" s="5">
        <f ca="1">S0*EXP((μ-0.5*σ*σ)*T+σ*SQRT(T)*$C849)</f>
        <v>0.66133600599598374</v>
      </c>
      <c r="E849" s="5">
        <f ca="1">MAX(0,CP*(D849-K))</f>
        <v>0</v>
      </c>
      <c r="F849" s="4">
        <f ca="1">(CP*(D849-K)&gt;0)*1</f>
        <v>0</v>
      </c>
      <c r="H849" s="4">
        <v>834</v>
      </c>
      <c r="I849" s="3">
        <v>0.66768395584856555</v>
      </c>
      <c r="J849" s="128">
        <v>1.3814346267167635E-3</v>
      </c>
      <c r="K849" s="128"/>
      <c r="L849" s="128">
        <v>4.3999999999999997E-2</v>
      </c>
      <c r="O849" s="2"/>
    </row>
    <row r="850" spans="2:15" x14ac:dyDescent="0.2">
      <c r="B850" s="1">
        <v>835</v>
      </c>
      <c r="C850" s="5">
        <f ca="1">_xlfn.NORM.S.INV(RAND())</f>
        <v>0.95461954765881363</v>
      </c>
      <c r="D850" s="5">
        <f ca="1">S0*EXP((μ-0.5*σ*σ)*T+σ*SQRT(T)*$C850)</f>
        <v>0.73008208485708193</v>
      </c>
      <c r="E850" s="5">
        <f ca="1">MAX(0,CP*(D850-K))</f>
        <v>0</v>
      </c>
      <c r="F850" s="4">
        <f ca="1">(CP*(D850-K)&gt;0)*1</f>
        <v>0</v>
      </c>
      <c r="H850" s="4">
        <v>835</v>
      </c>
      <c r="I850" s="3">
        <v>0.66780943582349106</v>
      </c>
      <c r="J850" s="128">
        <v>1.3708663582583447E-3</v>
      </c>
      <c r="K850" s="128"/>
      <c r="L850" s="128">
        <v>4.4400000000000002E-2</v>
      </c>
      <c r="O850" s="2"/>
    </row>
    <row r="851" spans="2:15" x14ac:dyDescent="0.2">
      <c r="B851" s="1">
        <v>836</v>
      </c>
      <c r="C851" s="5">
        <f ca="1">_xlfn.NORM.S.INV(RAND())</f>
        <v>-1.7018747336974123</v>
      </c>
      <c r="D851" s="5">
        <f ca="1">S0*EXP((μ-0.5*σ*σ)*T+σ*SQRT(T)*$C851)</f>
        <v>0.56186405366873227</v>
      </c>
      <c r="E851" s="5">
        <f ca="1">MAX(0,CP*(D851-K))</f>
        <v>0</v>
      </c>
      <c r="F851" s="4">
        <f ca="1">(CP*(D851-K)&gt;0)*1</f>
        <v>0</v>
      </c>
      <c r="H851" s="4">
        <v>836</v>
      </c>
      <c r="I851" s="3">
        <v>0.66772101829131802</v>
      </c>
      <c r="J851" s="128">
        <v>1.313603688100897E-3</v>
      </c>
      <c r="K851" s="128"/>
      <c r="L851" s="128">
        <v>3.8600000000000002E-2</v>
      </c>
      <c r="O851" s="2"/>
    </row>
    <row r="852" spans="2:15" x14ac:dyDescent="0.2">
      <c r="B852" s="1">
        <v>837</v>
      </c>
      <c r="C852" s="5">
        <f ca="1">_xlfn.NORM.S.INV(RAND())</f>
        <v>-0.11209406044427096</v>
      </c>
      <c r="D852" s="5">
        <f ca="1">S0*EXP((μ-0.5*σ*σ)*T+σ*SQRT(T)*$C852)</f>
        <v>0.65720262295899701</v>
      </c>
      <c r="E852" s="5">
        <f ca="1">MAX(0,CP*(D852-K))</f>
        <v>0</v>
      </c>
      <c r="F852" s="4">
        <f ca="1">(CP*(D852-K)&gt;0)*1</f>
        <v>0</v>
      </c>
      <c r="H852" s="4">
        <v>837</v>
      </c>
      <c r="I852" s="3">
        <v>0.66795501147065672</v>
      </c>
      <c r="J852" s="128">
        <v>1.5809725372362259E-3</v>
      </c>
      <c r="K852" s="128"/>
      <c r="L852" s="128">
        <v>4.5999999999999999E-2</v>
      </c>
      <c r="O852" s="2"/>
    </row>
    <row r="853" spans="2:15" x14ac:dyDescent="0.2">
      <c r="B853" s="1">
        <v>838</v>
      </c>
      <c r="C853" s="5">
        <f ca="1">_xlfn.NORM.S.INV(RAND())</f>
        <v>-0.40733833859421481</v>
      </c>
      <c r="D853" s="5">
        <f ca="1">S0*EXP((μ-0.5*σ*σ)*T+σ*SQRT(T)*$C853)</f>
        <v>0.63834889480147106</v>
      </c>
      <c r="E853" s="5">
        <f ca="1">MAX(0,CP*(D853-K))</f>
        <v>0</v>
      </c>
      <c r="F853" s="4">
        <f ca="1">(CP*(D853-K)&gt;0)*1</f>
        <v>0</v>
      </c>
      <c r="H853" s="4">
        <v>838</v>
      </c>
      <c r="I853" s="3">
        <v>0.6678702839204268</v>
      </c>
      <c r="J853" s="128">
        <v>1.5290840212269661E-3</v>
      </c>
      <c r="K853" s="128"/>
      <c r="L853" s="128">
        <v>4.48E-2</v>
      </c>
      <c r="O853" s="2"/>
    </row>
    <row r="854" spans="2:15" x14ac:dyDescent="0.2">
      <c r="B854" s="1">
        <v>839</v>
      </c>
      <c r="C854" s="5">
        <f ca="1">_xlfn.NORM.S.INV(RAND())</f>
        <v>-1.2759337526726184</v>
      </c>
      <c r="D854" s="5">
        <f ca="1">S0*EXP((μ-0.5*σ*σ)*T+σ*SQRT(T)*$C854)</f>
        <v>0.58596049159878272</v>
      </c>
      <c r="E854" s="5">
        <f ca="1">MAX(0,CP*(D854-K))</f>
        <v>0</v>
      </c>
      <c r="F854" s="4">
        <f ca="1">(CP*(D854-K)&gt;0)*1</f>
        <v>0</v>
      </c>
      <c r="H854" s="4">
        <v>839</v>
      </c>
      <c r="I854" s="3">
        <v>0.66769205158439948</v>
      </c>
      <c r="J854" s="128">
        <v>1.3102147547141823E-3</v>
      </c>
      <c r="K854" s="128"/>
      <c r="L854" s="128">
        <v>4.0599999999999997E-2</v>
      </c>
      <c r="O854" s="2"/>
    </row>
    <row r="855" spans="2:15" x14ac:dyDescent="0.2">
      <c r="B855" s="1">
        <v>840</v>
      </c>
      <c r="C855" s="5">
        <f ca="1">_xlfn.NORM.S.INV(RAND())</f>
        <v>0.70457336500361167</v>
      </c>
      <c r="D855" s="5">
        <f ca="1">S0*EXP((μ-0.5*σ*σ)*T+σ*SQRT(T)*$C855)</f>
        <v>0.71230454547112754</v>
      </c>
      <c r="E855" s="5">
        <f ca="1">MAX(0,CP*(D855-K))</f>
        <v>0</v>
      </c>
      <c r="F855" s="4">
        <f ca="1">(CP*(D855-K)&gt;0)*1</f>
        <v>0</v>
      </c>
      <c r="H855" s="4">
        <v>840</v>
      </c>
      <c r="I855" s="3">
        <v>0.66773983791527769</v>
      </c>
      <c r="J855" s="128">
        <v>1.2951309040021245E-3</v>
      </c>
      <c r="K855" s="128"/>
      <c r="L855" s="128">
        <v>4.3999999999999997E-2</v>
      </c>
      <c r="O855" s="2"/>
    </row>
    <row r="856" spans="2:15" x14ac:dyDescent="0.2">
      <c r="B856" s="1">
        <v>841</v>
      </c>
      <c r="C856" s="5">
        <f ca="1">_xlfn.NORM.S.INV(RAND())</f>
        <v>-8.4081751115308301E-2</v>
      </c>
      <c r="D856" s="5">
        <f ca="1">S0*EXP((μ-0.5*σ*σ)*T+σ*SQRT(T)*$C856)</f>
        <v>0.65902010340696482</v>
      </c>
      <c r="E856" s="5">
        <f ca="1">MAX(0,CP*(D856-K))</f>
        <v>0</v>
      </c>
      <c r="F856" s="4">
        <f ca="1">(CP*(D856-K)&gt;0)*1</f>
        <v>0</v>
      </c>
      <c r="H856" s="4">
        <v>841</v>
      </c>
      <c r="I856" s="3">
        <v>0.667828241084924</v>
      </c>
      <c r="J856" s="128">
        <v>1.469043703544727E-3</v>
      </c>
      <c r="K856" s="128"/>
      <c r="L856" s="128">
        <v>4.3200000000000002E-2</v>
      </c>
      <c r="O856" s="2"/>
    </row>
    <row r="857" spans="2:15" x14ac:dyDescent="0.2">
      <c r="B857" s="1">
        <v>842</v>
      </c>
      <c r="C857" s="5">
        <f ca="1">_xlfn.NORM.S.INV(RAND())</f>
        <v>3.5558455509003668E-2</v>
      </c>
      <c r="D857" s="5">
        <f ca="1">S0*EXP((μ-0.5*σ*σ)*T+σ*SQRT(T)*$C857)</f>
        <v>0.66683928523900615</v>
      </c>
      <c r="E857" s="5">
        <f ca="1">MAX(0,CP*(D857-K))</f>
        <v>0</v>
      </c>
      <c r="F857" s="4">
        <f ca="1">(CP*(D857-K)&gt;0)*1</f>
        <v>0</v>
      </c>
      <c r="H857" s="4">
        <v>842</v>
      </c>
      <c r="I857" s="3">
        <v>0.6676844010408638</v>
      </c>
      <c r="J857" s="128">
        <v>1.3506251104660333E-3</v>
      </c>
      <c r="K857" s="128"/>
      <c r="L857" s="128">
        <v>4.1799999999999997E-2</v>
      </c>
      <c r="O857" s="2"/>
    </row>
    <row r="858" spans="2:15" x14ac:dyDescent="0.2">
      <c r="B858" s="1">
        <v>843</v>
      </c>
      <c r="C858" s="5">
        <f ca="1">_xlfn.NORM.S.INV(RAND())</f>
        <v>-0.84686319825080425</v>
      </c>
      <c r="D858" s="5">
        <f ca="1">S0*EXP((μ-0.5*σ*σ)*T+σ*SQRT(T)*$C858)</f>
        <v>0.61127891668234535</v>
      </c>
      <c r="E858" s="5">
        <f ca="1">MAX(0,CP*(D858-K))</f>
        <v>0</v>
      </c>
      <c r="F858" s="4">
        <f ca="1">(CP*(D858-K)&gt;0)*1</f>
        <v>0</v>
      </c>
      <c r="H858" s="4">
        <v>843</v>
      </c>
      <c r="I858" s="3">
        <v>0.66779978575883092</v>
      </c>
      <c r="J858" s="128">
        <v>1.4915412672309258E-3</v>
      </c>
      <c r="K858" s="128"/>
      <c r="L858" s="128">
        <v>4.4600000000000001E-2</v>
      </c>
      <c r="O858" s="2"/>
    </row>
    <row r="859" spans="2:15" x14ac:dyDescent="0.2">
      <c r="B859" s="1">
        <v>844</v>
      </c>
      <c r="C859" s="5">
        <f ca="1">_xlfn.NORM.S.INV(RAND())</f>
        <v>0.83561962960399461</v>
      </c>
      <c r="D859" s="5">
        <f ca="1">S0*EXP((μ-0.5*σ*σ)*T+σ*SQRT(T)*$C859)</f>
        <v>0.72156688167360061</v>
      </c>
      <c r="E859" s="5">
        <f ca="1">MAX(0,CP*(D859-K))</f>
        <v>0</v>
      </c>
      <c r="F859" s="4">
        <f ca="1">(CP*(D859-K)&gt;0)*1</f>
        <v>0</v>
      </c>
      <c r="H859" s="4">
        <v>844</v>
      </c>
      <c r="I859" s="3">
        <v>0.66786209038306432</v>
      </c>
      <c r="J859" s="128">
        <v>1.5474055609985406E-3</v>
      </c>
      <c r="K859" s="128"/>
      <c r="L859" s="128">
        <v>4.5600000000000002E-2</v>
      </c>
      <c r="O859" s="2"/>
    </row>
    <row r="860" spans="2:15" x14ac:dyDescent="0.2">
      <c r="B860" s="1">
        <v>845</v>
      </c>
      <c r="C860" s="5">
        <f ca="1">_xlfn.NORM.S.INV(RAND())</f>
        <v>-0.82525200351613814</v>
      </c>
      <c r="D860" s="5">
        <f ca="1">S0*EXP((μ-0.5*σ*σ)*T+σ*SQRT(T)*$C860)</f>
        <v>0.61258269168131152</v>
      </c>
      <c r="E860" s="5">
        <f ca="1">MAX(0,CP*(D860-K))</f>
        <v>0</v>
      </c>
      <c r="F860" s="4">
        <f ca="1">(CP*(D860-K)&gt;0)*1</f>
        <v>0</v>
      </c>
      <c r="H860" s="4">
        <v>845</v>
      </c>
      <c r="I860" s="3">
        <v>0.66766982747640602</v>
      </c>
      <c r="J860" s="128">
        <v>1.2659661878544242E-3</v>
      </c>
      <c r="K860" s="128"/>
      <c r="L860" s="128">
        <v>3.9800000000000002E-2</v>
      </c>
      <c r="O860" s="2"/>
    </row>
    <row r="861" spans="2:15" x14ac:dyDescent="0.2">
      <c r="B861" s="1">
        <v>846</v>
      </c>
      <c r="C861" s="5">
        <f ca="1">_xlfn.NORM.S.INV(RAND())</f>
        <v>1.791373980831501</v>
      </c>
      <c r="D861" s="5">
        <f ca="1">S0*EXP((μ-0.5*σ*σ)*T+σ*SQRT(T)*$C861)</f>
        <v>0.79286302390329599</v>
      </c>
      <c r="E861" s="5">
        <f ca="1">MAX(0,CP*(D861-K))</f>
        <v>4.6630239032959819E-3</v>
      </c>
      <c r="F861" s="4">
        <f ca="1">(CP*(D861-K)&gt;0)*1</f>
        <v>1</v>
      </c>
      <c r="H861" s="4">
        <v>846</v>
      </c>
      <c r="I861" s="3">
        <v>0.66781371923295396</v>
      </c>
      <c r="J861" s="128">
        <v>1.5655787552682238E-3</v>
      </c>
      <c r="K861" s="128"/>
      <c r="L861" s="128">
        <v>4.3799999999999999E-2</v>
      </c>
      <c r="O861" s="2"/>
    </row>
    <row r="862" spans="2:15" x14ac:dyDescent="0.2">
      <c r="B862" s="1">
        <v>847</v>
      </c>
      <c r="C862" s="5">
        <f ca="1">_xlfn.NORM.S.INV(RAND())</f>
        <v>-0.5891356152002285</v>
      </c>
      <c r="D862" s="5">
        <f ca="1">S0*EXP((μ-0.5*σ*σ)*T+σ*SQRT(T)*$C862)</f>
        <v>0.62700972910211938</v>
      </c>
      <c r="E862" s="5">
        <f ca="1">MAX(0,CP*(D862-K))</f>
        <v>0</v>
      </c>
      <c r="F862" s="4">
        <f ca="1">(CP*(D862-K)&gt;0)*1</f>
        <v>0</v>
      </c>
      <c r="H862" s="4">
        <v>847</v>
      </c>
      <c r="I862" s="3">
        <v>0.66789729930152486</v>
      </c>
      <c r="J862" s="128">
        <v>1.6346012186934651E-3</v>
      </c>
      <c r="K862" s="128"/>
      <c r="L862" s="128">
        <v>4.5199999999999997E-2</v>
      </c>
      <c r="O862" s="2"/>
    </row>
    <row r="863" spans="2:15" x14ac:dyDescent="0.2">
      <c r="B863" s="1">
        <v>848</v>
      </c>
      <c r="C863" s="5">
        <f ca="1">_xlfn.NORM.S.INV(RAND())</f>
        <v>-0.22878490501187426</v>
      </c>
      <c r="D863" s="5">
        <f ca="1">S0*EXP((μ-0.5*σ*σ)*T+σ*SQRT(T)*$C863)</f>
        <v>0.64968531972193866</v>
      </c>
      <c r="E863" s="5">
        <f ca="1">MAX(0,CP*(D863-K))</f>
        <v>0</v>
      </c>
      <c r="F863" s="4">
        <f ca="1">(CP*(D863-K)&gt;0)*1</f>
        <v>0</v>
      </c>
      <c r="H863" s="4">
        <v>848</v>
      </c>
      <c r="I863" s="3">
        <v>0.66783107246606177</v>
      </c>
      <c r="J863" s="128">
        <v>1.4869535505815552E-3</v>
      </c>
      <c r="K863" s="128"/>
      <c r="L863" s="128">
        <v>4.5400000000000003E-2</v>
      </c>
      <c r="O863" s="2"/>
    </row>
    <row r="864" spans="2:15" x14ac:dyDescent="0.2">
      <c r="B864" s="1">
        <v>849</v>
      </c>
      <c r="C864" s="5">
        <f ca="1">_xlfn.NORM.S.INV(RAND())</f>
        <v>0.22769404657924114</v>
      </c>
      <c r="D864" s="5">
        <f ca="1">S0*EXP((μ-0.5*σ*σ)*T+σ*SQRT(T)*$C864)</f>
        <v>0.67959105461309477</v>
      </c>
      <c r="E864" s="5">
        <f ca="1">MAX(0,CP*(D864-K))</f>
        <v>0</v>
      </c>
      <c r="F864" s="4">
        <f ca="1">(CP*(D864-K)&gt;0)*1</f>
        <v>0</v>
      </c>
      <c r="H864" s="4">
        <v>849</v>
      </c>
      <c r="I864" s="3">
        <v>0.66768574306399597</v>
      </c>
      <c r="J864" s="128">
        <v>1.3894645787547936E-3</v>
      </c>
      <c r="K864" s="128"/>
      <c r="L864" s="128">
        <v>4.0800000000000003E-2</v>
      </c>
      <c r="O864" s="2"/>
    </row>
    <row r="865" spans="2:15" x14ac:dyDescent="0.2">
      <c r="B865" s="1">
        <v>850</v>
      </c>
      <c r="C865" s="5">
        <f ca="1">_xlfn.NORM.S.INV(RAND())</f>
        <v>-0.11965274044878567</v>
      </c>
      <c r="D865" s="5">
        <f ca="1">S0*EXP((μ-0.5*σ*σ)*T+σ*SQRT(T)*$C865)</f>
        <v>0.6567130638198736</v>
      </c>
      <c r="E865" s="5">
        <f ca="1">MAX(0,CP*(D865-K))</f>
        <v>0</v>
      </c>
      <c r="F865" s="4">
        <f ca="1">(CP*(D865-K)&gt;0)*1</f>
        <v>0</v>
      </c>
      <c r="H865" s="4">
        <v>850</v>
      </c>
      <c r="I865" s="3">
        <v>0.66763761694457047</v>
      </c>
      <c r="J865" s="128">
        <v>1.2961183336864725E-3</v>
      </c>
      <c r="K865" s="128"/>
      <c r="L865" s="128">
        <v>3.9E-2</v>
      </c>
      <c r="O865" s="2"/>
    </row>
    <row r="866" spans="2:15" x14ac:dyDescent="0.2">
      <c r="B866" s="1">
        <v>851</v>
      </c>
      <c r="C866" s="5">
        <f ca="1">_xlfn.NORM.S.INV(RAND())</f>
        <v>-0.59905724040491293</v>
      </c>
      <c r="D866" s="5">
        <f ca="1">S0*EXP((μ-0.5*σ*σ)*T+σ*SQRT(T)*$C866)</f>
        <v>0.62639672069217966</v>
      </c>
      <c r="E866" s="5">
        <f ca="1">MAX(0,CP*(D866-K))</f>
        <v>0</v>
      </c>
      <c r="F866" s="4">
        <f ca="1">(CP*(D866-K)&gt;0)*1</f>
        <v>0</v>
      </c>
      <c r="H866" s="4">
        <v>851</v>
      </c>
      <c r="I866" s="3">
        <v>0.66765028980522645</v>
      </c>
      <c r="J866" s="128">
        <v>1.2654227806539054E-3</v>
      </c>
      <c r="K866" s="128"/>
      <c r="L866" s="128">
        <v>3.9399999999999998E-2</v>
      </c>
      <c r="O866" s="2"/>
    </row>
    <row r="867" spans="2:15" x14ac:dyDescent="0.2">
      <c r="B867" s="1">
        <v>852</v>
      </c>
      <c r="C867" s="5">
        <f ca="1">_xlfn.NORM.S.INV(RAND())</f>
        <v>1.0194670353212747</v>
      </c>
      <c r="D867" s="5">
        <f ca="1">S0*EXP((μ-0.5*σ*σ)*T+σ*SQRT(T)*$C867)</f>
        <v>0.73476456087567565</v>
      </c>
      <c r="E867" s="5">
        <f ca="1">MAX(0,CP*(D867-K))</f>
        <v>0</v>
      </c>
      <c r="F867" s="4">
        <f ca="1">(CP*(D867-K)&gt;0)*1</f>
        <v>0</v>
      </c>
      <c r="H867" s="4">
        <v>852</v>
      </c>
      <c r="I867" s="3">
        <v>0.66777457826378017</v>
      </c>
      <c r="J867" s="128">
        <v>1.3481860279302353E-3</v>
      </c>
      <c r="K867" s="128"/>
      <c r="L867" s="128">
        <v>4.1799999999999997E-2</v>
      </c>
      <c r="O867" s="2"/>
    </row>
    <row r="868" spans="2:15" x14ac:dyDescent="0.2">
      <c r="B868" s="1">
        <v>853</v>
      </c>
      <c r="C868" s="5">
        <f ca="1">_xlfn.NORM.S.INV(RAND())</f>
        <v>-1.6181775645635641</v>
      </c>
      <c r="D868" s="5">
        <f ca="1">S0*EXP((μ-0.5*σ*σ)*T+σ*SQRT(T)*$C868)</f>
        <v>0.56651945105856472</v>
      </c>
      <c r="E868" s="5">
        <f ca="1">MAX(0,CP*(D868-K))</f>
        <v>0</v>
      </c>
      <c r="F868" s="4">
        <f ca="1">(CP*(D868-K)&gt;0)*1</f>
        <v>0</v>
      </c>
      <c r="H868" s="4">
        <v>853</v>
      </c>
      <c r="I868" s="3">
        <v>0.66770211244396616</v>
      </c>
      <c r="J868" s="128">
        <v>1.1492949699852203E-3</v>
      </c>
      <c r="K868" s="128"/>
      <c r="L868" s="128">
        <v>3.9600000000000003E-2</v>
      </c>
      <c r="O868" s="2"/>
    </row>
    <row r="869" spans="2:15" x14ac:dyDescent="0.2">
      <c r="B869" s="1">
        <v>854</v>
      </c>
      <c r="C869" s="5">
        <f ca="1">_xlfn.NORM.S.INV(RAND())</f>
        <v>0.14747640780735838</v>
      </c>
      <c r="D869" s="5">
        <f ca="1">S0*EXP((μ-0.5*σ*σ)*T+σ*SQRT(T)*$C869)</f>
        <v>0.67423773613278248</v>
      </c>
      <c r="E869" s="5">
        <f ca="1">MAX(0,CP*(D869-K))</f>
        <v>0</v>
      </c>
      <c r="F869" s="4">
        <f ca="1">(CP*(D869-K)&gt;0)*1</f>
        <v>0</v>
      </c>
      <c r="H869" s="4">
        <v>854</v>
      </c>
      <c r="I869" s="3">
        <v>0.66776768761434235</v>
      </c>
      <c r="J869" s="128">
        <v>1.3349801600601157E-3</v>
      </c>
      <c r="K869" s="128"/>
      <c r="L869" s="128">
        <v>4.1000000000000002E-2</v>
      </c>
      <c r="O869" s="2"/>
    </row>
    <row r="870" spans="2:15" x14ac:dyDescent="0.2">
      <c r="B870" s="1">
        <v>855</v>
      </c>
      <c r="C870" s="5">
        <f ca="1">_xlfn.NORM.S.INV(RAND())</f>
        <v>0.19727329791687795</v>
      </c>
      <c r="D870" s="5">
        <f ca="1">S0*EXP((μ-0.5*σ*σ)*T+σ*SQRT(T)*$C870)</f>
        <v>0.67755594321049795</v>
      </c>
      <c r="E870" s="5">
        <f ca="1">MAX(0,CP*(D870-K))</f>
        <v>0</v>
      </c>
      <c r="F870" s="4">
        <f ca="1">(CP*(D870-K)&gt;0)*1</f>
        <v>0</v>
      </c>
      <c r="H870" s="4">
        <v>855</v>
      </c>
      <c r="I870" s="3">
        <v>0.66761323089924074</v>
      </c>
      <c r="J870" s="128">
        <v>1.144627062107554E-3</v>
      </c>
      <c r="K870" s="128"/>
      <c r="L870" s="128">
        <v>3.9199999999999999E-2</v>
      </c>
      <c r="O870" s="2"/>
    </row>
    <row r="871" spans="2:15" x14ac:dyDescent="0.2">
      <c r="B871" s="1">
        <v>856</v>
      </c>
      <c r="C871" s="5">
        <f ca="1">_xlfn.NORM.S.INV(RAND())</f>
        <v>0.72144770793065061</v>
      </c>
      <c r="D871" s="5">
        <f ca="1">S0*EXP((μ-0.5*σ*σ)*T+σ*SQRT(T)*$C871)</f>
        <v>0.7134905206587101</v>
      </c>
      <c r="E871" s="5">
        <f ca="1">MAX(0,CP*(D871-K))</f>
        <v>0</v>
      </c>
      <c r="F871" s="4">
        <f ca="1">(CP*(D871-K)&gt;0)*1</f>
        <v>0</v>
      </c>
      <c r="H871" s="4">
        <v>856</v>
      </c>
      <c r="I871" s="3">
        <v>0.66772192721427703</v>
      </c>
      <c r="J871" s="128">
        <v>1.4040961027252843E-3</v>
      </c>
      <c r="K871" s="128"/>
      <c r="L871" s="128">
        <v>4.24E-2</v>
      </c>
      <c r="O871" s="2"/>
    </row>
    <row r="872" spans="2:15" x14ac:dyDescent="0.2">
      <c r="B872" s="1">
        <v>857</v>
      </c>
      <c r="C872" s="5">
        <f ca="1">_xlfn.NORM.S.INV(RAND())</f>
        <v>-0.33495494289758615</v>
      </c>
      <c r="D872" s="5">
        <f ca="1">S0*EXP((μ-0.5*σ*σ)*T+σ*SQRT(T)*$C872)</f>
        <v>0.64292050601729633</v>
      </c>
      <c r="E872" s="5">
        <f ca="1">MAX(0,CP*(D872-K))</f>
        <v>0</v>
      </c>
      <c r="F872" s="4">
        <f ca="1">(CP*(D872-K)&gt;0)*1</f>
        <v>0</v>
      </c>
      <c r="H872" s="4">
        <v>857</v>
      </c>
      <c r="I872" s="3">
        <v>0.66774128836391866</v>
      </c>
      <c r="J872" s="128">
        <v>1.267508336941881E-3</v>
      </c>
      <c r="K872" s="128"/>
      <c r="L872" s="128">
        <v>4.2000000000000003E-2</v>
      </c>
      <c r="O872" s="2"/>
    </row>
    <row r="873" spans="2:15" x14ac:dyDescent="0.2">
      <c r="B873" s="1">
        <v>858</v>
      </c>
      <c r="C873" s="5">
        <f ca="1">_xlfn.NORM.S.INV(RAND())</f>
        <v>1.3353760078830526</v>
      </c>
      <c r="D873" s="5">
        <f ca="1">S0*EXP((μ-0.5*σ*σ)*T+σ*SQRT(T)*$C873)</f>
        <v>0.75800864366736465</v>
      </c>
      <c r="E873" s="5">
        <f ca="1">MAX(0,CP*(D873-K))</f>
        <v>0</v>
      </c>
      <c r="F873" s="4">
        <f ca="1">(CP*(D873-K)&gt;0)*1</f>
        <v>0</v>
      </c>
      <c r="H873" s="4">
        <v>858</v>
      </c>
      <c r="I873" s="3">
        <v>0.66771515790578362</v>
      </c>
      <c r="J873" s="128">
        <v>1.2637184958096302E-3</v>
      </c>
      <c r="K873" s="128"/>
      <c r="L873" s="128">
        <v>3.8399999999999997E-2</v>
      </c>
      <c r="O873" s="2"/>
    </row>
    <row r="874" spans="2:15" x14ac:dyDescent="0.2">
      <c r="B874" s="1">
        <v>859</v>
      </c>
      <c r="C874" s="5">
        <f ca="1">_xlfn.NORM.S.INV(RAND())</f>
        <v>-0.41161408589964188</v>
      </c>
      <c r="D874" s="5">
        <f ca="1">S0*EXP((μ-0.5*σ*σ)*T+σ*SQRT(T)*$C874)</f>
        <v>0.63807986503782299</v>
      </c>
      <c r="E874" s="5">
        <f ca="1">MAX(0,CP*(D874-K))</f>
        <v>0</v>
      </c>
      <c r="F874" s="4">
        <f ca="1">(CP*(D874-K)&gt;0)*1</f>
        <v>0</v>
      </c>
      <c r="H874" s="4">
        <v>859</v>
      </c>
      <c r="I874" s="3">
        <v>0.66774800495598596</v>
      </c>
      <c r="J874" s="128">
        <v>1.3715724736112253E-3</v>
      </c>
      <c r="K874" s="128"/>
      <c r="L874" s="128">
        <v>4.24E-2</v>
      </c>
      <c r="O874" s="2"/>
    </row>
    <row r="875" spans="2:15" x14ac:dyDescent="0.2">
      <c r="B875" s="1">
        <v>860</v>
      </c>
      <c r="C875" s="5">
        <f ca="1">_xlfn.NORM.S.INV(RAND())</f>
        <v>1.4290543319852647</v>
      </c>
      <c r="D875" s="5">
        <f ca="1">S0*EXP((μ-0.5*σ*σ)*T+σ*SQRT(T)*$C875)</f>
        <v>0.76504166605555701</v>
      </c>
      <c r="E875" s="5">
        <f ca="1">MAX(0,CP*(D875-K))</f>
        <v>0</v>
      </c>
      <c r="F875" s="4">
        <f ca="1">(CP*(D875-K)&gt;0)*1</f>
        <v>0</v>
      </c>
      <c r="H875" s="4">
        <v>860</v>
      </c>
      <c r="I875" s="3">
        <v>0.66779672524291978</v>
      </c>
      <c r="J875" s="128">
        <v>1.42984465233956E-3</v>
      </c>
      <c r="K875" s="128"/>
      <c r="L875" s="128">
        <v>4.4400000000000002E-2</v>
      </c>
      <c r="O875" s="2"/>
    </row>
    <row r="876" spans="2:15" x14ac:dyDescent="0.2">
      <c r="B876" s="1">
        <v>861</v>
      </c>
      <c r="C876" s="5">
        <f ca="1">_xlfn.NORM.S.INV(RAND())</f>
        <v>1.3533563524183398</v>
      </c>
      <c r="D876" s="5">
        <f ca="1">S0*EXP((μ-0.5*σ*σ)*T+σ*SQRT(T)*$C876)</f>
        <v>0.7593535092142959</v>
      </c>
      <c r="E876" s="5">
        <f ca="1">MAX(0,CP*(D876-K))</f>
        <v>0</v>
      </c>
      <c r="F876" s="4">
        <f ca="1">(CP*(D876-K)&gt;0)*1</f>
        <v>0</v>
      </c>
      <c r="H876" s="4">
        <v>861</v>
      </c>
      <c r="I876" s="3">
        <v>0.66768093491554315</v>
      </c>
      <c r="J876" s="128">
        <v>1.2424727033345754E-3</v>
      </c>
      <c r="K876" s="128"/>
      <c r="L876" s="128">
        <v>4.3999999999999997E-2</v>
      </c>
      <c r="O876" s="2"/>
    </row>
    <row r="877" spans="2:15" x14ac:dyDescent="0.2">
      <c r="B877" s="1">
        <v>862</v>
      </c>
      <c r="C877" s="5">
        <f ca="1">_xlfn.NORM.S.INV(RAND())</f>
        <v>0.36174187112027478</v>
      </c>
      <c r="D877" s="5">
        <f ca="1">S0*EXP((μ-0.5*σ*σ)*T+σ*SQRT(T)*$C877)</f>
        <v>0.68863175340657956</v>
      </c>
      <c r="E877" s="5">
        <f ca="1">MAX(0,CP*(D877-K))</f>
        <v>0</v>
      </c>
      <c r="F877" s="4">
        <f ca="1">(CP*(D877-K)&gt;0)*1</f>
        <v>0</v>
      </c>
      <c r="H877" s="4">
        <v>862</v>
      </c>
      <c r="I877" s="3">
        <v>0.66787959027406774</v>
      </c>
      <c r="J877" s="128">
        <v>1.3567030480486706E-3</v>
      </c>
      <c r="K877" s="128"/>
      <c r="L877" s="128">
        <v>4.3999999999999997E-2</v>
      </c>
      <c r="O877" s="2"/>
    </row>
    <row r="878" spans="2:15" x14ac:dyDescent="0.2">
      <c r="B878" s="1">
        <v>863</v>
      </c>
      <c r="C878" s="5">
        <f ca="1">_xlfn.NORM.S.INV(RAND())</f>
        <v>0.72282277739249734</v>
      </c>
      <c r="D878" s="5">
        <f ca="1">S0*EXP((μ-0.5*σ*σ)*T+σ*SQRT(T)*$C878)</f>
        <v>0.71358725128575506</v>
      </c>
      <c r="E878" s="5">
        <f ca="1">MAX(0,CP*(D878-K))</f>
        <v>0</v>
      </c>
      <c r="F878" s="4">
        <f ca="1">(CP*(D878-K)&gt;0)*1</f>
        <v>0</v>
      </c>
      <c r="H878" s="4">
        <v>863</v>
      </c>
      <c r="I878" s="3">
        <v>0.66775221415123875</v>
      </c>
      <c r="J878" s="128">
        <v>1.2996806008438492E-3</v>
      </c>
      <c r="K878" s="128"/>
      <c r="L878" s="128">
        <v>4.0599999999999997E-2</v>
      </c>
      <c r="O878" s="2"/>
    </row>
    <row r="879" spans="2:15" x14ac:dyDescent="0.2">
      <c r="B879" s="1">
        <v>864</v>
      </c>
      <c r="C879" s="5">
        <f ca="1">_xlfn.NORM.S.INV(RAND())</f>
        <v>1.0132738692344645</v>
      </c>
      <c r="D879" s="5">
        <f ca="1">S0*EXP((μ-0.5*σ*σ)*T+σ*SQRT(T)*$C879)</f>
        <v>0.73431607365540574</v>
      </c>
      <c r="E879" s="5">
        <f ca="1">MAX(0,CP*(D879-K))</f>
        <v>0</v>
      </c>
      <c r="F879" s="4">
        <f ca="1">(CP*(D879-K)&gt;0)*1</f>
        <v>0</v>
      </c>
      <c r="H879" s="4">
        <v>864</v>
      </c>
      <c r="I879" s="3">
        <v>0.66780498588746717</v>
      </c>
      <c r="J879" s="128">
        <v>1.4138107731340188E-3</v>
      </c>
      <c r="K879" s="128"/>
      <c r="L879" s="128">
        <v>4.3799999999999999E-2</v>
      </c>
      <c r="O879" s="2"/>
    </row>
    <row r="880" spans="2:15" x14ac:dyDescent="0.2">
      <c r="B880" s="1">
        <v>865</v>
      </c>
      <c r="C880" s="5">
        <f ca="1">_xlfn.NORM.S.INV(RAND())</f>
        <v>-0.14968220217266479</v>
      </c>
      <c r="D880" s="5">
        <f ca="1">S0*EXP((μ-0.5*σ*σ)*T+σ*SQRT(T)*$C880)</f>
        <v>0.65477172109851434</v>
      </c>
      <c r="E880" s="5">
        <f ca="1">MAX(0,CP*(D880-K))</f>
        <v>0</v>
      </c>
      <c r="F880" s="4">
        <f ca="1">(CP*(D880-K)&gt;0)*1</f>
        <v>0</v>
      </c>
      <c r="H880" s="4">
        <v>865</v>
      </c>
      <c r="I880" s="3">
        <v>0.66781716234850663</v>
      </c>
      <c r="J880" s="128">
        <v>1.5319317401445063E-3</v>
      </c>
      <c r="K880" s="128"/>
      <c r="L880" s="128">
        <v>4.3999999999999997E-2</v>
      </c>
      <c r="O880" s="2"/>
    </row>
    <row r="881" spans="2:15" x14ac:dyDescent="0.2">
      <c r="B881" s="1">
        <v>866</v>
      </c>
      <c r="C881" s="5">
        <f ca="1">_xlfn.NORM.S.INV(RAND())</f>
        <v>0.70810425160067836</v>
      </c>
      <c r="D881" s="5">
        <f ca="1">S0*EXP((μ-0.5*σ*σ)*T+σ*SQRT(T)*$C881)</f>
        <v>0.7125525426823146</v>
      </c>
      <c r="E881" s="5">
        <f ca="1">MAX(0,CP*(D881-K))</f>
        <v>0</v>
      </c>
      <c r="F881" s="4">
        <f ca="1">(CP*(D881-K)&gt;0)*1</f>
        <v>0</v>
      </c>
      <c r="H881" s="4">
        <v>866</v>
      </c>
      <c r="I881" s="3">
        <v>0.6677900164748779</v>
      </c>
      <c r="J881" s="128">
        <v>1.5400365249599358E-3</v>
      </c>
      <c r="K881" s="128"/>
      <c r="L881" s="128">
        <v>4.2599999999999999E-2</v>
      </c>
      <c r="O881" s="2"/>
    </row>
    <row r="882" spans="2:15" x14ac:dyDescent="0.2">
      <c r="B882" s="1">
        <v>867</v>
      </c>
      <c r="C882" s="5">
        <f ca="1">_xlfn.NORM.S.INV(RAND())</f>
        <v>-2.1675408603934034</v>
      </c>
      <c r="D882" s="5">
        <f ca="1">S0*EXP((μ-0.5*σ*σ)*T+σ*SQRT(T)*$C882)</f>
        <v>0.53665266454991922</v>
      </c>
      <c r="E882" s="5">
        <f ca="1">MAX(0,CP*(D882-K))</f>
        <v>0</v>
      </c>
      <c r="F882" s="4">
        <f ca="1">(CP*(D882-K)&gt;0)*1</f>
        <v>0</v>
      </c>
      <c r="H882" s="4">
        <v>867</v>
      </c>
      <c r="I882" s="3">
        <v>0.667729952146209</v>
      </c>
      <c r="J882" s="128">
        <v>1.2473479830482095E-3</v>
      </c>
      <c r="K882" s="128"/>
      <c r="L882" s="128">
        <v>4.1399999999999999E-2</v>
      </c>
      <c r="O882" s="2"/>
    </row>
    <row r="883" spans="2:15" x14ac:dyDescent="0.2">
      <c r="B883" s="1">
        <v>868</v>
      </c>
      <c r="C883" s="5">
        <f ca="1">_xlfn.NORM.S.INV(RAND())</f>
        <v>-1.1071895908953491</v>
      </c>
      <c r="D883" s="5">
        <f ca="1">S0*EXP((μ-0.5*σ*σ)*T+σ*SQRT(T)*$C883)</f>
        <v>0.59579010175212299</v>
      </c>
      <c r="E883" s="5">
        <f ca="1">MAX(0,CP*(D883-K))</f>
        <v>0</v>
      </c>
      <c r="F883" s="4">
        <f ca="1">(CP*(D883-K)&gt;0)*1</f>
        <v>0</v>
      </c>
      <c r="H883" s="4">
        <v>868</v>
      </c>
      <c r="I883" s="3">
        <v>0.66772086251458673</v>
      </c>
      <c r="J883" s="128">
        <v>1.2180730255425597E-3</v>
      </c>
      <c r="K883" s="128"/>
      <c r="L883" s="128">
        <v>4.2599999999999999E-2</v>
      </c>
      <c r="O883" s="2"/>
    </row>
    <row r="884" spans="2:15" x14ac:dyDescent="0.2">
      <c r="B884" s="1">
        <v>869</v>
      </c>
      <c r="C884" s="5">
        <f ca="1">_xlfn.NORM.S.INV(RAND())</f>
        <v>0.84407931020705163</v>
      </c>
      <c r="D884" s="5">
        <f ca="1">S0*EXP((μ-0.5*σ*σ)*T+σ*SQRT(T)*$C884)</f>
        <v>0.72216893283186945</v>
      </c>
      <c r="E884" s="5">
        <f ca="1">MAX(0,CP*(D884-K))</f>
        <v>0</v>
      </c>
      <c r="F884" s="4">
        <f ca="1">(CP*(D884-K)&gt;0)*1</f>
        <v>0</v>
      </c>
      <c r="H884" s="4">
        <v>869</v>
      </c>
      <c r="I884" s="3">
        <v>0.66758437260606829</v>
      </c>
      <c r="J884" s="128">
        <v>1.2503970983485813E-3</v>
      </c>
      <c r="K884" s="128"/>
      <c r="L884" s="128">
        <v>3.9199999999999999E-2</v>
      </c>
      <c r="O884" s="2"/>
    </row>
    <row r="885" spans="2:15" x14ac:dyDescent="0.2">
      <c r="B885" s="1">
        <v>870</v>
      </c>
      <c r="C885" s="5">
        <f ca="1">_xlfn.NORM.S.INV(RAND())</f>
        <v>-2.0152431415173129</v>
      </c>
      <c r="D885" s="5">
        <f ca="1">S0*EXP((μ-0.5*σ*σ)*T+σ*SQRT(T)*$C885)</f>
        <v>0.54477111001416068</v>
      </c>
      <c r="E885" s="5">
        <f ca="1">MAX(0,CP*(D885-K))</f>
        <v>0</v>
      </c>
      <c r="F885" s="4">
        <f ca="1">(CP*(D885-K)&gt;0)*1</f>
        <v>0</v>
      </c>
      <c r="H885" s="4">
        <v>870</v>
      </c>
      <c r="I885" s="3">
        <v>0.66767086818123444</v>
      </c>
      <c r="J885" s="128">
        <v>1.2765389358546763E-3</v>
      </c>
      <c r="K885" s="128"/>
      <c r="L885" s="128">
        <v>3.8399999999999997E-2</v>
      </c>
      <c r="O885" s="2"/>
    </row>
    <row r="886" spans="2:15" x14ac:dyDescent="0.2">
      <c r="B886" s="1">
        <v>871</v>
      </c>
      <c r="C886" s="5">
        <f ca="1">_xlfn.NORM.S.INV(RAND())</f>
        <v>-0.3018035941475386</v>
      </c>
      <c r="D886" s="5">
        <f ca="1">S0*EXP((μ-0.5*σ*σ)*T+σ*SQRT(T)*$C886)</f>
        <v>0.64502520551723064</v>
      </c>
      <c r="E886" s="5">
        <f ca="1">MAX(0,CP*(D886-K))</f>
        <v>0</v>
      </c>
      <c r="F886" s="4">
        <f ca="1">(CP*(D886-K)&gt;0)*1</f>
        <v>0</v>
      </c>
      <c r="H886" s="4">
        <v>871</v>
      </c>
      <c r="I886" s="3">
        <v>0.66765588527069664</v>
      </c>
      <c r="J886" s="128">
        <v>1.323615595306373E-3</v>
      </c>
      <c r="K886" s="128"/>
      <c r="L886" s="128">
        <v>4.3200000000000002E-2</v>
      </c>
      <c r="O886" s="2"/>
    </row>
    <row r="887" spans="2:15" x14ac:dyDescent="0.2">
      <c r="B887" s="1">
        <v>872</v>
      </c>
      <c r="C887" s="5">
        <f ca="1">_xlfn.NORM.S.INV(RAND())</f>
        <v>0.59075249455830114</v>
      </c>
      <c r="D887" s="5">
        <f ca="1">S0*EXP((μ-0.5*σ*σ)*T+σ*SQRT(T)*$C887)</f>
        <v>0.70435623284633786</v>
      </c>
      <c r="E887" s="5">
        <f ca="1">MAX(0,CP*(D887-K))</f>
        <v>0</v>
      </c>
      <c r="F887" s="4">
        <f ca="1">(CP*(D887-K)&gt;0)*1</f>
        <v>0</v>
      </c>
      <c r="H887" s="4">
        <v>872</v>
      </c>
      <c r="I887" s="3">
        <v>0.66761589474997007</v>
      </c>
      <c r="J887" s="128">
        <v>1.1735942673762659E-3</v>
      </c>
      <c r="K887" s="128"/>
      <c r="L887" s="128">
        <v>3.6400000000000002E-2</v>
      </c>
      <c r="O887" s="2"/>
    </row>
    <row r="888" spans="2:15" x14ac:dyDescent="0.2">
      <c r="B888" s="1">
        <v>873</v>
      </c>
      <c r="C888" s="5">
        <f ca="1">_xlfn.NORM.S.INV(RAND())</f>
        <v>0.92644439323556693</v>
      </c>
      <c r="D888" s="5">
        <f ca="1">S0*EXP((μ-0.5*σ*σ)*T+σ*SQRT(T)*$C888)</f>
        <v>0.72805693724987064</v>
      </c>
      <c r="E888" s="5">
        <f ca="1">MAX(0,CP*(D888-K))</f>
        <v>0</v>
      </c>
      <c r="F888" s="4">
        <f ca="1">(CP*(D888-K)&gt;0)*1</f>
        <v>0</v>
      </c>
      <c r="H888" s="4">
        <v>873</v>
      </c>
      <c r="I888" s="3">
        <v>0.66768776443303213</v>
      </c>
      <c r="J888" s="128">
        <v>1.3894397300735139E-3</v>
      </c>
      <c r="K888" s="128"/>
      <c r="L888" s="128">
        <v>4.0399999999999998E-2</v>
      </c>
      <c r="O888" s="2"/>
    </row>
    <row r="889" spans="2:15" x14ac:dyDescent="0.2">
      <c r="B889" s="1">
        <v>874</v>
      </c>
      <c r="C889" s="5">
        <f ca="1">_xlfn.NORM.S.INV(RAND())</f>
        <v>1.721927211642543</v>
      </c>
      <c r="D889" s="5">
        <f ca="1">S0*EXP((μ-0.5*σ*σ)*T+σ*SQRT(T)*$C889)</f>
        <v>0.78745316344230731</v>
      </c>
      <c r="E889" s="5">
        <f ca="1">MAX(0,CP*(D889-K))</f>
        <v>0</v>
      </c>
      <c r="F889" s="4">
        <f ca="1">(CP*(D889-K)&gt;0)*1</f>
        <v>0</v>
      </c>
      <c r="H889" s="4">
        <v>874</v>
      </c>
      <c r="I889" s="3">
        <v>0.66772258116163985</v>
      </c>
      <c r="J889" s="128">
        <v>1.3217262326180059E-3</v>
      </c>
      <c r="K889" s="128"/>
      <c r="L889" s="128">
        <v>4.0800000000000003E-2</v>
      </c>
      <c r="O889" s="2"/>
    </row>
    <row r="890" spans="2:15" x14ac:dyDescent="0.2">
      <c r="B890" s="1">
        <v>875</v>
      </c>
      <c r="C890" s="5">
        <f ca="1">_xlfn.NORM.S.INV(RAND())</f>
        <v>-0.95476634835603913</v>
      </c>
      <c r="D890" s="5">
        <f ca="1">S0*EXP((μ-0.5*σ*σ)*T+σ*SQRT(T)*$C890)</f>
        <v>0.6048106589163994</v>
      </c>
      <c r="E890" s="5">
        <f ca="1">MAX(0,CP*(D890-K))</f>
        <v>0</v>
      </c>
      <c r="F890" s="4">
        <f ca="1">(CP*(D890-K)&gt;0)*1</f>
        <v>0</v>
      </c>
      <c r="H890" s="4">
        <v>875</v>
      </c>
      <c r="I890" s="3">
        <v>0.6678488318371798</v>
      </c>
      <c r="J890" s="128">
        <v>1.4348764205181724E-3</v>
      </c>
      <c r="K890" s="128"/>
      <c r="L890" s="128">
        <v>4.5600000000000002E-2</v>
      </c>
      <c r="O890" s="2"/>
    </row>
    <row r="891" spans="2:15" x14ac:dyDescent="0.2">
      <c r="B891" s="1">
        <v>876</v>
      </c>
      <c r="C891" s="5">
        <f ca="1">_xlfn.NORM.S.INV(RAND())</f>
        <v>-0.27832602573950466</v>
      </c>
      <c r="D891" s="5">
        <f ca="1">S0*EXP((μ-0.5*σ*σ)*T+σ*SQRT(T)*$C891)</f>
        <v>0.64651990617507138</v>
      </c>
      <c r="E891" s="5">
        <f ca="1">MAX(0,CP*(D891-K))</f>
        <v>0</v>
      </c>
      <c r="F891" s="4">
        <f ca="1">(CP*(D891-K)&gt;0)*1</f>
        <v>0</v>
      </c>
      <c r="H891" s="4">
        <v>876</v>
      </c>
      <c r="I891" s="3">
        <v>0.66764228615273669</v>
      </c>
      <c r="J891" s="128">
        <v>1.2618891933679141E-3</v>
      </c>
      <c r="K891" s="128"/>
      <c r="L891" s="128">
        <v>3.9800000000000002E-2</v>
      </c>
      <c r="O891" s="2"/>
    </row>
    <row r="892" spans="2:15" x14ac:dyDescent="0.2">
      <c r="B892" s="1">
        <v>877</v>
      </c>
      <c r="C892" s="5">
        <f ca="1">_xlfn.NORM.S.INV(RAND())</f>
        <v>-0.15638374192947516</v>
      </c>
      <c r="D892" s="5">
        <f ca="1">S0*EXP((μ-0.5*σ*σ)*T+σ*SQRT(T)*$C892)</f>
        <v>0.6543392642543886</v>
      </c>
      <c r="E892" s="5">
        <f ca="1">MAX(0,CP*(D892-K))</f>
        <v>0</v>
      </c>
      <c r="F892" s="4">
        <f ca="1">(CP*(D892-K)&gt;0)*1</f>
        <v>0</v>
      </c>
      <c r="H892" s="4">
        <v>877</v>
      </c>
      <c r="I892" s="3">
        <v>0.6676961198967617</v>
      </c>
      <c r="J892" s="128">
        <v>1.1847914148128383E-3</v>
      </c>
      <c r="K892" s="128"/>
      <c r="L892" s="128">
        <v>3.9E-2</v>
      </c>
      <c r="O892" s="2"/>
    </row>
    <row r="893" spans="2:15" x14ac:dyDescent="0.2">
      <c r="B893" s="1">
        <v>878</v>
      </c>
      <c r="C893" s="5">
        <f ca="1">_xlfn.NORM.S.INV(RAND())</f>
        <v>0.87699984046036294</v>
      </c>
      <c r="D893" s="5">
        <f ca="1">S0*EXP((μ-0.5*σ*σ)*T+σ*SQRT(T)*$C893)</f>
        <v>0.72451657713729178</v>
      </c>
      <c r="E893" s="5">
        <f ca="1">MAX(0,CP*(D893-K))</f>
        <v>0</v>
      </c>
      <c r="F893" s="4">
        <f ca="1">(CP*(D893-K)&gt;0)*1</f>
        <v>0</v>
      </c>
      <c r="H893" s="4">
        <v>878</v>
      </c>
      <c r="I893" s="3">
        <v>0.66764212950172719</v>
      </c>
      <c r="J893" s="128">
        <v>1.3090188744160629E-3</v>
      </c>
      <c r="K893" s="128"/>
      <c r="L893" s="128">
        <v>4.1799999999999997E-2</v>
      </c>
      <c r="O893" s="2"/>
    </row>
    <row r="894" spans="2:15" x14ac:dyDescent="0.2">
      <c r="B894" s="1">
        <v>879</v>
      </c>
      <c r="C894" s="5">
        <f ca="1">_xlfn.NORM.S.INV(RAND())</f>
        <v>-0.60477326782268581</v>
      </c>
      <c r="D894" s="5">
        <f ca="1">S0*EXP((μ-0.5*σ*σ)*T+σ*SQRT(T)*$C894)</f>
        <v>0.62604382761697264</v>
      </c>
      <c r="E894" s="5">
        <f ca="1">MAX(0,CP*(D894-K))</f>
        <v>0</v>
      </c>
      <c r="F894" s="4">
        <f ca="1">(CP*(D894-K)&gt;0)*1</f>
        <v>0</v>
      </c>
      <c r="H894" s="4">
        <v>879</v>
      </c>
      <c r="I894" s="3">
        <v>0.66768941492520284</v>
      </c>
      <c r="J894" s="128">
        <v>1.3023770861721675E-3</v>
      </c>
      <c r="K894" s="128"/>
      <c r="L894" s="128">
        <v>4.1399999999999999E-2</v>
      </c>
      <c r="O894" s="2"/>
    </row>
    <row r="895" spans="2:15" x14ac:dyDescent="0.2">
      <c r="B895" s="1">
        <v>880</v>
      </c>
      <c r="C895" s="5">
        <f ca="1">_xlfn.NORM.S.INV(RAND())</f>
        <v>1.2769072205287506</v>
      </c>
      <c r="D895" s="5">
        <f ca="1">S0*EXP((μ-0.5*σ*σ)*T+σ*SQRT(T)*$C895)</f>
        <v>0.75365183119967949</v>
      </c>
      <c r="E895" s="5">
        <f ca="1">MAX(0,CP*(D895-K))</f>
        <v>0</v>
      </c>
      <c r="F895" s="4">
        <f ca="1">(CP*(D895-K)&gt;0)*1</f>
        <v>0</v>
      </c>
      <c r="H895" s="4">
        <v>880</v>
      </c>
      <c r="I895" s="3">
        <v>0.66773023002361664</v>
      </c>
      <c r="J895" s="128">
        <v>1.3477546242034993E-3</v>
      </c>
      <c r="K895" s="128"/>
      <c r="L895" s="128">
        <v>4.3200000000000002E-2</v>
      </c>
      <c r="O895" s="2"/>
    </row>
    <row r="896" spans="2:15" x14ac:dyDescent="0.2">
      <c r="B896" s="1">
        <v>881</v>
      </c>
      <c r="C896" s="5">
        <f ca="1">_xlfn.NORM.S.INV(RAND())</f>
        <v>0.66031519523776316</v>
      </c>
      <c r="D896" s="5">
        <f ca="1">S0*EXP((μ-0.5*σ*σ)*T+σ*SQRT(T)*$C896)</f>
        <v>0.70920331707168294</v>
      </c>
      <c r="E896" s="5">
        <f ca="1">MAX(0,CP*(D896-K))</f>
        <v>0</v>
      </c>
      <c r="F896" s="4">
        <f ca="1">(CP*(D896-K)&gt;0)*1</f>
        <v>0</v>
      </c>
      <c r="H896" s="4">
        <v>881</v>
      </c>
      <c r="I896" s="3">
        <v>0.66762887376030589</v>
      </c>
      <c r="J896" s="128">
        <v>1.1094901431675833E-3</v>
      </c>
      <c r="K896" s="128"/>
      <c r="L896" s="128">
        <v>3.9600000000000003E-2</v>
      </c>
      <c r="O896" s="2"/>
    </row>
    <row r="897" spans="2:15" x14ac:dyDescent="0.2">
      <c r="B897" s="1">
        <v>882</v>
      </c>
      <c r="C897" s="5">
        <f ca="1">_xlfn.NORM.S.INV(RAND())</f>
        <v>-0.45654366401928598</v>
      </c>
      <c r="D897" s="5">
        <f ca="1">S0*EXP((μ-0.5*σ*σ)*T+σ*SQRT(T)*$C897)</f>
        <v>0.63525974493472959</v>
      </c>
      <c r="E897" s="5">
        <f ca="1">MAX(0,CP*(D897-K))</f>
        <v>0</v>
      </c>
      <c r="F897" s="4">
        <f ca="1">(CP*(D897-K)&gt;0)*1</f>
        <v>0</v>
      </c>
      <c r="H897" s="4">
        <v>882</v>
      </c>
      <c r="I897" s="3">
        <v>0.667769022691176</v>
      </c>
      <c r="J897" s="128">
        <v>1.4358200264616124E-3</v>
      </c>
      <c r="K897" s="128"/>
      <c r="L897" s="128">
        <v>4.2200000000000001E-2</v>
      </c>
      <c r="O897" s="2"/>
    </row>
    <row r="898" spans="2:15" x14ac:dyDescent="0.2">
      <c r="B898" s="1">
        <v>883</v>
      </c>
      <c r="C898" s="5">
        <f ca="1">_xlfn.NORM.S.INV(RAND())</f>
        <v>-0.66095573859710965</v>
      </c>
      <c r="D898" s="5">
        <f ca="1">S0*EXP((μ-0.5*σ*σ)*T+σ*SQRT(T)*$C898)</f>
        <v>0.62258582677940377</v>
      </c>
      <c r="E898" s="5">
        <f ca="1">MAX(0,CP*(D898-K))</f>
        <v>0</v>
      </c>
      <c r="F898" s="4">
        <f ca="1">(CP*(D898-K)&gt;0)*1</f>
        <v>0</v>
      </c>
      <c r="H898" s="4">
        <v>883</v>
      </c>
      <c r="I898" s="3">
        <v>0.66775244518575827</v>
      </c>
      <c r="J898" s="128">
        <v>1.3886378947634008E-3</v>
      </c>
      <c r="K898" s="128"/>
      <c r="L898" s="128">
        <v>4.1399999999999999E-2</v>
      </c>
      <c r="O898" s="2"/>
    </row>
    <row r="899" spans="2:15" x14ac:dyDescent="0.2">
      <c r="B899" s="1">
        <v>884</v>
      </c>
      <c r="C899" s="5">
        <f ca="1">_xlfn.NORM.S.INV(RAND())</f>
        <v>1.4549167720615983</v>
      </c>
      <c r="D899" s="5">
        <f ca="1">S0*EXP((μ-0.5*σ*σ)*T+σ*SQRT(T)*$C899)</f>
        <v>0.76699479127213255</v>
      </c>
      <c r="E899" s="5">
        <f ca="1">MAX(0,CP*(D899-K))</f>
        <v>0</v>
      </c>
      <c r="F899" s="4">
        <f ca="1">(CP*(D899-K)&gt;0)*1</f>
        <v>0</v>
      </c>
      <c r="H899" s="4">
        <v>884</v>
      </c>
      <c r="I899" s="3">
        <v>0.66762902239292199</v>
      </c>
      <c r="J899" s="128">
        <v>1.1471955083997929E-3</v>
      </c>
      <c r="K899" s="128"/>
      <c r="L899" s="128">
        <v>3.5999999999999997E-2</v>
      </c>
      <c r="O899" s="2"/>
    </row>
    <row r="900" spans="2:15" x14ac:dyDescent="0.2">
      <c r="B900" s="1">
        <v>885</v>
      </c>
      <c r="C900" s="5">
        <f ca="1">_xlfn.NORM.S.INV(RAND())</f>
        <v>0.15925879339360421</v>
      </c>
      <c r="D900" s="5">
        <f ca="1">S0*EXP((μ-0.5*σ*σ)*T+σ*SQRT(T)*$C900)</f>
        <v>0.67502138276073376</v>
      </c>
      <c r="E900" s="5">
        <f ca="1">MAX(0,CP*(D900-K))</f>
        <v>0</v>
      </c>
      <c r="F900" s="4">
        <f ca="1">(CP*(D900-K)&gt;0)*1</f>
        <v>0</v>
      </c>
      <c r="H900" s="4">
        <v>885</v>
      </c>
      <c r="I900" s="3">
        <v>0.667749784520971</v>
      </c>
      <c r="J900" s="128">
        <v>1.3450425073956618E-3</v>
      </c>
      <c r="K900" s="128"/>
      <c r="L900" s="128">
        <v>4.1000000000000002E-2</v>
      </c>
      <c r="O900" s="2"/>
    </row>
    <row r="901" spans="2:15" x14ac:dyDescent="0.2">
      <c r="B901" s="1">
        <v>886</v>
      </c>
      <c r="C901" s="5">
        <f ca="1">_xlfn.NORM.S.INV(RAND())</f>
        <v>0.41838363827770553</v>
      </c>
      <c r="D901" s="5">
        <f ca="1">S0*EXP((μ-0.5*σ*σ)*T+σ*SQRT(T)*$C901)</f>
        <v>0.69248794594992358</v>
      </c>
      <c r="E901" s="5">
        <f ca="1">MAX(0,CP*(D901-K))</f>
        <v>0</v>
      </c>
      <c r="F901" s="4">
        <f ca="1">(CP*(D901-K)&gt;0)*1</f>
        <v>0</v>
      </c>
      <c r="H901" s="4">
        <v>886</v>
      </c>
      <c r="I901" s="3">
        <v>0.66765914951945771</v>
      </c>
      <c r="J901" s="128">
        <v>1.4186721516767245E-3</v>
      </c>
      <c r="K901" s="128"/>
      <c r="L901" s="128">
        <v>4.0399999999999998E-2</v>
      </c>
      <c r="O901" s="2"/>
    </row>
    <row r="902" spans="2:15" x14ac:dyDescent="0.2">
      <c r="B902" s="1">
        <v>887</v>
      </c>
      <c r="C902" s="5">
        <f ca="1">_xlfn.NORM.S.INV(RAND())</f>
        <v>-0.16279684107230172</v>
      </c>
      <c r="D902" s="5">
        <f ca="1">S0*EXP((μ-0.5*σ*σ)*T+σ*SQRT(T)*$C902)</f>
        <v>0.65392568821352837</v>
      </c>
      <c r="E902" s="5">
        <f ca="1">MAX(0,CP*(D902-K))</f>
        <v>0</v>
      </c>
      <c r="F902" s="4">
        <f ca="1">(CP*(D902-K)&gt;0)*1</f>
        <v>0</v>
      </c>
      <c r="H902" s="4">
        <v>887</v>
      </c>
      <c r="I902" s="3">
        <v>0.66773683643434079</v>
      </c>
      <c r="J902" s="128">
        <v>1.519254787565541E-3</v>
      </c>
      <c r="K902" s="128"/>
      <c r="L902" s="128">
        <v>4.0399999999999998E-2</v>
      </c>
      <c r="O902" s="2"/>
    </row>
    <row r="903" spans="2:15" x14ac:dyDescent="0.2">
      <c r="B903" s="1">
        <v>888</v>
      </c>
      <c r="C903" s="5">
        <f ca="1">_xlfn.NORM.S.INV(RAND())</f>
        <v>1.4550427911439467</v>
      </c>
      <c r="D903" s="5">
        <f ca="1">S0*EXP((μ-0.5*σ*σ)*T+σ*SQRT(T)*$C903)</f>
        <v>0.76700432039980726</v>
      </c>
      <c r="E903" s="5">
        <f ca="1">MAX(0,CP*(D903-K))</f>
        <v>0</v>
      </c>
      <c r="F903" s="4">
        <f ca="1">(CP*(D903-K)&gt;0)*1</f>
        <v>0</v>
      </c>
      <c r="H903" s="4">
        <v>888</v>
      </c>
      <c r="I903" s="3">
        <v>0.66763690007551835</v>
      </c>
      <c r="J903" s="128">
        <v>1.1710527646193252E-3</v>
      </c>
      <c r="K903" s="128"/>
      <c r="L903" s="128">
        <v>3.9600000000000003E-2</v>
      </c>
      <c r="O903" s="2"/>
    </row>
    <row r="904" spans="2:15" x14ac:dyDescent="0.2">
      <c r="B904" s="1">
        <v>889</v>
      </c>
      <c r="C904" s="5">
        <f ca="1">_xlfn.NORM.S.INV(RAND())</f>
        <v>0.95289645809526391</v>
      </c>
      <c r="D904" s="5">
        <f ca="1">S0*EXP((μ-0.5*σ*σ)*T+σ*SQRT(T)*$C904)</f>
        <v>0.72995807266714563</v>
      </c>
      <c r="E904" s="5">
        <f ca="1">MAX(0,CP*(D904-K))</f>
        <v>0</v>
      </c>
      <c r="F904" s="4">
        <f ca="1">(CP*(D904-K)&gt;0)*1</f>
        <v>0</v>
      </c>
      <c r="H904" s="4">
        <v>889</v>
      </c>
      <c r="I904" s="3">
        <v>0.66764008781786321</v>
      </c>
      <c r="J904" s="128">
        <v>1.1900943042849874E-3</v>
      </c>
      <c r="K904" s="128"/>
      <c r="L904" s="128">
        <v>3.6799999999999999E-2</v>
      </c>
      <c r="O904" s="2"/>
    </row>
    <row r="905" spans="2:15" x14ac:dyDescent="0.2">
      <c r="B905" s="1">
        <v>890</v>
      </c>
      <c r="C905" s="5">
        <f ca="1">_xlfn.NORM.S.INV(RAND())</f>
        <v>0.42001114076801233</v>
      </c>
      <c r="D905" s="5">
        <f ca="1">S0*EXP((μ-0.5*σ*σ)*T+σ*SQRT(T)*$C905)</f>
        <v>0.69259906549185679</v>
      </c>
      <c r="E905" s="5">
        <f ca="1">MAX(0,CP*(D905-K))</f>
        <v>0</v>
      </c>
      <c r="F905" s="4">
        <f ca="1">(CP*(D905-K)&gt;0)*1</f>
        <v>0</v>
      </c>
      <c r="H905" s="4">
        <v>890</v>
      </c>
      <c r="I905" s="3">
        <v>0.66767040630485264</v>
      </c>
      <c r="J905" s="128">
        <v>1.2324283983089223E-3</v>
      </c>
      <c r="K905" s="128"/>
      <c r="L905" s="128">
        <v>4.0800000000000003E-2</v>
      </c>
      <c r="O905" s="2"/>
    </row>
    <row r="906" spans="2:15" x14ac:dyDescent="0.2">
      <c r="B906" s="1">
        <v>891</v>
      </c>
      <c r="C906" s="5">
        <f ca="1">_xlfn.NORM.S.INV(RAND())</f>
        <v>-2.9705799351065394E-2</v>
      </c>
      <c r="D906" s="5">
        <f ca="1">S0*EXP((μ-0.5*σ*σ)*T+σ*SQRT(T)*$C906)</f>
        <v>0.66256245655698487</v>
      </c>
      <c r="E906" s="5">
        <f ca="1">MAX(0,CP*(D906-K))</f>
        <v>0</v>
      </c>
      <c r="F906" s="4">
        <f ca="1">(CP*(D906-K)&gt;0)*1</f>
        <v>0</v>
      </c>
      <c r="H906" s="4">
        <v>891</v>
      </c>
      <c r="I906" s="3">
        <v>0.66765202808325252</v>
      </c>
      <c r="J906" s="128">
        <v>1.1699653345437159E-3</v>
      </c>
      <c r="K906" s="128"/>
      <c r="L906" s="128">
        <v>3.7999999999999999E-2</v>
      </c>
      <c r="O906" s="2"/>
    </row>
    <row r="907" spans="2:15" x14ac:dyDescent="0.2">
      <c r="B907" s="1">
        <v>892</v>
      </c>
      <c r="C907" s="5">
        <f ca="1">_xlfn.NORM.S.INV(RAND())</f>
        <v>-0.24825056179672486</v>
      </c>
      <c r="D907" s="5">
        <f ca="1">S0*EXP((μ-0.5*σ*σ)*T+σ*SQRT(T)*$C907)</f>
        <v>0.64843972378840242</v>
      </c>
      <c r="E907" s="5">
        <f ca="1">MAX(0,CP*(D907-K))</f>
        <v>0</v>
      </c>
      <c r="F907" s="4">
        <f ca="1">(CP*(D907-K)&gt;0)*1</f>
        <v>0</v>
      </c>
      <c r="H907" s="4">
        <v>892</v>
      </c>
      <c r="I907" s="3">
        <v>0.66776274408376102</v>
      </c>
      <c r="J907" s="128">
        <v>1.4062399859306835E-3</v>
      </c>
      <c r="K907" s="128"/>
      <c r="L907" s="128">
        <v>4.0599999999999997E-2</v>
      </c>
      <c r="O907" s="2"/>
    </row>
    <row r="908" spans="2:15" x14ac:dyDescent="0.2">
      <c r="B908" s="1">
        <v>893</v>
      </c>
      <c r="C908" s="5">
        <f ca="1">_xlfn.NORM.S.INV(RAND())</f>
        <v>0.47705744284891877</v>
      </c>
      <c r="D908" s="5">
        <f ca="1">S0*EXP((μ-0.5*σ*σ)*T+σ*SQRT(T)*$C908)</f>
        <v>0.69650525166636279</v>
      </c>
      <c r="E908" s="5">
        <f ca="1">MAX(0,CP*(D908-K))</f>
        <v>0</v>
      </c>
      <c r="F908" s="4">
        <f ca="1">(CP*(D908-K)&gt;0)*1</f>
        <v>0</v>
      </c>
      <c r="H908" s="4">
        <v>893</v>
      </c>
      <c r="I908" s="3">
        <v>0.66772445268741598</v>
      </c>
      <c r="J908" s="128">
        <v>1.2516769887001605E-3</v>
      </c>
      <c r="K908" s="128"/>
      <c r="L908" s="128">
        <v>4.2200000000000001E-2</v>
      </c>
      <c r="O908" s="2"/>
    </row>
    <row r="909" spans="2:15" x14ac:dyDescent="0.2">
      <c r="B909" s="1">
        <v>894</v>
      </c>
      <c r="C909" s="5">
        <f ca="1">_xlfn.NORM.S.INV(RAND())</f>
        <v>-1.0816054268923658</v>
      </c>
      <c r="D909" s="5">
        <f ca="1">S0*EXP((μ-0.5*σ*σ)*T+σ*SQRT(T)*$C909)</f>
        <v>0.59729474678396688</v>
      </c>
      <c r="E909" s="5">
        <f ca="1">MAX(0,CP*(D909-K))</f>
        <v>0</v>
      </c>
      <c r="F909" s="4">
        <f ca="1">(CP*(D909-K)&gt;0)*1</f>
        <v>0</v>
      </c>
      <c r="H909" s="4">
        <v>894</v>
      </c>
      <c r="I909" s="3">
        <v>0.66785106124582949</v>
      </c>
      <c r="J909" s="128">
        <v>1.3814634540749657E-3</v>
      </c>
      <c r="K909" s="128"/>
      <c r="L909" s="128">
        <v>4.2599999999999999E-2</v>
      </c>
      <c r="O909" s="2"/>
    </row>
    <row r="910" spans="2:15" x14ac:dyDescent="0.2">
      <c r="B910" s="1">
        <v>895</v>
      </c>
      <c r="C910" s="5">
        <f ca="1">_xlfn.NORM.S.INV(RAND())</f>
        <v>1.4589071801250701</v>
      </c>
      <c r="D910" s="5">
        <f ca="1">S0*EXP((μ-0.5*σ*σ)*T+σ*SQRT(T)*$C910)</f>
        <v>0.76729658963112701</v>
      </c>
      <c r="E910" s="5">
        <f ca="1">MAX(0,CP*(D910-K))</f>
        <v>0</v>
      </c>
      <c r="F910" s="4">
        <f ca="1">(CP*(D910-K)&gt;0)*1</f>
        <v>0</v>
      </c>
      <c r="H910" s="4">
        <v>895</v>
      </c>
      <c r="I910" s="3">
        <v>0.6677203449702318</v>
      </c>
      <c r="J910" s="128">
        <v>1.2486816535333446E-3</v>
      </c>
      <c r="K910" s="128"/>
      <c r="L910" s="128">
        <v>4.0599999999999997E-2</v>
      </c>
      <c r="O910" s="2"/>
    </row>
    <row r="911" spans="2:15" x14ac:dyDescent="0.2">
      <c r="B911" s="1">
        <v>896</v>
      </c>
      <c r="C911" s="5">
        <f ca="1">_xlfn.NORM.S.INV(RAND())</f>
        <v>1.0610097613588028</v>
      </c>
      <c r="D911" s="5">
        <f ca="1">S0*EXP((μ-0.5*σ*σ)*T+σ*SQRT(T)*$C911)</f>
        <v>0.73778002776033536</v>
      </c>
      <c r="E911" s="5">
        <f ca="1">MAX(0,CP*(D911-K))</f>
        <v>0</v>
      </c>
      <c r="F911" s="4">
        <f ca="1">(CP*(D911-K)&gt;0)*1</f>
        <v>0</v>
      </c>
      <c r="H911" s="4">
        <v>896</v>
      </c>
      <c r="I911" s="3">
        <v>0.66772652984831471</v>
      </c>
      <c r="J911" s="128">
        <v>1.3819126992933983E-3</v>
      </c>
      <c r="K911" s="128"/>
      <c r="L911" s="128">
        <v>4.0599999999999997E-2</v>
      </c>
      <c r="O911" s="2"/>
    </row>
    <row r="912" spans="2:15" x14ac:dyDescent="0.2">
      <c r="B912" s="1">
        <v>897</v>
      </c>
      <c r="C912" s="5">
        <f ca="1">_xlfn.NORM.S.INV(RAND())</f>
        <v>-3.7266630545599035</v>
      </c>
      <c r="D912" s="5">
        <f ca="1">S0*EXP((μ-0.5*σ*σ)*T+σ*SQRT(T)*$C912)</f>
        <v>0.46019079071934405</v>
      </c>
      <c r="E912" s="5">
        <f ca="1">MAX(0,CP*(D912-K))</f>
        <v>0</v>
      </c>
      <c r="F912" s="4">
        <f ca="1">(CP*(D912-K)&gt;0)*1</f>
        <v>0</v>
      </c>
      <c r="H912" s="4">
        <v>897</v>
      </c>
      <c r="I912" s="3">
        <v>0.66788345117042014</v>
      </c>
      <c r="J912" s="128">
        <v>1.404726589017825E-3</v>
      </c>
      <c r="K912" s="128"/>
      <c r="L912" s="128">
        <v>4.2999999999999997E-2</v>
      </c>
      <c r="O912" s="2"/>
    </row>
    <row r="913" spans="2:15" x14ac:dyDescent="0.2">
      <c r="B913" s="1">
        <v>898</v>
      </c>
      <c r="C913" s="5">
        <f ca="1">_xlfn.NORM.S.INV(RAND())</f>
        <v>-0.2495067567862187</v>
      </c>
      <c r="D913" s="5">
        <f ca="1">S0*EXP((μ-0.5*σ*σ)*T+σ*SQRT(T)*$C913)</f>
        <v>0.64835942268790758</v>
      </c>
      <c r="E913" s="5">
        <f ca="1">MAX(0,CP*(D913-K))</f>
        <v>0</v>
      </c>
      <c r="F913" s="4">
        <f ca="1">(CP*(D913-K)&gt;0)*1</f>
        <v>0</v>
      </c>
      <c r="H913" s="4">
        <v>898</v>
      </c>
      <c r="I913" s="3">
        <v>0.6677656567392497</v>
      </c>
      <c r="J913" s="128">
        <v>1.3003176699998202E-3</v>
      </c>
      <c r="K913" s="128"/>
      <c r="L913" s="128">
        <v>4.2999999999999997E-2</v>
      </c>
      <c r="O913" s="2"/>
    </row>
    <row r="914" spans="2:15" x14ac:dyDescent="0.2">
      <c r="B914" s="1">
        <v>899</v>
      </c>
      <c r="C914" s="5">
        <f ca="1">_xlfn.NORM.S.INV(RAND())</f>
        <v>-1.8398419505606893</v>
      </c>
      <c r="D914" s="5">
        <f ca="1">S0*EXP((μ-0.5*σ*σ)*T+σ*SQRT(T)*$C914)</f>
        <v>0.55427340975898476</v>
      </c>
      <c r="E914" s="5">
        <f ca="1">MAX(0,CP*(D914-K))</f>
        <v>0</v>
      </c>
      <c r="F914" s="4">
        <f ca="1">(CP*(D914-K)&gt;0)*1</f>
        <v>0</v>
      </c>
      <c r="H914" s="4">
        <v>899</v>
      </c>
      <c r="I914" s="3">
        <v>0.66769149263102101</v>
      </c>
      <c r="J914" s="128">
        <v>1.3860489943506194E-3</v>
      </c>
      <c r="K914" s="128"/>
      <c r="L914" s="128">
        <v>4.0599999999999997E-2</v>
      </c>
      <c r="O914" s="2"/>
    </row>
    <row r="915" spans="2:15" x14ac:dyDescent="0.2">
      <c r="B915" s="1">
        <v>900</v>
      </c>
      <c r="C915" s="5">
        <f ca="1">_xlfn.NORM.S.INV(RAND())</f>
        <v>-1.7574539734460117</v>
      </c>
      <c r="D915" s="5">
        <f ca="1">S0*EXP((μ-0.5*σ*σ)*T+σ*SQRT(T)*$C915)</f>
        <v>0.55879378575685235</v>
      </c>
      <c r="E915" s="5">
        <f ca="1">MAX(0,CP*(D915-K))</f>
        <v>0</v>
      </c>
      <c r="F915" s="4">
        <f ca="1">(CP*(D915-K)&gt;0)*1</f>
        <v>0</v>
      </c>
      <c r="H915" s="4">
        <v>900</v>
      </c>
      <c r="I915" s="3">
        <v>0.66760508701996324</v>
      </c>
      <c r="J915" s="128">
        <v>1.1376094787420494E-3</v>
      </c>
      <c r="K915" s="128"/>
      <c r="L915" s="128">
        <v>3.78E-2</v>
      </c>
      <c r="O915" s="2"/>
    </row>
    <row r="916" spans="2:15" x14ac:dyDescent="0.2">
      <c r="B916" s="1">
        <v>901</v>
      </c>
      <c r="C916" s="5">
        <f ca="1">_xlfn.NORM.S.INV(RAND())</f>
        <v>-0.57950370468617651</v>
      </c>
      <c r="D916" s="5">
        <f ca="1">S0*EXP((μ-0.5*σ*σ)*T+σ*SQRT(T)*$C916)</f>
        <v>0.62760541134699532</v>
      </c>
      <c r="E916" s="5">
        <f ca="1">MAX(0,CP*(D916-K))</f>
        <v>0</v>
      </c>
      <c r="F916" s="4">
        <f ca="1">(CP*(D916-K)&gt;0)*1</f>
        <v>0</v>
      </c>
      <c r="H916" s="4">
        <v>901</v>
      </c>
      <c r="I916" s="3">
        <v>0.66766876973152689</v>
      </c>
      <c r="J916" s="128">
        <v>1.2914778422687895E-3</v>
      </c>
      <c r="K916" s="128"/>
      <c r="L916" s="128">
        <v>3.9E-2</v>
      </c>
      <c r="O916" s="2"/>
    </row>
    <row r="917" spans="2:15" x14ac:dyDescent="0.2">
      <c r="B917" s="1">
        <v>902</v>
      </c>
      <c r="C917" s="5">
        <f ca="1">_xlfn.NORM.S.INV(RAND())</f>
        <v>-1.2635552375668597</v>
      </c>
      <c r="D917" s="5">
        <f ca="1">S0*EXP((μ-0.5*σ*σ)*T+σ*SQRT(T)*$C917)</f>
        <v>0.58667601465473229</v>
      </c>
      <c r="E917" s="5">
        <f ca="1">MAX(0,CP*(D917-K))</f>
        <v>0</v>
      </c>
      <c r="F917" s="4">
        <f ca="1">(CP*(D917-K)&gt;0)*1</f>
        <v>0</v>
      </c>
      <c r="H917" s="4">
        <v>902</v>
      </c>
      <c r="I917" s="3">
        <v>0.66774242019711794</v>
      </c>
      <c r="J917" s="128">
        <v>1.3934216865398098E-3</v>
      </c>
      <c r="K917" s="128"/>
      <c r="L917" s="128">
        <v>4.1000000000000002E-2</v>
      </c>
      <c r="O917" s="2"/>
    </row>
    <row r="918" spans="2:15" x14ac:dyDescent="0.2">
      <c r="B918" s="1">
        <v>903</v>
      </c>
      <c r="C918" s="5">
        <f ca="1">_xlfn.NORM.S.INV(RAND())</f>
        <v>1.3909767437180047</v>
      </c>
      <c r="D918" s="5">
        <f ca="1">S0*EXP((μ-0.5*σ*σ)*T+σ*SQRT(T)*$C918)</f>
        <v>0.76217510409978384</v>
      </c>
      <c r="E918" s="5">
        <f ca="1">MAX(0,CP*(D918-K))</f>
        <v>0</v>
      </c>
      <c r="F918" s="4">
        <f ca="1">(CP*(D918-K)&gt;0)*1</f>
        <v>0</v>
      </c>
      <c r="H918" s="4">
        <v>903</v>
      </c>
      <c r="I918" s="3">
        <v>0.66773363686704557</v>
      </c>
      <c r="J918" s="128">
        <v>1.4161682825075859E-3</v>
      </c>
      <c r="K918" s="128"/>
      <c r="L918" s="128">
        <v>3.9399999999999998E-2</v>
      </c>
      <c r="O918" s="2"/>
    </row>
    <row r="919" spans="2:15" x14ac:dyDescent="0.2">
      <c r="B919" s="1">
        <v>904</v>
      </c>
      <c r="C919" s="5">
        <f ca="1">_xlfn.NORM.S.INV(RAND())</f>
        <v>0.66949267563145665</v>
      </c>
      <c r="D919" s="5">
        <f ca="1">S0*EXP((μ-0.5*σ*σ)*T+σ*SQRT(T)*$C919)</f>
        <v>0.70984528366734934</v>
      </c>
      <c r="E919" s="5">
        <f ca="1">MAX(0,CP*(D919-K))</f>
        <v>0</v>
      </c>
      <c r="F919" s="4">
        <f ca="1">(CP*(D919-K)&gt;0)*1</f>
        <v>0</v>
      </c>
      <c r="H919" s="4">
        <v>904</v>
      </c>
      <c r="I919" s="3">
        <v>0.66777646740924246</v>
      </c>
      <c r="J919" s="128">
        <v>1.4652605190439941E-3</v>
      </c>
      <c r="K919" s="128"/>
      <c r="L919" s="128">
        <v>3.8800000000000001E-2</v>
      </c>
      <c r="O919" s="2"/>
    </row>
    <row r="920" spans="2:15" x14ac:dyDescent="0.2">
      <c r="B920" s="1">
        <v>905</v>
      </c>
      <c r="C920" s="5">
        <f ca="1">_xlfn.NORM.S.INV(RAND())</f>
        <v>1.0267823476387343</v>
      </c>
      <c r="D920" s="5">
        <f ca="1">S0*EXP((μ-0.5*σ*σ)*T+σ*SQRT(T)*$C920)</f>
        <v>0.73529466283555567</v>
      </c>
      <c r="E920" s="5">
        <f ca="1">MAX(0,CP*(D920-K))</f>
        <v>0</v>
      </c>
      <c r="F920" s="4">
        <f ca="1">(CP*(D920-K)&gt;0)*1</f>
        <v>0</v>
      </c>
      <c r="H920" s="4">
        <v>905</v>
      </c>
      <c r="I920" s="3">
        <v>0.66792765871536652</v>
      </c>
      <c r="J920" s="128">
        <v>1.6535238395190984E-3</v>
      </c>
      <c r="K920" s="128"/>
      <c r="L920" s="128">
        <v>4.4600000000000001E-2</v>
      </c>
      <c r="O920" s="2"/>
    </row>
    <row r="921" spans="2:15" x14ac:dyDescent="0.2">
      <c r="B921" s="1">
        <v>906</v>
      </c>
      <c r="C921" s="5">
        <f ca="1">_xlfn.NORM.S.INV(RAND())</f>
        <v>-0.47509611321246092</v>
      </c>
      <c r="D921" s="5">
        <f ca="1">S0*EXP((μ-0.5*σ*σ)*T+σ*SQRT(T)*$C921)</f>
        <v>0.63409889201746006</v>
      </c>
      <c r="E921" s="5">
        <f ca="1">MAX(0,CP*(D921-K))</f>
        <v>0</v>
      </c>
      <c r="F921" s="4">
        <f ca="1">(CP*(D921-K)&gt;0)*1</f>
        <v>0</v>
      </c>
      <c r="H921" s="4">
        <v>906</v>
      </c>
      <c r="I921" s="3">
        <v>0.66750686475799226</v>
      </c>
      <c r="J921" s="128">
        <v>1.0432601757229534E-3</v>
      </c>
      <c r="K921" s="128"/>
      <c r="L921" s="128">
        <v>3.7600000000000001E-2</v>
      </c>
      <c r="O921" s="2"/>
    </row>
    <row r="922" spans="2:15" x14ac:dyDescent="0.2">
      <c r="B922" s="1">
        <v>907</v>
      </c>
      <c r="C922" s="5">
        <f ca="1">_xlfn.NORM.S.INV(RAND())</f>
        <v>1.4281289913188033</v>
      </c>
      <c r="D922" s="5">
        <f ca="1">S0*EXP((μ-0.5*σ*σ)*T+σ*SQRT(T)*$C922)</f>
        <v>0.76497187678672718</v>
      </c>
      <c r="E922" s="5">
        <f ca="1">MAX(0,CP*(D922-K))</f>
        <v>0</v>
      </c>
      <c r="F922" s="4">
        <f ca="1">(CP*(D922-K)&gt;0)*1</f>
        <v>0</v>
      </c>
      <c r="H922" s="4">
        <v>907</v>
      </c>
      <c r="I922" s="3">
        <v>0.66767615008589587</v>
      </c>
      <c r="J922" s="128">
        <v>1.3954014094149233E-3</v>
      </c>
      <c r="K922" s="128"/>
      <c r="L922" s="128">
        <v>3.9199999999999999E-2</v>
      </c>
      <c r="O922" s="2"/>
    </row>
    <row r="923" spans="2:15" x14ac:dyDescent="0.2">
      <c r="B923" s="1">
        <v>908</v>
      </c>
      <c r="C923" s="5">
        <f ca="1">_xlfn.NORM.S.INV(RAND())</f>
        <v>-2.5686891636924853E-2</v>
      </c>
      <c r="D923" s="5">
        <f ca="1">S0*EXP((μ-0.5*σ*σ)*T+σ*SQRT(T)*$C923)</f>
        <v>0.66282502505337537</v>
      </c>
      <c r="E923" s="5">
        <f ca="1">MAX(0,CP*(D923-K))</f>
        <v>0</v>
      </c>
      <c r="F923" s="4">
        <f ca="1">(CP*(D923-K)&gt;0)*1</f>
        <v>0</v>
      </c>
      <c r="H923" s="4">
        <v>908</v>
      </c>
      <c r="I923" s="3">
        <v>0.66787625630613601</v>
      </c>
      <c r="J923" s="128">
        <v>1.6435515892502493E-3</v>
      </c>
      <c r="K923" s="128"/>
      <c r="L923" s="128">
        <v>4.4600000000000001E-2</v>
      </c>
      <c r="O923" s="2"/>
    </row>
    <row r="924" spans="2:15" x14ac:dyDescent="0.2">
      <c r="B924" s="1">
        <v>909</v>
      </c>
      <c r="C924" s="5">
        <f ca="1">_xlfn.NORM.S.INV(RAND())</f>
        <v>0.55589720775705798</v>
      </c>
      <c r="D924" s="5">
        <f ca="1">S0*EXP((μ-0.5*σ*σ)*T+σ*SQRT(T)*$C924)</f>
        <v>0.70194001117643801</v>
      </c>
      <c r="E924" s="5">
        <f ca="1">MAX(0,CP*(D924-K))</f>
        <v>0</v>
      </c>
      <c r="F924" s="4">
        <f ca="1">(CP*(D924-K)&gt;0)*1</f>
        <v>0</v>
      </c>
      <c r="H924" s="4">
        <v>909</v>
      </c>
      <c r="I924" s="3">
        <v>0.66764972437678138</v>
      </c>
      <c r="J924" s="128">
        <v>1.4601085092727666E-3</v>
      </c>
      <c r="K924" s="128"/>
      <c r="L924" s="128">
        <v>3.9600000000000003E-2</v>
      </c>
      <c r="O924" s="2"/>
    </row>
    <row r="925" spans="2:15" x14ac:dyDescent="0.2">
      <c r="B925" s="1">
        <v>910</v>
      </c>
      <c r="C925" s="5">
        <f ca="1">_xlfn.NORM.S.INV(RAND())</f>
        <v>-0.18667885596096986</v>
      </c>
      <c r="D925" s="5">
        <f ca="1">S0*EXP((μ-0.5*σ*σ)*T+σ*SQRT(T)*$C925)</f>
        <v>0.65238785258773113</v>
      </c>
      <c r="E925" s="5">
        <f ca="1">MAX(0,CP*(D925-K))</f>
        <v>0</v>
      </c>
      <c r="F925" s="4">
        <f ca="1">(CP*(D925-K)&gt;0)*1</f>
        <v>0</v>
      </c>
      <c r="H925" s="4">
        <v>910</v>
      </c>
      <c r="I925" s="3">
        <v>0.66758903787088852</v>
      </c>
      <c r="J925" s="128">
        <v>1.1261356480106591E-3</v>
      </c>
      <c r="K925" s="128"/>
      <c r="L925" s="128">
        <v>4.2599999999999999E-2</v>
      </c>
      <c r="O925" s="2"/>
    </row>
    <row r="926" spans="2:15" x14ac:dyDescent="0.2">
      <c r="B926" s="1">
        <v>911</v>
      </c>
      <c r="C926" s="5">
        <f ca="1">_xlfn.NORM.S.INV(RAND())</f>
        <v>-0.49951056479778028</v>
      </c>
      <c r="D926" s="5">
        <f ca="1">S0*EXP((μ-0.5*σ*σ)*T+σ*SQRT(T)*$C926)</f>
        <v>0.63257447731583327</v>
      </c>
      <c r="E926" s="5">
        <f ca="1">MAX(0,CP*(D926-K))</f>
        <v>0</v>
      </c>
      <c r="F926" s="4">
        <f ca="1">(CP*(D926-K)&gt;0)*1</f>
        <v>0</v>
      </c>
      <c r="H926" s="4">
        <v>911</v>
      </c>
      <c r="I926" s="3">
        <v>0.66765300765468494</v>
      </c>
      <c r="J926" s="128">
        <v>1.3871117209203778E-3</v>
      </c>
      <c r="K926" s="128"/>
      <c r="L926" s="128">
        <v>3.9800000000000002E-2</v>
      </c>
      <c r="O926" s="2"/>
    </row>
    <row r="927" spans="2:15" x14ac:dyDescent="0.2">
      <c r="B927" s="1">
        <v>912</v>
      </c>
      <c r="C927" s="5">
        <f ca="1">_xlfn.NORM.S.INV(RAND())</f>
        <v>-1.2904358393542943</v>
      </c>
      <c r="D927" s="5">
        <f ca="1">S0*EXP((μ-0.5*σ*σ)*T+σ*SQRT(T)*$C927)</f>
        <v>0.58512332840095294</v>
      </c>
      <c r="E927" s="5">
        <f ca="1">MAX(0,CP*(D927-K))</f>
        <v>0</v>
      </c>
      <c r="F927" s="4">
        <f ca="1">(CP*(D927-K)&gt;0)*1</f>
        <v>0</v>
      </c>
      <c r="H927" s="4">
        <v>912</v>
      </c>
      <c r="I927" s="3">
        <v>0.66782904877951077</v>
      </c>
      <c r="J927" s="128">
        <v>1.4885020331095089E-3</v>
      </c>
      <c r="K927" s="128"/>
      <c r="L927" s="128">
        <v>4.4200000000000003E-2</v>
      </c>
      <c r="O927" s="2"/>
    </row>
    <row r="928" spans="2:15" x14ac:dyDescent="0.2">
      <c r="B928" s="1">
        <v>913</v>
      </c>
      <c r="C928" s="5">
        <f ca="1">_xlfn.NORM.S.INV(RAND())</f>
        <v>-0.90004225828477968</v>
      </c>
      <c r="D928" s="5">
        <f ca="1">S0*EXP((μ-0.5*σ*σ)*T+σ*SQRT(T)*$C928)</f>
        <v>0.6080824967184002</v>
      </c>
      <c r="E928" s="5">
        <f ca="1">MAX(0,CP*(D928-K))</f>
        <v>0</v>
      </c>
      <c r="F928" s="4">
        <f ca="1">(CP*(D928-K)&gt;0)*1</f>
        <v>0</v>
      </c>
      <c r="H928" s="4">
        <v>913</v>
      </c>
      <c r="I928" s="3">
        <v>0.66794274683246146</v>
      </c>
      <c r="J928" s="128">
        <v>1.5670888928812493E-3</v>
      </c>
      <c r="K928" s="128"/>
      <c r="L928" s="128">
        <v>4.5600000000000002E-2</v>
      </c>
      <c r="O928" s="2"/>
    </row>
    <row r="929" spans="2:15" x14ac:dyDescent="0.2">
      <c r="B929" s="1">
        <v>914</v>
      </c>
      <c r="C929" s="5">
        <f ca="1">_xlfn.NORM.S.INV(RAND())</f>
        <v>-1.5286989197333856</v>
      </c>
      <c r="D929" s="5">
        <f ca="1">S0*EXP((μ-0.5*σ*σ)*T+σ*SQRT(T)*$C929)</f>
        <v>0.57153909498307343</v>
      </c>
      <c r="E929" s="5">
        <f ca="1">MAX(0,CP*(D929-K))</f>
        <v>0</v>
      </c>
      <c r="F929" s="4">
        <f ca="1">(CP*(D929-K)&gt;0)*1</f>
        <v>0</v>
      </c>
      <c r="H929" s="4">
        <v>914</v>
      </c>
      <c r="I929" s="3">
        <v>0.66769501060107372</v>
      </c>
      <c r="J929" s="128">
        <v>1.3052431448194804E-3</v>
      </c>
      <c r="K929" s="128"/>
      <c r="L929" s="128">
        <v>4.3200000000000002E-2</v>
      </c>
      <c r="O929" s="2"/>
    </row>
    <row r="930" spans="2:15" x14ac:dyDescent="0.2">
      <c r="B930" s="1">
        <v>915</v>
      </c>
      <c r="C930" s="5">
        <f ca="1">_xlfn.NORM.S.INV(RAND())</f>
        <v>0.47455715674796256</v>
      </c>
      <c r="D930" s="5">
        <f ca="1">S0*EXP((μ-0.5*σ*σ)*T+σ*SQRT(T)*$C930)</f>
        <v>0.69633358645303478</v>
      </c>
      <c r="E930" s="5">
        <f ca="1">MAX(0,CP*(D930-K))</f>
        <v>0</v>
      </c>
      <c r="F930" s="4">
        <f ca="1">(CP*(D930-K)&gt;0)*1</f>
        <v>0</v>
      </c>
      <c r="H930" s="4">
        <v>915</v>
      </c>
      <c r="I930" s="3">
        <v>0.66763721448813973</v>
      </c>
      <c r="J930" s="128">
        <v>1.2364755323982855E-3</v>
      </c>
      <c r="K930" s="128"/>
      <c r="L930" s="128">
        <v>3.9399999999999998E-2</v>
      </c>
      <c r="O930" s="2"/>
    </row>
    <row r="931" spans="2:15" x14ac:dyDescent="0.2">
      <c r="B931" s="1">
        <v>916</v>
      </c>
      <c r="C931" s="5">
        <f ca="1">_xlfn.NORM.S.INV(RAND())</f>
        <v>-0.32739097888036661</v>
      </c>
      <c r="D931" s="5">
        <f ca="1">S0*EXP((μ-0.5*σ*σ)*T+σ*SQRT(T)*$C931)</f>
        <v>0.64340011840520128</v>
      </c>
      <c r="E931" s="5">
        <f ca="1">MAX(0,CP*(D931-K))</f>
        <v>0</v>
      </c>
      <c r="F931" s="4">
        <f ca="1">(CP*(D931-K)&gt;0)*1</f>
        <v>0</v>
      </c>
      <c r="H931" s="4">
        <v>916</v>
      </c>
      <c r="I931" s="3">
        <v>0.66780214318099929</v>
      </c>
      <c r="J931" s="128">
        <v>1.5105905998672531E-3</v>
      </c>
      <c r="K931" s="128"/>
      <c r="L931" s="128">
        <v>4.5400000000000003E-2</v>
      </c>
      <c r="O931" s="2"/>
    </row>
    <row r="932" spans="2:15" x14ac:dyDescent="0.2">
      <c r="B932" s="1">
        <v>917</v>
      </c>
      <c r="C932" s="5">
        <f ca="1">_xlfn.NORM.S.INV(RAND())</f>
        <v>1.1085280897746421</v>
      </c>
      <c r="D932" s="5">
        <f ca="1">S0*EXP((μ-0.5*σ*σ)*T+σ*SQRT(T)*$C932)</f>
        <v>0.74124442304704385</v>
      </c>
      <c r="E932" s="5">
        <f ca="1">MAX(0,CP*(D932-K))</f>
        <v>0</v>
      </c>
      <c r="F932" s="4">
        <f ca="1">(CP*(D932-K)&gt;0)*1</f>
        <v>0</v>
      </c>
      <c r="H932" s="4">
        <v>917</v>
      </c>
      <c r="I932" s="3">
        <v>0.66766877461831742</v>
      </c>
      <c r="J932" s="128">
        <v>1.2112787663315948E-3</v>
      </c>
      <c r="K932" s="128"/>
      <c r="L932" s="128">
        <v>3.9399999999999998E-2</v>
      </c>
      <c r="O932" s="2"/>
    </row>
    <row r="933" spans="2:15" x14ac:dyDescent="0.2">
      <c r="B933" s="1">
        <v>918</v>
      </c>
      <c r="C933" s="5">
        <f ca="1">_xlfn.NORM.S.INV(RAND())</f>
        <v>1.5314616043244174</v>
      </c>
      <c r="D933" s="5">
        <f ca="1">S0*EXP((μ-0.5*σ*σ)*T+σ*SQRT(T)*$C933)</f>
        <v>0.77280470539285395</v>
      </c>
      <c r="E933" s="5">
        <f ca="1">MAX(0,CP*(D933-K))</f>
        <v>0</v>
      </c>
      <c r="F933" s="4">
        <f ca="1">(CP*(D933-K)&gt;0)*1</f>
        <v>0</v>
      </c>
      <c r="H933" s="4">
        <v>918</v>
      </c>
      <c r="I933" s="3">
        <v>0.66763985223618161</v>
      </c>
      <c r="J933" s="128">
        <v>1.3272367628282848E-3</v>
      </c>
      <c r="K933" s="128"/>
      <c r="L933" s="128">
        <v>4.1000000000000002E-2</v>
      </c>
      <c r="O933" s="2"/>
    </row>
    <row r="934" spans="2:15" x14ac:dyDescent="0.2">
      <c r="B934" s="1">
        <v>919</v>
      </c>
      <c r="C934" s="5">
        <f ca="1">_xlfn.NORM.S.INV(RAND())</f>
        <v>0.53147492887794723</v>
      </c>
      <c r="D934" s="5">
        <f ca="1">S0*EXP((μ-0.5*σ*σ)*T+σ*SQRT(T)*$C934)</f>
        <v>0.70025196167575365</v>
      </c>
      <c r="E934" s="5">
        <f ca="1">MAX(0,CP*(D934-K))</f>
        <v>0</v>
      </c>
      <c r="F934" s="4">
        <f ca="1">(CP*(D934-K)&gt;0)*1</f>
        <v>0</v>
      </c>
      <c r="H934" s="4">
        <v>919</v>
      </c>
      <c r="I934" s="3">
        <v>0.66782797388420723</v>
      </c>
      <c r="J934" s="128">
        <v>1.4153615068911406E-3</v>
      </c>
      <c r="K934" s="128"/>
      <c r="L934" s="128">
        <v>4.6199999999999998E-2</v>
      </c>
      <c r="O934" s="2"/>
    </row>
    <row r="935" spans="2:15" x14ac:dyDescent="0.2">
      <c r="B935" s="1">
        <v>920</v>
      </c>
      <c r="C935" s="5">
        <f ca="1">_xlfn.NORM.S.INV(RAND())</f>
        <v>-0.99439595089200183</v>
      </c>
      <c r="D935" s="5">
        <f ca="1">S0*EXP((μ-0.5*σ*σ)*T+σ*SQRT(T)*$C935)</f>
        <v>0.6024522844763619</v>
      </c>
      <c r="E935" s="5">
        <f ca="1">MAX(0,CP*(D935-K))</f>
        <v>0</v>
      </c>
      <c r="F935" s="4">
        <f ca="1">(CP*(D935-K)&gt;0)*1</f>
        <v>0</v>
      </c>
      <c r="H935" s="4">
        <v>920</v>
      </c>
      <c r="I935" s="3">
        <v>0.66766155338432476</v>
      </c>
      <c r="J935" s="128">
        <v>1.3773221272215951E-3</v>
      </c>
      <c r="K935" s="128"/>
      <c r="L935" s="128">
        <v>3.9800000000000002E-2</v>
      </c>
      <c r="O935" s="2"/>
    </row>
    <row r="936" spans="2:15" x14ac:dyDescent="0.2">
      <c r="B936" s="1">
        <v>921</v>
      </c>
      <c r="C936" s="5">
        <f ca="1">_xlfn.NORM.S.INV(RAND())</f>
        <v>-1.6776494533680133</v>
      </c>
      <c r="D936" s="5">
        <f ca="1">S0*EXP((μ-0.5*σ*σ)*T+σ*SQRT(T)*$C936)</f>
        <v>0.56320756241474945</v>
      </c>
      <c r="E936" s="5">
        <f ca="1">MAX(0,CP*(D936-K))</f>
        <v>0</v>
      </c>
      <c r="F936" s="4">
        <f ca="1">(CP*(D936-K)&gt;0)*1</f>
        <v>0</v>
      </c>
      <c r="H936" s="4">
        <v>921</v>
      </c>
      <c r="I936" s="3">
        <v>0.66783705509192126</v>
      </c>
      <c r="J936" s="128">
        <v>1.517950566118903E-3</v>
      </c>
      <c r="K936" s="128"/>
      <c r="L936" s="128">
        <v>4.3200000000000002E-2</v>
      </c>
      <c r="O936" s="2"/>
    </row>
    <row r="937" spans="2:15" x14ac:dyDescent="0.2">
      <c r="B937" s="1">
        <v>922</v>
      </c>
      <c r="C937" s="5">
        <f ca="1">_xlfn.NORM.S.INV(RAND())</f>
        <v>-1.4610855823635669</v>
      </c>
      <c r="D937" s="5">
        <f ca="1">S0*EXP((μ-0.5*σ*σ)*T+σ*SQRT(T)*$C937)</f>
        <v>0.57536160213446941</v>
      </c>
      <c r="E937" s="5">
        <f ca="1">MAX(0,CP*(D937-K))</f>
        <v>0</v>
      </c>
      <c r="F937" s="4">
        <f ca="1">(CP*(D937-K)&gt;0)*1</f>
        <v>0</v>
      </c>
      <c r="H937" s="4">
        <v>922</v>
      </c>
      <c r="I937" s="3">
        <v>0.66755004796838724</v>
      </c>
      <c r="J937" s="128">
        <v>1.2099630669285854E-3</v>
      </c>
      <c r="K937" s="128"/>
      <c r="L937" s="128">
        <v>3.78E-2</v>
      </c>
      <c r="O937" s="2"/>
    </row>
    <row r="938" spans="2:15" x14ac:dyDescent="0.2">
      <c r="B938" s="1">
        <v>923</v>
      </c>
      <c r="C938" s="5">
        <f ca="1">_xlfn.NORM.S.INV(RAND())</f>
        <v>-0.82816823054666877</v>
      </c>
      <c r="D938" s="5">
        <f ca="1">S0*EXP((μ-0.5*σ*σ)*T+σ*SQRT(T)*$C938)</f>
        <v>0.61240659736270953</v>
      </c>
      <c r="E938" s="5">
        <f ca="1">MAX(0,CP*(D938-K))</f>
        <v>0</v>
      </c>
      <c r="F938" s="4">
        <f ca="1">(CP*(D938-K)&gt;0)*1</f>
        <v>0</v>
      </c>
      <c r="H938" s="4">
        <v>923</v>
      </c>
      <c r="I938" s="3">
        <v>0.66771593886668879</v>
      </c>
      <c r="J938" s="128">
        <v>1.4389932063640749E-3</v>
      </c>
      <c r="K938" s="128"/>
      <c r="L938" s="128">
        <v>3.8399999999999997E-2</v>
      </c>
      <c r="O938" s="2"/>
    </row>
    <row r="939" spans="2:15" x14ac:dyDescent="0.2">
      <c r="B939" s="1">
        <v>924</v>
      </c>
      <c r="C939" s="5">
        <f ca="1">_xlfn.NORM.S.INV(RAND())</f>
        <v>-0.59526679341178013</v>
      </c>
      <c r="D939" s="5">
        <f ca="1">S0*EXP((μ-0.5*σ*σ)*T+σ*SQRT(T)*$C939)</f>
        <v>0.62663084298687088</v>
      </c>
      <c r="E939" s="5">
        <f ca="1">MAX(0,CP*(D939-K))</f>
        <v>0</v>
      </c>
      <c r="F939" s="4">
        <f ca="1">(CP*(D939-K)&gt;0)*1</f>
        <v>0</v>
      </c>
      <c r="H939" s="4">
        <v>924</v>
      </c>
      <c r="I939" s="3">
        <v>0.66781784018571577</v>
      </c>
      <c r="J939" s="128">
        <v>1.5413671611889895E-3</v>
      </c>
      <c r="K939" s="128"/>
      <c r="L939" s="128">
        <v>4.2999999999999997E-2</v>
      </c>
      <c r="O939" s="2"/>
    </row>
    <row r="940" spans="2:15" x14ac:dyDescent="0.2">
      <c r="B940" s="1">
        <v>925</v>
      </c>
      <c r="C940" s="5">
        <f ca="1">_xlfn.NORM.S.INV(RAND())</f>
        <v>1.2625137451351622</v>
      </c>
      <c r="D940" s="5">
        <f ca="1">S0*EXP((μ-0.5*σ*σ)*T+σ*SQRT(T)*$C940)</f>
        <v>0.75258314537235504</v>
      </c>
      <c r="E940" s="5">
        <f ca="1">MAX(0,CP*(D940-K))</f>
        <v>0</v>
      </c>
      <c r="F940" s="4">
        <f ca="1">(CP*(D940-K)&gt;0)*1</f>
        <v>0</v>
      </c>
      <c r="H940" s="4">
        <v>925</v>
      </c>
      <c r="I940" s="3">
        <v>0.66782135557436573</v>
      </c>
      <c r="J940" s="128">
        <v>1.4483630915725749E-3</v>
      </c>
      <c r="K940" s="128"/>
      <c r="L940" s="128">
        <v>4.36E-2</v>
      </c>
      <c r="O940" s="2"/>
    </row>
    <row r="941" spans="2:15" x14ac:dyDescent="0.2">
      <c r="B941" s="1">
        <v>926</v>
      </c>
      <c r="C941" s="5">
        <f ca="1">_xlfn.NORM.S.INV(RAND())</f>
        <v>1.3373218620129217</v>
      </c>
      <c r="D941" s="5">
        <f ca="1">S0*EXP((μ-0.5*σ*σ)*T+σ*SQRT(T)*$C941)</f>
        <v>0.75815407159535497</v>
      </c>
      <c r="E941" s="5">
        <f ca="1">MAX(0,CP*(D941-K))</f>
        <v>0</v>
      </c>
      <c r="F941" s="4">
        <f ca="1">(CP*(D941-K)&gt;0)*1</f>
        <v>0</v>
      </c>
      <c r="H941" s="4">
        <v>926</v>
      </c>
      <c r="I941" s="3">
        <v>0.6677827651143301</v>
      </c>
      <c r="J941" s="128">
        <v>1.4661159447603579E-3</v>
      </c>
      <c r="K941" s="128"/>
      <c r="L941" s="128">
        <v>4.6199999999999998E-2</v>
      </c>
      <c r="O941" s="2"/>
    </row>
    <row r="942" spans="2:15" x14ac:dyDescent="0.2">
      <c r="B942" s="1">
        <v>927</v>
      </c>
      <c r="C942" s="5">
        <f ca="1">_xlfn.NORM.S.INV(RAND())</f>
        <v>1.7385215021041784</v>
      </c>
      <c r="D942" s="5">
        <f ca="1">S0*EXP((μ-0.5*σ*σ)*T+σ*SQRT(T)*$C942)</f>
        <v>0.7887424826098729</v>
      </c>
      <c r="E942" s="5">
        <f ca="1">MAX(0,CP*(D942-K))</f>
        <v>5.4248260987288521E-4</v>
      </c>
      <c r="F942" s="4">
        <f ca="1">(CP*(D942-K)&gt;0)*1</f>
        <v>1</v>
      </c>
      <c r="H942" s="4">
        <v>927</v>
      </c>
      <c r="I942" s="3">
        <v>0.66788074239061224</v>
      </c>
      <c r="J942" s="128">
        <v>1.5281668647853274E-3</v>
      </c>
      <c r="K942" s="128"/>
      <c r="L942" s="128">
        <v>4.6399999999999997E-2</v>
      </c>
      <c r="O942" s="2"/>
    </row>
    <row r="943" spans="2:15" x14ac:dyDescent="0.2">
      <c r="B943" s="1">
        <v>928</v>
      </c>
      <c r="C943" s="5">
        <f ca="1">_xlfn.NORM.S.INV(RAND())</f>
        <v>-0.96572438693666141</v>
      </c>
      <c r="D943" s="5">
        <f ca="1">S0*EXP((μ-0.5*σ*σ)*T+σ*SQRT(T)*$C943)</f>
        <v>0.60415761947270052</v>
      </c>
      <c r="E943" s="5">
        <f ca="1">MAX(0,CP*(D943-K))</f>
        <v>0</v>
      </c>
      <c r="F943" s="4">
        <f ca="1">(CP*(D943-K)&gt;0)*1</f>
        <v>0</v>
      </c>
      <c r="H943" s="4">
        <v>928</v>
      </c>
      <c r="I943" s="3">
        <v>0.66782492777786628</v>
      </c>
      <c r="J943" s="128">
        <v>1.4383054623292521E-3</v>
      </c>
      <c r="K943" s="128"/>
      <c r="L943" s="128">
        <v>4.2599999999999999E-2</v>
      </c>
      <c r="O943" s="2"/>
    </row>
    <row r="944" spans="2:15" x14ac:dyDescent="0.2">
      <c r="B944" s="1">
        <v>929</v>
      </c>
      <c r="C944" s="5">
        <f ca="1">_xlfn.NORM.S.INV(RAND())</f>
        <v>1.3861763352794316</v>
      </c>
      <c r="D944" s="5">
        <f ca="1">S0*EXP((μ-0.5*σ*σ)*T+σ*SQRT(T)*$C944)</f>
        <v>0.76181448235794302</v>
      </c>
      <c r="E944" s="5">
        <f ca="1">MAX(0,CP*(D944-K))</f>
        <v>0</v>
      </c>
      <c r="F944" s="4">
        <f ca="1">(CP*(D944-K)&gt;0)*1</f>
        <v>0</v>
      </c>
      <c r="H944" s="4">
        <v>929</v>
      </c>
      <c r="I944" s="3">
        <v>0.66770001928363587</v>
      </c>
      <c r="J944" s="128">
        <v>1.3032951406115128E-3</v>
      </c>
      <c r="K944" s="128"/>
      <c r="L944" s="128">
        <v>3.9E-2</v>
      </c>
      <c r="O944" s="2"/>
    </row>
    <row r="945" spans="2:15" x14ac:dyDescent="0.2">
      <c r="B945" s="1">
        <v>930</v>
      </c>
      <c r="C945" s="5">
        <f ca="1">_xlfn.NORM.S.INV(RAND())</f>
        <v>0.67034180008250321</v>
      </c>
      <c r="D945" s="5">
        <f ca="1">S0*EXP((μ-0.5*σ*σ)*T+σ*SQRT(T)*$C945)</f>
        <v>0.70990470945499695</v>
      </c>
      <c r="E945" s="5">
        <f ca="1">MAX(0,CP*(D945-K))</f>
        <v>0</v>
      </c>
      <c r="F945" s="4">
        <f ca="1">(CP*(D945-K)&gt;0)*1</f>
        <v>0</v>
      </c>
      <c r="H945" s="4">
        <v>930</v>
      </c>
      <c r="I945" s="3">
        <v>0.66796752761392342</v>
      </c>
      <c r="J945" s="128">
        <v>1.6182026709413236E-3</v>
      </c>
      <c r="K945" s="128"/>
      <c r="L945" s="128">
        <v>4.7600000000000003E-2</v>
      </c>
      <c r="O945" s="2"/>
    </row>
    <row r="946" spans="2:15" x14ac:dyDescent="0.2">
      <c r="B946" s="1">
        <v>931</v>
      </c>
      <c r="C946" s="5">
        <f ca="1">_xlfn.NORM.S.INV(RAND())</f>
        <v>-0.1976198554586534</v>
      </c>
      <c r="D946" s="5">
        <f ca="1">S0*EXP((μ-0.5*σ*σ)*T+σ*SQRT(T)*$C946)</f>
        <v>0.65168453677677063</v>
      </c>
      <c r="E946" s="5">
        <f ca="1">MAX(0,CP*(D946-K))</f>
        <v>0</v>
      </c>
      <c r="F946" s="4">
        <f ca="1">(CP*(D946-K)&gt;0)*1</f>
        <v>0</v>
      </c>
      <c r="H946" s="4">
        <v>931</v>
      </c>
      <c r="I946" s="3">
        <v>0.66767253684703853</v>
      </c>
      <c r="J946" s="128">
        <v>1.2823634740004859E-3</v>
      </c>
      <c r="K946" s="128"/>
      <c r="L946" s="128">
        <v>3.9800000000000002E-2</v>
      </c>
      <c r="O946" s="2"/>
    </row>
    <row r="947" spans="2:15" x14ac:dyDescent="0.2">
      <c r="B947" s="1">
        <v>932</v>
      </c>
      <c r="C947" s="5">
        <f ca="1">_xlfn.NORM.S.INV(RAND())</f>
        <v>-0.84205781272121216</v>
      </c>
      <c r="D947" s="5">
        <f ca="1">S0*EXP((μ-0.5*σ*σ)*T+σ*SQRT(T)*$C947)</f>
        <v>0.61156857916695284</v>
      </c>
      <c r="E947" s="5">
        <f ca="1">MAX(0,CP*(D947-K))</f>
        <v>0</v>
      </c>
      <c r="F947" s="4">
        <f ca="1">(CP*(D947-K)&gt;0)*1</f>
        <v>0</v>
      </c>
      <c r="H947" s="4">
        <v>932</v>
      </c>
      <c r="I947" s="3">
        <v>0.6680267602075789</v>
      </c>
      <c r="J947" s="128">
        <v>1.6441007945292934E-3</v>
      </c>
      <c r="K947" s="128"/>
      <c r="L947" s="128">
        <v>4.7E-2</v>
      </c>
      <c r="O947" s="2"/>
    </row>
    <row r="948" spans="2:15" x14ac:dyDescent="0.2">
      <c r="B948" s="1">
        <v>933</v>
      </c>
      <c r="C948" s="5">
        <f ca="1">_xlfn.NORM.S.INV(RAND())</f>
        <v>-0.72135484063884825</v>
      </c>
      <c r="D948" s="5">
        <f ca="1">S0*EXP((μ-0.5*σ*σ)*T+σ*SQRT(T)*$C948)</f>
        <v>0.6188895962479416</v>
      </c>
      <c r="E948" s="5">
        <f ca="1">MAX(0,CP*(D948-K))</f>
        <v>0</v>
      </c>
      <c r="F948" s="4">
        <f ca="1">(CP*(D948-K)&gt;0)*1</f>
        <v>0</v>
      </c>
      <c r="H948" s="4">
        <v>933</v>
      </c>
      <c r="I948" s="3">
        <v>0.66772814419573501</v>
      </c>
      <c r="J948" s="128">
        <v>1.2875257179934462E-3</v>
      </c>
      <c r="K948" s="128"/>
      <c r="L948" s="128">
        <v>4.1000000000000002E-2</v>
      </c>
      <c r="O948" s="2"/>
    </row>
    <row r="949" spans="2:15" x14ac:dyDescent="0.2">
      <c r="B949" s="1">
        <v>934</v>
      </c>
      <c r="C949" s="5">
        <f ca="1">_xlfn.NORM.S.INV(RAND())</f>
        <v>1.2032797011936771</v>
      </c>
      <c r="D949" s="5">
        <f ca="1">S0*EXP((μ-0.5*σ*σ)*T+σ*SQRT(T)*$C949)</f>
        <v>0.7482010671430952</v>
      </c>
      <c r="E949" s="5">
        <f ca="1">MAX(0,CP*(D949-K))</f>
        <v>0</v>
      </c>
      <c r="F949" s="4">
        <f ca="1">(CP*(D949-K)&gt;0)*1</f>
        <v>0</v>
      </c>
      <c r="H949" s="4">
        <v>934</v>
      </c>
      <c r="I949" s="3">
        <v>0.66773962481877314</v>
      </c>
      <c r="J949" s="128">
        <v>1.2934160509040903E-3</v>
      </c>
      <c r="K949" s="128"/>
      <c r="L949" s="128">
        <v>4.2000000000000003E-2</v>
      </c>
      <c r="O949" s="2"/>
    </row>
    <row r="950" spans="2:15" x14ac:dyDescent="0.2">
      <c r="B950" s="1">
        <v>935</v>
      </c>
      <c r="C950" s="5">
        <f ca="1">_xlfn.NORM.S.INV(RAND())</f>
        <v>-6.8234798472756694E-2</v>
      </c>
      <c r="D950" s="5">
        <f ca="1">S0*EXP((μ-0.5*σ*σ)*T+σ*SQRT(T)*$C950)</f>
        <v>0.66005050243238572</v>
      </c>
      <c r="E950" s="5">
        <f ca="1">MAX(0,CP*(D950-K))</f>
        <v>0</v>
      </c>
      <c r="F950" s="4">
        <f ca="1">(CP*(D950-K)&gt;0)*1</f>
        <v>0</v>
      </c>
      <c r="H950" s="4">
        <v>935</v>
      </c>
      <c r="I950" s="3">
        <v>0.66781954341908634</v>
      </c>
      <c r="J950" s="128">
        <v>1.4914371447403067E-3</v>
      </c>
      <c r="K950" s="128"/>
      <c r="L950" s="128">
        <v>4.3799999999999999E-2</v>
      </c>
      <c r="O950" s="2"/>
    </row>
    <row r="951" spans="2:15" x14ac:dyDescent="0.2">
      <c r="B951" s="1">
        <v>936</v>
      </c>
      <c r="C951" s="5">
        <f ca="1">_xlfn.NORM.S.INV(RAND())</f>
        <v>-0.20750309397921518</v>
      </c>
      <c r="D951" s="5">
        <f ca="1">S0*EXP((μ-0.5*σ*σ)*T+σ*SQRT(T)*$C951)</f>
        <v>0.6510498684136109</v>
      </c>
      <c r="E951" s="5">
        <f ca="1">MAX(0,CP*(D951-K))</f>
        <v>0</v>
      </c>
      <c r="F951" s="4">
        <f ca="1">(CP*(D951-K)&gt;0)*1</f>
        <v>0</v>
      </c>
      <c r="H951" s="4">
        <v>936</v>
      </c>
      <c r="I951" s="3">
        <v>0.66778844038854301</v>
      </c>
      <c r="J951" s="128">
        <v>1.384120860087453E-3</v>
      </c>
      <c r="K951" s="128"/>
      <c r="L951" s="128">
        <v>4.1399999999999999E-2</v>
      </c>
      <c r="O951" s="2"/>
    </row>
    <row r="952" spans="2:15" x14ac:dyDescent="0.2">
      <c r="B952" s="1">
        <v>937</v>
      </c>
      <c r="C952" s="5">
        <f ca="1">_xlfn.NORM.S.INV(RAND())</f>
        <v>-0.63725787209876872</v>
      </c>
      <c r="D952" s="5">
        <f ca="1">S0*EXP((μ-0.5*σ*σ)*T+σ*SQRT(T)*$C952)</f>
        <v>0.62404208242297077</v>
      </c>
      <c r="E952" s="5">
        <f ca="1">MAX(0,CP*(D952-K))</f>
        <v>0</v>
      </c>
      <c r="F952" s="4">
        <f ca="1">(CP*(D952-K)&gt;0)*1</f>
        <v>0</v>
      </c>
      <c r="H952" s="4">
        <v>937</v>
      </c>
      <c r="I952" s="3">
        <v>0.6677270221892202</v>
      </c>
      <c r="J952" s="128">
        <v>1.3790800524103525E-3</v>
      </c>
      <c r="K952" s="128"/>
      <c r="L952" s="128">
        <v>3.9E-2</v>
      </c>
      <c r="O952" s="2"/>
    </row>
    <row r="953" spans="2:15" x14ac:dyDescent="0.2">
      <c r="B953" s="1">
        <v>938</v>
      </c>
      <c r="C953" s="5">
        <f ca="1">_xlfn.NORM.S.INV(RAND())</f>
        <v>-0.25915213368333184</v>
      </c>
      <c r="D953" s="5">
        <f ca="1">S0*EXP((μ-0.5*σ*σ)*T+σ*SQRT(T)*$C953)</f>
        <v>0.64774318212985393</v>
      </c>
      <c r="E953" s="5">
        <f ca="1">MAX(0,CP*(D953-K))</f>
        <v>0</v>
      </c>
      <c r="F953" s="4">
        <f ca="1">(CP*(D953-K)&gt;0)*1</f>
        <v>0</v>
      </c>
      <c r="H953" s="4">
        <v>938</v>
      </c>
      <c r="I953" s="3">
        <v>0.66771589096042161</v>
      </c>
      <c r="J953" s="128">
        <v>1.3004010300687702E-3</v>
      </c>
      <c r="K953" s="128"/>
      <c r="L953" s="128">
        <v>0.04</v>
      </c>
      <c r="O953" s="2"/>
    </row>
    <row r="954" spans="2:15" x14ac:dyDescent="0.2">
      <c r="B954" s="1">
        <v>939</v>
      </c>
      <c r="C954" s="5">
        <f ca="1">_xlfn.NORM.S.INV(RAND())</f>
        <v>1.0564158339352088</v>
      </c>
      <c r="D954" s="5">
        <f ca="1">S0*EXP((μ-0.5*σ*σ)*T+σ*SQRT(T)*$C954)</f>
        <v>0.73744596012602781</v>
      </c>
      <c r="E954" s="5">
        <f ca="1">MAX(0,CP*(D954-K))</f>
        <v>0</v>
      </c>
      <c r="F954" s="4">
        <f ca="1">(CP*(D954-K)&gt;0)*1</f>
        <v>0</v>
      </c>
      <c r="H954" s="4">
        <v>939</v>
      </c>
      <c r="I954" s="3">
        <v>0.66778056094518312</v>
      </c>
      <c r="J954" s="128">
        <v>1.3662592211650508E-3</v>
      </c>
      <c r="K954" s="128"/>
      <c r="L954" s="128">
        <v>4.2999999999999997E-2</v>
      </c>
      <c r="O954" s="2"/>
    </row>
    <row r="955" spans="2:15" x14ac:dyDescent="0.2">
      <c r="B955" s="1">
        <v>940</v>
      </c>
      <c r="C955" s="5">
        <f ca="1">_xlfn.NORM.S.INV(RAND())</f>
        <v>0.91788584905078818</v>
      </c>
      <c r="D955" s="5">
        <f ca="1">S0*EXP((μ-0.5*σ*σ)*T+σ*SQRT(T)*$C955)</f>
        <v>0.72744288722450989</v>
      </c>
      <c r="E955" s="5">
        <f ca="1">MAX(0,CP*(D955-K))</f>
        <v>0</v>
      </c>
      <c r="F955" s="4">
        <f ca="1">(CP*(D955-K)&gt;0)*1</f>
        <v>0</v>
      </c>
      <c r="H955" s="4">
        <v>940</v>
      </c>
      <c r="I955" s="3">
        <v>0.66762454350058875</v>
      </c>
      <c r="J955" s="128">
        <v>1.3340817191719598E-3</v>
      </c>
      <c r="K955" s="128"/>
      <c r="L955" s="128">
        <v>4.0800000000000003E-2</v>
      </c>
      <c r="O955" s="2"/>
    </row>
    <row r="956" spans="2:15" x14ac:dyDescent="0.2">
      <c r="B956" s="1">
        <v>941</v>
      </c>
      <c r="C956" s="5">
        <f ca="1">_xlfn.NORM.S.INV(RAND())</f>
        <v>0.42428932478715831</v>
      </c>
      <c r="D956" s="5">
        <f ca="1">S0*EXP((μ-0.5*σ*σ)*T+σ*SQRT(T)*$C956)</f>
        <v>0.69289124830990789</v>
      </c>
      <c r="E956" s="5">
        <f ca="1">MAX(0,CP*(D956-K))</f>
        <v>0</v>
      </c>
      <c r="F956" s="4">
        <f ca="1">(CP*(D956-K)&gt;0)*1</f>
        <v>0</v>
      </c>
      <c r="H956" s="4">
        <v>941</v>
      </c>
      <c r="I956" s="3">
        <v>0.66788166171463681</v>
      </c>
      <c r="J956" s="128">
        <v>1.5657507099164274E-3</v>
      </c>
      <c r="K956" s="128"/>
      <c r="L956" s="128">
        <v>4.6199999999999998E-2</v>
      </c>
      <c r="O956" s="2"/>
    </row>
    <row r="957" spans="2:15" x14ac:dyDescent="0.2">
      <c r="B957" s="1">
        <v>942</v>
      </c>
      <c r="C957" s="5">
        <f ca="1">_xlfn.NORM.S.INV(RAND())</f>
        <v>1.6496937005008026</v>
      </c>
      <c r="D957" s="5">
        <f ca="1">S0*EXP((μ-0.5*σ*σ)*T+σ*SQRT(T)*$C957)</f>
        <v>0.78186537800982736</v>
      </c>
      <c r="E957" s="5">
        <f ca="1">MAX(0,CP*(D957-K))</f>
        <v>0</v>
      </c>
      <c r="F957" s="4">
        <f ca="1">(CP*(D957-K)&gt;0)*1</f>
        <v>0</v>
      </c>
      <c r="H957" s="4">
        <v>942</v>
      </c>
      <c r="I957" s="3">
        <v>0.66769661369108824</v>
      </c>
      <c r="J957" s="128">
        <v>1.222739813699233E-3</v>
      </c>
      <c r="K957" s="128"/>
      <c r="L957" s="128">
        <v>0.04</v>
      </c>
      <c r="O957" s="2"/>
    </row>
    <row r="958" spans="2:15" x14ac:dyDescent="0.2">
      <c r="B958" s="1">
        <v>943</v>
      </c>
      <c r="C958" s="5">
        <f ca="1">_xlfn.NORM.S.INV(RAND())</f>
        <v>0.72219834094384017</v>
      </c>
      <c r="D958" s="5">
        <f ca="1">S0*EXP((μ-0.5*σ*σ)*T+σ*SQRT(T)*$C958)</f>
        <v>0.71354332305821555</v>
      </c>
      <c r="E958" s="5">
        <f ca="1">MAX(0,CP*(D958-K))</f>
        <v>0</v>
      </c>
      <c r="F958" s="4">
        <f ca="1">(CP*(D958-K)&gt;0)*1</f>
        <v>0</v>
      </c>
      <c r="H958" s="4">
        <v>943</v>
      </c>
      <c r="I958" s="3">
        <v>0.66764965388906417</v>
      </c>
      <c r="J958" s="128">
        <v>1.2385529597530396E-3</v>
      </c>
      <c r="K958" s="128"/>
      <c r="L958" s="128">
        <v>0.04</v>
      </c>
      <c r="O958" s="2"/>
    </row>
    <row r="959" spans="2:15" x14ac:dyDescent="0.2">
      <c r="B959" s="1">
        <v>944</v>
      </c>
      <c r="C959" s="5">
        <f ca="1">_xlfn.NORM.S.INV(RAND())</f>
        <v>1.2936348651496266</v>
      </c>
      <c r="D959" s="5">
        <f ca="1">S0*EXP((μ-0.5*σ*σ)*T+σ*SQRT(T)*$C959)</f>
        <v>0.75489573108322494</v>
      </c>
      <c r="E959" s="5">
        <f ca="1">MAX(0,CP*(D959-K))</f>
        <v>0</v>
      </c>
      <c r="F959" s="4">
        <f ca="1">(CP*(D959-K)&gt;0)*1</f>
        <v>0</v>
      </c>
      <c r="H959" s="4">
        <v>944</v>
      </c>
      <c r="I959" s="3">
        <v>0.66753454284609237</v>
      </c>
      <c r="J959" s="128">
        <v>1.1397160531093652E-3</v>
      </c>
      <c r="K959" s="128"/>
      <c r="L959" s="128">
        <v>3.5999999999999997E-2</v>
      </c>
      <c r="O959" s="2"/>
    </row>
    <row r="960" spans="2:15" x14ac:dyDescent="0.2">
      <c r="B960" s="1">
        <v>945</v>
      </c>
      <c r="C960" s="5">
        <f ca="1">_xlfn.NORM.S.INV(RAND())</f>
        <v>-0.65026072014831571</v>
      </c>
      <c r="D960" s="5">
        <f ca="1">S0*EXP((μ-0.5*σ*σ)*T+σ*SQRT(T)*$C960)</f>
        <v>0.62324262424358889</v>
      </c>
      <c r="E960" s="5">
        <f ca="1">MAX(0,CP*(D960-K))</f>
        <v>0</v>
      </c>
      <c r="F960" s="4">
        <f ca="1">(CP*(D960-K)&gt;0)*1</f>
        <v>0</v>
      </c>
      <c r="H960" s="4">
        <v>945</v>
      </c>
      <c r="I960" s="3">
        <v>0.66767657144691261</v>
      </c>
      <c r="J960" s="128">
        <v>1.38289981534304E-3</v>
      </c>
      <c r="K960" s="128"/>
      <c r="L960" s="128">
        <v>3.8600000000000002E-2</v>
      </c>
      <c r="O960" s="2"/>
    </row>
    <row r="961" spans="2:15" x14ac:dyDescent="0.2">
      <c r="B961" s="1">
        <v>946</v>
      </c>
      <c r="C961" s="5">
        <f ca="1">_xlfn.NORM.S.INV(RAND())</f>
        <v>-7.1895958175277996E-2</v>
      </c>
      <c r="D961" s="5">
        <f ca="1">S0*EXP((μ-0.5*σ*σ)*T+σ*SQRT(T)*$C961)</f>
        <v>0.65981230384350831</v>
      </c>
      <c r="E961" s="5">
        <f ca="1">MAX(0,CP*(D961-K))</f>
        <v>0</v>
      </c>
      <c r="F961" s="4">
        <f ca="1">(CP*(D961-K)&gt;0)*1</f>
        <v>0</v>
      </c>
      <c r="H961" s="4">
        <v>946</v>
      </c>
      <c r="I961" s="3">
        <v>0.66769342559262868</v>
      </c>
      <c r="J961" s="128">
        <v>1.26958623997251E-3</v>
      </c>
      <c r="K961" s="128"/>
      <c r="L961" s="128">
        <v>4.1599999999999998E-2</v>
      </c>
      <c r="O961" s="2"/>
    </row>
    <row r="962" spans="2:15" x14ac:dyDescent="0.2">
      <c r="B962" s="1">
        <v>947</v>
      </c>
      <c r="C962" s="5">
        <f ca="1">_xlfn.NORM.S.INV(RAND())</f>
        <v>3.0013126144924178E-2</v>
      </c>
      <c r="D962" s="5">
        <f ca="1">S0*EXP((μ-0.5*σ*σ)*T+σ*SQRT(T)*$C962)</f>
        <v>0.66647482384243573</v>
      </c>
      <c r="E962" s="5">
        <f ca="1">MAX(0,CP*(D962-K))</f>
        <v>0</v>
      </c>
      <c r="F962" s="4">
        <f ca="1">(CP*(D962-K)&gt;0)*1</f>
        <v>0</v>
      </c>
      <c r="H962" s="4">
        <v>947</v>
      </c>
      <c r="I962" s="3">
        <v>0.66776010969714927</v>
      </c>
      <c r="J962" s="128">
        <v>1.2163561998113899E-3</v>
      </c>
      <c r="K962" s="128"/>
      <c r="L962" s="128">
        <v>4.2599999999999999E-2</v>
      </c>
      <c r="O962" s="2"/>
    </row>
    <row r="963" spans="2:15" x14ac:dyDescent="0.2">
      <c r="B963" s="1">
        <v>948</v>
      </c>
      <c r="C963" s="5">
        <f ca="1">_xlfn.NORM.S.INV(RAND())</f>
        <v>-0.29323009943147055</v>
      </c>
      <c r="D963" s="5">
        <f ca="1">S0*EXP((μ-0.5*σ*σ)*T+σ*SQRT(T)*$C963)</f>
        <v>0.64557063655161806</v>
      </c>
      <c r="E963" s="5">
        <f ca="1">MAX(0,CP*(D963-K))</f>
        <v>0</v>
      </c>
      <c r="F963" s="4">
        <f ca="1">(CP*(D963-K)&gt;0)*1</f>
        <v>0</v>
      </c>
      <c r="H963" s="4">
        <v>948</v>
      </c>
      <c r="I963" s="3">
        <v>0.66768740889028189</v>
      </c>
      <c r="J963" s="128">
        <v>1.2124157708816162E-3</v>
      </c>
      <c r="K963" s="128"/>
      <c r="L963" s="128">
        <v>3.8399999999999997E-2</v>
      </c>
      <c r="O963" s="2"/>
    </row>
    <row r="964" spans="2:15" x14ac:dyDescent="0.2">
      <c r="B964" s="1">
        <v>949</v>
      </c>
      <c r="C964" s="5">
        <f ca="1">_xlfn.NORM.S.INV(RAND())</f>
        <v>-0.3605936924005903</v>
      </c>
      <c r="D964" s="5">
        <f ca="1">S0*EXP((μ-0.5*σ*σ)*T+σ*SQRT(T)*$C964)</f>
        <v>0.64129747403072968</v>
      </c>
      <c r="E964" s="5">
        <f ca="1">MAX(0,CP*(D964-K))</f>
        <v>0</v>
      </c>
      <c r="F964" s="4">
        <f ca="1">(CP*(D964-K)&gt;0)*1</f>
        <v>0</v>
      </c>
      <c r="H964" s="4">
        <v>949</v>
      </c>
      <c r="I964" s="3">
        <v>0.66778063285008316</v>
      </c>
      <c r="J964" s="128">
        <v>1.3590175106131433E-3</v>
      </c>
      <c r="K964" s="128"/>
      <c r="L964" s="128">
        <v>4.3400000000000001E-2</v>
      </c>
      <c r="O964" s="2"/>
    </row>
    <row r="965" spans="2:15" x14ac:dyDescent="0.2">
      <c r="B965" s="1">
        <v>950</v>
      </c>
      <c r="C965" s="5">
        <f ca="1">_xlfn.NORM.S.INV(RAND())</f>
        <v>1.2908401705752421</v>
      </c>
      <c r="D965" s="5">
        <f ca="1">S0*EXP((μ-0.5*σ*σ)*T+σ*SQRT(T)*$C965)</f>
        <v>0.75468776945246696</v>
      </c>
      <c r="E965" s="5">
        <f ca="1">MAX(0,CP*(D965-K))</f>
        <v>0</v>
      </c>
      <c r="F965" s="4">
        <f ca="1">(CP*(D965-K)&gt;0)*1</f>
        <v>0</v>
      </c>
      <c r="H965" s="4">
        <v>950</v>
      </c>
      <c r="I965" s="3">
        <v>0.66774093276711632</v>
      </c>
      <c r="J965" s="128">
        <v>1.3856677023791793E-3</v>
      </c>
      <c r="K965" s="128"/>
      <c r="L965" s="128">
        <v>4.0599999999999997E-2</v>
      </c>
      <c r="O965" s="2"/>
    </row>
    <row r="966" spans="2:15" x14ac:dyDescent="0.2">
      <c r="B966" s="1">
        <v>951</v>
      </c>
      <c r="C966" s="5">
        <f ca="1">_xlfn.NORM.S.INV(RAND())</f>
        <v>0.5433535346897671</v>
      </c>
      <c r="D966" s="5">
        <f ca="1">S0*EXP((μ-0.5*σ*σ)*T+σ*SQRT(T)*$C966)</f>
        <v>0.70107249428878615</v>
      </c>
      <c r="E966" s="5">
        <f ca="1">MAX(0,CP*(D966-K))</f>
        <v>0</v>
      </c>
      <c r="F966" s="4">
        <f ca="1">(CP*(D966-K)&gt;0)*1</f>
        <v>0</v>
      </c>
      <c r="H966" s="4">
        <v>951</v>
      </c>
      <c r="I966" s="3">
        <v>0.66769390366923465</v>
      </c>
      <c r="J966" s="128">
        <v>1.2526860307278136E-3</v>
      </c>
      <c r="K966" s="128"/>
      <c r="L966" s="128">
        <v>3.9600000000000003E-2</v>
      </c>
      <c r="O966" s="2"/>
    </row>
    <row r="967" spans="2:15" x14ac:dyDescent="0.2">
      <c r="B967" s="1">
        <v>952</v>
      </c>
      <c r="C967" s="5">
        <f ca="1">_xlfn.NORM.S.INV(RAND())</f>
        <v>-1.935644277365</v>
      </c>
      <c r="D967" s="5">
        <f ca="1">S0*EXP((μ-0.5*σ*σ)*T+σ*SQRT(T)*$C967)</f>
        <v>0.54906299253708724</v>
      </c>
      <c r="E967" s="5">
        <f ca="1">MAX(0,CP*(D967-K))</f>
        <v>0</v>
      </c>
      <c r="F967" s="4">
        <f ca="1">(CP*(D967-K)&gt;0)*1</f>
        <v>0</v>
      </c>
      <c r="H967" s="4">
        <v>952</v>
      </c>
      <c r="I967" s="3">
        <v>0.66764771925219046</v>
      </c>
      <c r="J967" s="128">
        <v>1.2187192153646357E-3</v>
      </c>
      <c r="K967" s="128"/>
      <c r="L967" s="128">
        <v>3.78E-2</v>
      </c>
      <c r="O967" s="2"/>
    </row>
    <row r="968" spans="2:15" x14ac:dyDescent="0.2">
      <c r="B968" s="1">
        <v>953</v>
      </c>
      <c r="C968" s="5">
        <f ca="1">_xlfn.NORM.S.INV(RAND())</f>
        <v>0.86747834970703308</v>
      </c>
      <c r="D968" s="5">
        <f ca="1">S0*EXP((μ-0.5*σ*σ)*T+σ*SQRT(T)*$C968)</f>
        <v>0.72383679276365809</v>
      </c>
      <c r="E968" s="5">
        <f ca="1">MAX(0,CP*(D968-K))</f>
        <v>0</v>
      </c>
      <c r="F968" s="4">
        <f ca="1">(CP*(D968-K)&gt;0)*1</f>
        <v>0</v>
      </c>
      <c r="H968" s="4">
        <v>953</v>
      </c>
      <c r="I968" s="3">
        <v>0.66770858087341978</v>
      </c>
      <c r="J968" s="128">
        <v>1.3918998398904255E-3</v>
      </c>
      <c r="K968" s="128"/>
      <c r="L968" s="128">
        <v>4.2999999999999997E-2</v>
      </c>
      <c r="O968" s="2"/>
    </row>
    <row r="969" spans="2:15" x14ac:dyDescent="0.2">
      <c r="B969" s="1">
        <v>954</v>
      </c>
      <c r="C969" s="5">
        <f ca="1">_xlfn.NORM.S.INV(RAND())</f>
        <v>-0.48041603588865911</v>
      </c>
      <c r="D969" s="5">
        <f ca="1">S0*EXP((μ-0.5*σ*σ)*T+σ*SQRT(T)*$C969)</f>
        <v>0.63376640847666177</v>
      </c>
      <c r="E969" s="5">
        <f ca="1">MAX(0,CP*(D969-K))</f>
        <v>0</v>
      </c>
      <c r="F969" s="4">
        <f ca="1">(CP*(D969-K)&gt;0)*1</f>
        <v>0</v>
      </c>
      <c r="H969" s="4">
        <v>954</v>
      </c>
      <c r="I969" s="3">
        <v>0.66778793845778994</v>
      </c>
      <c r="J969" s="128">
        <v>1.4424777248122191E-3</v>
      </c>
      <c r="K969" s="128"/>
      <c r="L969" s="128">
        <v>4.5199999999999997E-2</v>
      </c>
      <c r="O969" s="2"/>
    </row>
    <row r="970" spans="2:15" x14ac:dyDescent="0.2">
      <c r="B970" s="1">
        <v>955</v>
      </c>
      <c r="C970" s="5">
        <f ca="1">_xlfn.NORM.S.INV(RAND())</f>
        <v>1.0752689079549524</v>
      </c>
      <c r="D970" s="5">
        <f ca="1">S0*EXP((μ-0.5*σ*σ)*T+σ*SQRT(T)*$C970)</f>
        <v>0.73881790848028284</v>
      </c>
      <c r="E970" s="5">
        <f ca="1">MAX(0,CP*(D970-K))</f>
        <v>0</v>
      </c>
      <c r="F970" s="4">
        <f ca="1">(CP*(D970-K)&gt;0)*1</f>
        <v>0</v>
      </c>
      <c r="H970" s="4">
        <v>955</v>
      </c>
      <c r="I970" s="3">
        <v>0.66780213845788494</v>
      </c>
      <c r="J970" s="128">
        <v>1.4585869819640448E-3</v>
      </c>
      <c r="K970" s="128"/>
      <c r="L970" s="128">
        <v>4.1599999999999998E-2</v>
      </c>
      <c r="O970" s="2"/>
    </row>
    <row r="971" spans="2:15" x14ac:dyDescent="0.2">
      <c r="B971" s="1">
        <v>956</v>
      </c>
      <c r="C971" s="5">
        <f ca="1">_xlfn.NORM.S.INV(RAND())</f>
        <v>0.89742006079349823</v>
      </c>
      <c r="D971" s="5">
        <f ca="1">S0*EXP((μ-0.5*σ*σ)*T+σ*SQRT(T)*$C971)</f>
        <v>0.72597662704236166</v>
      </c>
      <c r="E971" s="5">
        <f ca="1">MAX(0,CP*(D971-K))</f>
        <v>0</v>
      </c>
      <c r="F971" s="4">
        <f ca="1">(CP*(D971-K)&gt;0)*1</f>
        <v>0</v>
      </c>
      <c r="H971" s="4">
        <v>956</v>
      </c>
      <c r="I971" s="3">
        <v>0.66786658972553548</v>
      </c>
      <c r="J971" s="128">
        <v>1.5226666656994563E-3</v>
      </c>
      <c r="K971" s="128"/>
      <c r="L971" s="128">
        <v>4.5999999999999999E-2</v>
      </c>
      <c r="O971" s="2"/>
    </row>
    <row r="972" spans="2:15" x14ac:dyDescent="0.2">
      <c r="B972" s="1">
        <v>957</v>
      </c>
      <c r="C972" s="5">
        <f ca="1">_xlfn.NORM.S.INV(RAND())</f>
        <v>-0.67171833133545567</v>
      </c>
      <c r="D972" s="5">
        <f ca="1">S0*EXP((μ-0.5*σ*σ)*T+σ*SQRT(T)*$C972)</f>
        <v>0.62192557820562444</v>
      </c>
      <c r="E972" s="5">
        <f ca="1">MAX(0,CP*(D972-K))</f>
        <v>0</v>
      </c>
      <c r="F972" s="4">
        <f ca="1">(CP*(D972-K)&gt;0)*1</f>
        <v>0</v>
      </c>
      <c r="H972" s="4">
        <v>957</v>
      </c>
      <c r="I972" s="3">
        <v>0.66767289885773262</v>
      </c>
      <c r="J972" s="128">
        <v>1.2968498132276888E-3</v>
      </c>
      <c r="K972" s="128"/>
      <c r="L972" s="128">
        <v>4.1399999999999999E-2</v>
      </c>
      <c r="O972" s="2"/>
    </row>
    <row r="973" spans="2:15" x14ac:dyDescent="0.2">
      <c r="B973" s="1">
        <v>958</v>
      </c>
      <c r="C973" s="5">
        <f ca="1">_xlfn.NORM.S.INV(RAND())</f>
        <v>-1.0367580768954823</v>
      </c>
      <c r="D973" s="5">
        <f ca="1">S0*EXP((μ-0.5*σ*σ)*T+σ*SQRT(T)*$C973)</f>
        <v>0.59994146463972953</v>
      </c>
      <c r="E973" s="5">
        <f ca="1">MAX(0,CP*(D973-K))</f>
        <v>0</v>
      </c>
      <c r="F973" s="4">
        <f ca="1">(CP*(D973-K)&gt;0)*1</f>
        <v>0</v>
      </c>
      <c r="H973" s="4">
        <v>958</v>
      </c>
      <c r="I973" s="3">
        <v>0.66774147588288302</v>
      </c>
      <c r="J973" s="128">
        <v>1.311191615953245E-3</v>
      </c>
      <c r="K973" s="128"/>
      <c r="L973" s="128">
        <v>4.2599999999999999E-2</v>
      </c>
      <c r="O973" s="2"/>
    </row>
    <row r="974" spans="2:15" x14ac:dyDescent="0.2">
      <c r="B974" s="1">
        <v>959</v>
      </c>
      <c r="C974" s="5">
        <f ca="1">_xlfn.NORM.S.INV(RAND())</f>
        <v>-0.7335099527697313</v>
      </c>
      <c r="D974" s="5">
        <f ca="1">S0*EXP((μ-0.5*σ*σ)*T+σ*SQRT(T)*$C974)</f>
        <v>0.61814839919885489</v>
      </c>
      <c r="E974" s="5">
        <f ca="1">MAX(0,CP*(D974-K))</f>
        <v>0</v>
      </c>
      <c r="F974" s="4">
        <f ca="1">(CP*(D974-K)&gt;0)*1</f>
        <v>0</v>
      </c>
      <c r="H974" s="4">
        <v>959</v>
      </c>
      <c r="I974" s="3">
        <v>0.66779109701080241</v>
      </c>
      <c r="J974" s="128">
        <v>1.2831116640212852E-3</v>
      </c>
      <c r="K974" s="128"/>
      <c r="L974" s="128">
        <v>4.2999999999999997E-2</v>
      </c>
      <c r="O974" s="2"/>
    </row>
    <row r="975" spans="2:15" x14ac:dyDescent="0.2">
      <c r="B975" s="1">
        <v>960</v>
      </c>
      <c r="C975" s="5">
        <f ca="1">_xlfn.NORM.S.INV(RAND())</f>
        <v>-0.37108651281982286</v>
      </c>
      <c r="D975" s="5">
        <f ca="1">S0*EXP((μ-0.5*σ*σ)*T+σ*SQRT(T)*$C975)</f>
        <v>0.64063442006169857</v>
      </c>
      <c r="E975" s="5">
        <f ca="1">MAX(0,CP*(D975-K))</f>
        <v>0</v>
      </c>
      <c r="F975" s="4">
        <f ca="1">(CP*(D975-K)&gt;0)*1</f>
        <v>0</v>
      </c>
      <c r="H975" s="4">
        <v>960</v>
      </c>
      <c r="I975" s="3">
        <v>0.66773563727055074</v>
      </c>
      <c r="J975" s="128">
        <v>1.4045355107679355E-3</v>
      </c>
      <c r="K975" s="128"/>
      <c r="L975" s="128">
        <v>4.3799999999999999E-2</v>
      </c>
      <c r="O975" s="2"/>
    </row>
    <row r="976" spans="2:15" x14ac:dyDescent="0.2">
      <c r="B976" s="1">
        <v>961</v>
      </c>
      <c r="C976" s="5">
        <f ca="1">_xlfn.NORM.S.INV(RAND())</f>
        <v>-0.86730655968775183</v>
      </c>
      <c r="D976" s="5">
        <f ca="1">S0*EXP((μ-0.5*σ*σ)*T+σ*SQRT(T)*$C976)</f>
        <v>0.61004814961589038</v>
      </c>
      <c r="E976" s="5">
        <f ca="1">MAX(0,CP*(D976-K))</f>
        <v>0</v>
      </c>
      <c r="F976" s="4">
        <f ca="1">(CP*(D976-K)&gt;0)*1</f>
        <v>0</v>
      </c>
      <c r="H976" s="4">
        <v>961</v>
      </c>
      <c r="I976" s="3">
        <v>0.66772235495861509</v>
      </c>
      <c r="J976" s="128">
        <v>1.389773636586195E-3</v>
      </c>
      <c r="K976" s="128"/>
      <c r="L976" s="128">
        <v>3.9800000000000002E-2</v>
      </c>
      <c r="O976" s="2"/>
    </row>
    <row r="977" spans="2:15" x14ac:dyDescent="0.2">
      <c r="B977" s="1">
        <v>962</v>
      </c>
      <c r="C977" s="5">
        <f ca="1">_xlfn.NORM.S.INV(RAND())</f>
        <v>-0.4225398672194024</v>
      </c>
      <c r="D977" s="5">
        <f ca="1">S0*EXP((μ-0.5*σ*σ)*T+σ*SQRT(T)*$C977)</f>
        <v>0.63739293044582201</v>
      </c>
      <c r="E977" s="5">
        <f ca="1">MAX(0,CP*(D977-K))</f>
        <v>0</v>
      </c>
      <c r="F977" s="4">
        <f ca="1">(CP*(D977-K)&gt;0)*1</f>
        <v>0</v>
      </c>
      <c r="H977" s="4">
        <v>962</v>
      </c>
      <c r="I977" s="3">
        <v>0.66765274836710475</v>
      </c>
      <c r="J977" s="128">
        <v>1.1749138466785834E-3</v>
      </c>
      <c r="K977" s="128"/>
      <c r="L977" s="128">
        <v>4.1399999999999999E-2</v>
      </c>
      <c r="O977" s="2"/>
    </row>
    <row r="978" spans="2:15" x14ac:dyDescent="0.2">
      <c r="B978" s="1">
        <v>963</v>
      </c>
      <c r="C978" s="5">
        <f ca="1">_xlfn.NORM.S.INV(RAND())</f>
        <v>1.6484478539767302</v>
      </c>
      <c r="D978" s="5">
        <f ca="1">S0*EXP((μ-0.5*σ*σ)*T+σ*SQRT(T)*$C978)</f>
        <v>0.78176935140432158</v>
      </c>
      <c r="E978" s="5">
        <f ca="1">MAX(0,CP*(D978-K))</f>
        <v>0</v>
      </c>
      <c r="F978" s="4">
        <f ca="1">(CP*(D978-K)&gt;0)*1</f>
        <v>0</v>
      </c>
      <c r="H978" s="4">
        <v>963</v>
      </c>
      <c r="I978" s="3">
        <v>0.66782989805533977</v>
      </c>
      <c r="J978" s="128">
        <v>1.45154112985484E-3</v>
      </c>
      <c r="K978" s="128"/>
      <c r="L978" s="128">
        <v>4.36E-2</v>
      </c>
      <c r="O978" s="2"/>
    </row>
    <row r="979" spans="2:15" x14ac:dyDescent="0.2">
      <c r="B979" s="1">
        <v>964</v>
      </c>
      <c r="C979" s="5">
        <f ca="1">_xlfn.NORM.S.INV(RAND())</f>
        <v>-1.1050209515217684</v>
      </c>
      <c r="D979" s="5">
        <f ca="1">S0*EXP((μ-0.5*σ*σ)*T+σ*SQRT(T)*$C979)</f>
        <v>0.59591749569220787</v>
      </c>
      <c r="E979" s="5">
        <f ca="1">MAX(0,CP*(D979-K))</f>
        <v>0</v>
      </c>
      <c r="F979" s="4">
        <f ca="1">(CP*(D979-K)&gt;0)*1</f>
        <v>0</v>
      </c>
      <c r="H979" s="4">
        <v>964</v>
      </c>
      <c r="I979" s="3">
        <v>0.66768607170336958</v>
      </c>
      <c r="J979" s="128">
        <v>1.3692470957625377E-3</v>
      </c>
      <c r="K979" s="128"/>
      <c r="L979" s="128">
        <v>0.04</v>
      </c>
      <c r="O979" s="2"/>
    </row>
    <row r="980" spans="2:15" x14ac:dyDescent="0.2">
      <c r="B980" s="1">
        <v>965</v>
      </c>
      <c r="C980" s="5">
        <f ca="1">_xlfn.NORM.S.INV(RAND())</f>
        <v>2.0317411271526518</v>
      </c>
      <c r="D980" s="5">
        <f ca="1">S0*EXP((μ-0.5*σ*σ)*T+σ*SQRT(T)*$C980)</f>
        <v>0.81187603638638794</v>
      </c>
      <c r="E980" s="5">
        <f ca="1">MAX(0,CP*(D980-K))</f>
        <v>2.3676036386387933E-2</v>
      </c>
      <c r="F980" s="4">
        <f ca="1">(CP*(D980-K)&gt;0)*1</f>
        <v>1</v>
      </c>
      <c r="H980" s="4">
        <v>965</v>
      </c>
      <c r="I980" s="3">
        <v>0.66778059770418263</v>
      </c>
      <c r="J980" s="128">
        <v>1.4187580669783432E-3</v>
      </c>
      <c r="K980" s="128"/>
      <c r="L980" s="128">
        <v>4.4600000000000001E-2</v>
      </c>
      <c r="O980" s="2"/>
    </row>
    <row r="981" spans="2:15" x14ac:dyDescent="0.2">
      <c r="B981" s="1">
        <v>966</v>
      </c>
      <c r="C981" s="5">
        <f ca="1">_xlfn.NORM.S.INV(RAND())</f>
        <v>-0.85181599472236025</v>
      </c>
      <c r="D981" s="5">
        <f ca="1">S0*EXP((μ-0.5*σ*σ)*T+σ*SQRT(T)*$C981)</f>
        <v>0.61098051202710824</v>
      </c>
      <c r="E981" s="5">
        <f ca="1">MAX(0,CP*(D981-K))</f>
        <v>0</v>
      </c>
      <c r="F981" s="4">
        <f ca="1">(CP*(D981-K)&gt;0)*1</f>
        <v>0</v>
      </c>
      <c r="H981" s="4">
        <v>966</v>
      </c>
      <c r="I981" s="3">
        <v>0.66779956949877772</v>
      </c>
      <c r="J981" s="128">
        <v>1.5669003753632212E-3</v>
      </c>
      <c r="K981" s="128"/>
      <c r="L981" s="128">
        <v>4.2200000000000001E-2</v>
      </c>
      <c r="O981" s="2"/>
    </row>
    <row r="982" spans="2:15" x14ac:dyDescent="0.2">
      <c r="B982" s="1">
        <v>967</v>
      </c>
      <c r="C982" s="5">
        <f ca="1">_xlfn.NORM.S.INV(RAND())</f>
        <v>-0.79006531661941759</v>
      </c>
      <c r="D982" s="5">
        <f ca="1">S0*EXP((μ-0.5*σ*σ)*T+σ*SQRT(T)*$C982)</f>
        <v>0.6147114105666952</v>
      </c>
      <c r="E982" s="5">
        <f ca="1">MAX(0,CP*(D982-K))</f>
        <v>0</v>
      </c>
      <c r="F982" s="4">
        <f ca="1">(CP*(D982-K)&gt;0)*1</f>
        <v>0</v>
      </c>
      <c r="H982" s="4">
        <v>967</v>
      </c>
      <c r="I982" s="3">
        <v>0.66774319975205854</v>
      </c>
      <c r="J982" s="128">
        <v>1.2992189721250562E-3</v>
      </c>
      <c r="K982" s="128"/>
      <c r="L982" s="128">
        <v>4.2599999999999999E-2</v>
      </c>
      <c r="O982" s="2"/>
    </row>
    <row r="983" spans="2:15" x14ac:dyDescent="0.2">
      <c r="B983" s="1">
        <v>968</v>
      </c>
      <c r="C983" s="5">
        <f ca="1">_xlfn.NORM.S.INV(RAND())</f>
        <v>0.10202529292290045</v>
      </c>
      <c r="D983" s="5">
        <f ca="1">S0*EXP((μ-0.5*σ*σ)*T+σ*SQRT(T)*$C983)</f>
        <v>0.67122329600168784</v>
      </c>
      <c r="E983" s="5">
        <f ca="1">MAX(0,CP*(D983-K))</f>
        <v>0</v>
      </c>
      <c r="F983" s="4">
        <f ca="1">(CP*(D983-K)&gt;0)*1</f>
        <v>0</v>
      </c>
      <c r="H983" s="4">
        <v>968</v>
      </c>
      <c r="I983" s="3">
        <v>0.66780472989891515</v>
      </c>
      <c r="J983" s="128">
        <v>1.4175211304657924E-3</v>
      </c>
      <c r="K983" s="128"/>
      <c r="L983" s="128">
        <v>4.0800000000000003E-2</v>
      </c>
      <c r="O983" s="2"/>
    </row>
    <row r="984" spans="2:15" x14ac:dyDescent="0.2">
      <c r="B984" s="1">
        <v>969</v>
      </c>
      <c r="C984" s="5">
        <f ca="1">_xlfn.NORM.S.INV(RAND())</f>
        <v>6.7042434943856699E-2</v>
      </c>
      <c r="D984" s="5">
        <f ca="1">S0*EXP((μ-0.5*σ*σ)*T+σ*SQRT(T)*$C984)</f>
        <v>0.66891232055715255</v>
      </c>
      <c r="E984" s="5">
        <f ca="1">MAX(0,CP*(D984-K))</f>
        <v>0</v>
      </c>
      <c r="F984" s="4">
        <f ca="1">(CP*(D984-K)&gt;0)*1</f>
        <v>0</v>
      </c>
      <c r="H984" s="4">
        <v>969</v>
      </c>
      <c r="I984" s="3">
        <v>0.66781338562681525</v>
      </c>
      <c r="J984" s="128">
        <v>1.4870778675881756E-3</v>
      </c>
      <c r="K984" s="128"/>
      <c r="L984" s="128">
        <v>4.3799999999999999E-2</v>
      </c>
      <c r="O984" s="2"/>
    </row>
    <row r="985" spans="2:15" x14ac:dyDescent="0.2">
      <c r="B985" s="1">
        <v>970</v>
      </c>
      <c r="C985" s="5">
        <f ca="1">_xlfn.NORM.S.INV(RAND())</f>
        <v>-0.39619451868007682</v>
      </c>
      <c r="D985" s="5">
        <f ca="1">S0*EXP((μ-0.5*σ*σ)*T+σ*SQRT(T)*$C985)</f>
        <v>0.63905059646362883</v>
      </c>
      <c r="E985" s="5">
        <f ca="1">MAX(0,CP*(D985-K))</f>
        <v>0</v>
      </c>
      <c r="F985" s="4">
        <f ca="1">(CP*(D985-K)&gt;0)*1</f>
        <v>0</v>
      </c>
      <c r="H985" s="4">
        <v>970</v>
      </c>
      <c r="I985" s="3">
        <v>0.66771986865133215</v>
      </c>
      <c r="J985" s="128">
        <v>1.317301871826923E-3</v>
      </c>
      <c r="K985" s="128"/>
      <c r="L985" s="128">
        <v>3.9199999999999999E-2</v>
      </c>
      <c r="O985" s="2"/>
    </row>
    <row r="986" spans="2:15" x14ac:dyDescent="0.2">
      <c r="B986" s="1">
        <v>971</v>
      </c>
      <c r="C986" s="5">
        <f ca="1">_xlfn.NORM.S.INV(RAND())</f>
        <v>-0.59355129181586797</v>
      </c>
      <c r="D986" s="5">
        <f ca="1">S0*EXP((μ-0.5*σ*σ)*T+σ*SQRT(T)*$C986)</f>
        <v>0.6267368321199982</v>
      </c>
      <c r="E986" s="5">
        <f ca="1">MAX(0,CP*(D986-K))</f>
        <v>0</v>
      </c>
      <c r="F986" s="4">
        <f ca="1">(CP*(D986-K)&gt;0)*1</f>
        <v>0</v>
      </c>
      <c r="H986" s="4">
        <v>971</v>
      </c>
      <c r="I986" s="3">
        <v>0.66787905813084214</v>
      </c>
      <c r="J986" s="128">
        <v>1.3761490204738916E-3</v>
      </c>
      <c r="K986" s="128"/>
      <c r="L986" s="128">
        <v>4.3400000000000001E-2</v>
      </c>
      <c r="O986" s="2"/>
    </row>
    <row r="987" spans="2:15" x14ac:dyDescent="0.2">
      <c r="B987" s="1">
        <v>972</v>
      </c>
      <c r="C987" s="5">
        <f ca="1">_xlfn.NORM.S.INV(RAND())</f>
        <v>0.18260156537863784</v>
      </c>
      <c r="D987" s="5">
        <f ca="1">S0*EXP((μ-0.5*σ*σ)*T+σ*SQRT(T)*$C987)</f>
        <v>0.67657660155695898</v>
      </c>
      <c r="E987" s="5">
        <f ca="1">MAX(0,CP*(D987-K))</f>
        <v>0</v>
      </c>
      <c r="F987" s="4">
        <f ca="1">(CP*(D987-K)&gt;0)*1</f>
        <v>0</v>
      </c>
      <c r="H987" s="4">
        <v>972</v>
      </c>
      <c r="I987" s="3">
        <v>0.66773675519880216</v>
      </c>
      <c r="J987" s="128">
        <v>1.4011385673410096E-3</v>
      </c>
      <c r="K987" s="128"/>
      <c r="L987" s="128">
        <v>4.1799999999999997E-2</v>
      </c>
      <c r="O987" s="2"/>
    </row>
    <row r="988" spans="2:15" x14ac:dyDescent="0.2">
      <c r="B988" s="1">
        <v>973</v>
      </c>
      <c r="C988" s="5">
        <f ca="1">_xlfn.NORM.S.INV(RAND())</f>
        <v>7.8207784794703972E-2</v>
      </c>
      <c r="D988" s="5">
        <f ca="1">S0*EXP((μ-0.5*σ*σ)*T+σ*SQRT(T)*$C988)</f>
        <v>0.66964904028765737</v>
      </c>
      <c r="E988" s="5">
        <f ca="1">MAX(0,CP*(D988-K))</f>
        <v>0</v>
      </c>
      <c r="F988" s="4">
        <f ca="1">(CP*(D988-K)&gt;0)*1</f>
        <v>0</v>
      </c>
      <c r="H988" s="4">
        <v>973</v>
      </c>
      <c r="I988" s="3">
        <v>0.66770987719292008</v>
      </c>
      <c r="J988" s="128">
        <v>1.2842755532358023E-3</v>
      </c>
      <c r="K988" s="128"/>
      <c r="L988" s="128">
        <v>4.0800000000000003E-2</v>
      </c>
      <c r="O988" s="2"/>
    </row>
    <row r="989" spans="2:15" x14ac:dyDescent="0.2">
      <c r="B989" s="1">
        <v>974</v>
      </c>
      <c r="C989" s="5">
        <f ca="1">_xlfn.NORM.S.INV(RAND())</f>
        <v>-0.45403176031627851</v>
      </c>
      <c r="D989" s="5">
        <f ca="1">S0*EXP((μ-0.5*σ*σ)*T+σ*SQRT(T)*$C989)</f>
        <v>0.63541708155558785</v>
      </c>
      <c r="E989" s="5">
        <f ca="1">MAX(0,CP*(D989-K))</f>
        <v>0</v>
      </c>
      <c r="F989" s="4">
        <f ca="1">(CP*(D989-K)&gt;0)*1</f>
        <v>0</v>
      </c>
      <c r="H989" s="4">
        <v>974</v>
      </c>
      <c r="I989" s="3">
        <v>0.66772586098737252</v>
      </c>
      <c r="J989" s="128">
        <v>1.3609747501830004E-3</v>
      </c>
      <c r="K989" s="128"/>
      <c r="L989" s="128">
        <v>3.9800000000000002E-2</v>
      </c>
      <c r="O989" s="2"/>
    </row>
    <row r="990" spans="2:15" x14ac:dyDescent="0.2">
      <c r="B990" s="1">
        <v>975</v>
      </c>
      <c r="C990" s="5">
        <f ca="1">_xlfn.NORM.S.INV(RAND())</f>
        <v>-0.46192491217323223</v>
      </c>
      <c r="D990" s="5">
        <f ca="1">S0*EXP((μ-0.5*σ*σ)*T+σ*SQRT(T)*$C990)</f>
        <v>0.63492281400559714</v>
      </c>
      <c r="E990" s="5">
        <f ca="1">MAX(0,CP*(D990-K))</f>
        <v>0</v>
      </c>
      <c r="F990" s="4">
        <f ca="1">(CP*(D990-K)&gt;0)*1</f>
        <v>0</v>
      </c>
      <c r="H990" s="4">
        <v>975</v>
      </c>
      <c r="I990" s="3">
        <v>0.66777770699145444</v>
      </c>
      <c r="J990" s="128">
        <v>1.2995732446270077E-3</v>
      </c>
      <c r="K990" s="128"/>
      <c r="L990" s="128">
        <v>4.4600000000000001E-2</v>
      </c>
      <c r="O990" s="2"/>
    </row>
    <row r="991" spans="2:15" x14ac:dyDescent="0.2">
      <c r="B991" s="1">
        <v>976</v>
      </c>
      <c r="C991" s="5">
        <f ca="1">_xlfn.NORM.S.INV(RAND())</f>
        <v>-5.3021438486992485E-2</v>
      </c>
      <c r="D991" s="5">
        <f ca="1">S0*EXP((μ-0.5*σ*σ)*T+σ*SQRT(T)*$C991)</f>
        <v>0.6610412197550144</v>
      </c>
      <c r="E991" s="5">
        <f ca="1">MAX(0,CP*(D991-K))</f>
        <v>0</v>
      </c>
      <c r="F991" s="4">
        <f ca="1">(CP*(D991-K)&gt;0)*1</f>
        <v>0</v>
      </c>
      <c r="H991" s="4">
        <v>976</v>
      </c>
      <c r="I991" s="3">
        <v>0.66775716242713756</v>
      </c>
      <c r="J991" s="128">
        <v>1.4821920328873094E-3</v>
      </c>
      <c r="K991" s="128"/>
      <c r="L991" s="128">
        <v>4.0399999999999998E-2</v>
      </c>
      <c r="O991" s="2"/>
    </row>
    <row r="992" spans="2:15" x14ac:dyDescent="0.2">
      <c r="B992" s="1">
        <v>977</v>
      </c>
      <c r="C992" s="5">
        <f ca="1">_xlfn.NORM.S.INV(RAND())</f>
        <v>-0.18558325152517113</v>
      </c>
      <c r="D992" s="5">
        <f ca="1">S0*EXP((μ-0.5*σ*σ)*T+σ*SQRT(T)*$C992)</f>
        <v>0.652458322677267</v>
      </c>
      <c r="E992" s="5">
        <f ca="1">MAX(0,CP*(D992-K))</f>
        <v>0</v>
      </c>
      <c r="F992" s="4">
        <f ca="1">(CP*(D992-K)&gt;0)*1</f>
        <v>0</v>
      </c>
      <c r="H992" s="4">
        <v>977</v>
      </c>
      <c r="I992" s="3">
        <v>0.66767587522130112</v>
      </c>
      <c r="J992" s="128">
        <v>1.3781016941631229E-3</v>
      </c>
      <c r="K992" s="128"/>
      <c r="L992" s="128">
        <v>4.0599999999999997E-2</v>
      </c>
      <c r="O992" s="2"/>
    </row>
    <row r="993" spans="2:15" x14ac:dyDescent="0.2">
      <c r="B993" s="1">
        <v>978</v>
      </c>
      <c r="C993" s="5">
        <f ca="1">_xlfn.NORM.S.INV(RAND())</f>
        <v>0.20570364509860126</v>
      </c>
      <c r="D993" s="5">
        <f ca="1">S0*EXP((μ-0.5*σ*σ)*T+σ*SQRT(T)*$C993)</f>
        <v>0.67811931205931775</v>
      </c>
      <c r="E993" s="5">
        <f ca="1">MAX(0,CP*(D993-K))</f>
        <v>0</v>
      </c>
      <c r="F993" s="4">
        <f ca="1">(CP*(D993-K)&gt;0)*1</f>
        <v>0</v>
      </c>
      <c r="H993" s="4">
        <v>978</v>
      </c>
      <c r="I993" s="3">
        <v>0.66771846808370316</v>
      </c>
      <c r="J993" s="128">
        <v>1.4278518532040995E-3</v>
      </c>
      <c r="K993" s="128"/>
      <c r="L993" s="128">
        <v>4.2000000000000003E-2</v>
      </c>
      <c r="O993" s="2"/>
    </row>
    <row r="994" spans="2:15" x14ac:dyDescent="0.2">
      <c r="B994" s="1">
        <v>979</v>
      </c>
      <c r="C994" s="5">
        <f ca="1">_xlfn.NORM.S.INV(RAND())</f>
        <v>0.99862486899484648</v>
      </c>
      <c r="D994" s="5">
        <f ca="1">S0*EXP((μ-0.5*σ*σ)*T+σ*SQRT(T)*$C994)</f>
        <v>0.73325633403066315</v>
      </c>
      <c r="E994" s="5">
        <f ca="1">MAX(0,CP*(D994-K))</f>
        <v>0</v>
      </c>
      <c r="F994" s="4">
        <f ca="1">(CP*(D994-K)&gt;0)*1</f>
        <v>0</v>
      </c>
      <c r="H994" s="4">
        <v>979</v>
      </c>
      <c r="I994" s="3">
        <v>0.66773090654675427</v>
      </c>
      <c r="J994" s="128">
        <v>1.3942522029520821E-3</v>
      </c>
      <c r="K994" s="128"/>
      <c r="L994" s="128">
        <v>4.2999999999999997E-2</v>
      </c>
      <c r="O994" s="2"/>
    </row>
    <row r="995" spans="2:15" x14ac:dyDescent="0.2">
      <c r="B995" s="1">
        <v>980</v>
      </c>
      <c r="C995" s="5">
        <f ca="1">_xlfn.NORM.S.INV(RAND())</f>
        <v>0.3009497072017463</v>
      </c>
      <c r="D995" s="5">
        <f ca="1">S0*EXP((μ-0.5*σ*σ)*T+σ*SQRT(T)*$C995)</f>
        <v>0.68451688852380377</v>
      </c>
      <c r="E995" s="5">
        <f ca="1">MAX(0,CP*(D995-K))</f>
        <v>0</v>
      </c>
      <c r="F995" s="4">
        <f ca="1">(CP*(D995-K)&gt;0)*1</f>
        <v>0</v>
      </c>
      <c r="H995" s="4">
        <v>980</v>
      </c>
      <c r="I995" s="3">
        <v>0.6678031914688588</v>
      </c>
      <c r="J995" s="128">
        <v>1.5116718959074643E-3</v>
      </c>
      <c r="K995" s="128"/>
      <c r="L995" s="128">
        <v>4.5999999999999999E-2</v>
      </c>
      <c r="O995" s="2"/>
    </row>
    <row r="996" spans="2:15" x14ac:dyDescent="0.2">
      <c r="B996" s="1">
        <v>981</v>
      </c>
      <c r="C996" s="5">
        <f ca="1">_xlfn.NORM.S.INV(RAND())</f>
        <v>-0.58298065858812964</v>
      </c>
      <c r="D996" s="5">
        <f ca="1">S0*EXP((μ-0.5*σ*σ)*T+σ*SQRT(T)*$C996)</f>
        <v>0.62739031506658727</v>
      </c>
      <c r="E996" s="5">
        <f ca="1">MAX(0,CP*(D996-K))</f>
        <v>0</v>
      </c>
      <c r="F996" s="4">
        <f ca="1">(CP*(D996-K)&gt;0)*1</f>
        <v>0</v>
      </c>
      <c r="H996" s="4">
        <v>981</v>
      </c>
      <c r="I996" s="3">
        <v>0.66778859293729398</v>
      </c>
      <c r="J996" s="128">
        <v>1.4367191625444336E-3</v>
      </c>
      <c r="K996" s="128"/>
      <c r="L996" s="128">
        <v>4.2999999999999997E-2</v>
      </c>
      <c r="O996" s="2"/>
    </row>
    <row r="997" spans="2:15" x14ac:dyDescent="0.2">
      <c r="B997" s="1">
        <v>982</v>
      </c>
      <c r="C997" s="5">
        <f ca="1">_xlfn.NORM.S.INV(RAND())</f>
        <v>-0.68033234542464671</v>
      </c>
      <c r="D997" s="5">
        <f ca="1">S0*EXP((μ-0.5*σ*σ)*T+σ*SQRT(T)*$C997)</f>
        <v>0.62139764215264037</v>
      </c>
      <c r="E997" s="5">
        <f ca="1">MAX(0,CP*(D997-K))</f>
        <v>0</v>
      </c>
      <c r="F997" s="4">
        <f ca="1">(CP*(D997-K)&gt;0)*1</f>
        <v>0</v>
      </c>
      <c r="H997" s="4">
        <v>982</v>
      </c>
      <c r="I997" s="3">
        <v>0.66779477329446157</v>
      </c>
      <c r="J997" s="128">
        <v>1.4013483727531046E-3</v>
      </c>
      <c r="K997" s="128"/>
      <c r="L997" s="128">
        <v>4.2200000000000001E-2</v>
      </c>
      <c r="O997" s="2"/>
    </row>
    <row r="998" spans="2:15" x14ac:dyDescent="0.2">
      <c r="B998" s="1">
        <v>983</v>
      </c>
      <c r="C998" s="5">
        <f ca="1">_xlfn.NORM.S.INV(RAND())</f>
        <v>0.10238965269578659</v>
      </c>
      <c r="D998" s="5">
        <f ca="1">S0*EXP((μ-0.5*σ*σ)*T+σ*SQRT(T)*$C998)</f>
        <v>0.67124740765355584</v>
      </c>
      <c r="E998" s="5">
        <f ca="1">MAX(0,CP*(D998-K))</f>
        <v>0</v>
      </c>
      <c r="F998" s="4">
        <f ca="1">(CP*(D998-K)&gt;0)*1</f>
        <v>0</v>
      </c>
      <c r="H998" s="4">
        <v>983</v>
      </c>
      <c r="I998" s="3">
        <v>0.66773993395582787</v>
      </c>
      <c r="J998" s="128">
        <v>1.3393994512020373E-3</v>
      </c>
      <c r="K998" s="128"/>
      <c r="L998" s="128">
        <v>4.2599999999999999E-2</v>
      </c>
      <c r="O998" s="2"/>
    </row>
    <row r="999" spans="2:15" x14ac:dyDescent="0.2">
      <c r="B999" s="1">
        <v>984</v>
      </c>
      <c r="C999" s="5">
        <f ca="1">_xlfn.NORM.S.INV(RAND())</f>
        <v>7.4129840832164312E-2</v>
      </c>
      <c r="D999" s="5">
        <f ca="1">S0*EXP((μ-0.5*σ*σ)*T+σ*SQRT(T)*$C999)</f>
        <v>0.66937987259778386</v>
      </c>
      <c r="E999" s="5">
        <f ca="1">MAX(0,CP*(D999-K))</f>
        <v>0</v>
      </c>
      <c r="F999" s="4">
        <f ca="1">(CP*(D999-K)&gt;0)*1</f>
        <v>0</v>
      </c>
      <c r="H999" s="4">
        <v>984</v>
      </c>
      <c r="I999" s="3">
        <v>0.66752092261748119</v>
      </c>
      <c r="J999" s="128">
        <v>1.1495713027991584E-3</v>
      </c>
      <c r="K999" s="128"/>
      <c r="L999" s="128">
        <v>3.9600000000000003E-2</v>
      </c>
      <c r="O999" s="2"/>
    </row>
    <row r="1000" spans="2:15" x14ac:dyDescent="0.2">
      <c r="B1000" s="1">
        <v>985</v>
      </c>
      <c r="C1000" s="5">
        <f ca="1">_xlfn.NORM.S.INV(RAND())</f>
        <v>-0.74835915133779773</v>
      </c>
      <c r="D1000" s="5">
        <f ca="1">S0*EXP((μ-0.5*σ*σ)*T+σ*SQRT(T)*$C1000)</f>
        <v>0.61724412605795043</v>
      </c>
      <c r="E1000" s="5">
        <f ca="1">MAX(0,CP*(D1000-K))</f>
        <v>0</v>
      </c>
      <c r="F1000" s="4">
        <f ca="1">(CP*(D1000-K)&gt;0)*1</f>
        <v>0</v>
      </c>
      <c r="H1000" s="4">
        <v>985</v>
      </c>
      <c r="I1000" s="3">
        <v>0.66776288279577967</v>
      </c>
      <c r="J1000" s="128">
        <v>1.4600589853367338E-3</v>
      </c>
      <c r="K1000" s="128"/>
      <c r="L1000" s="128">
        <v>3.9800000000000002E-2</v>
      </c>
      <c r="O1000" s="2"/>
    </row>
    <row r="1001" spans="2:15" x14ac:dyDescent="0.2">
      <c r="B1001" s="1">
        <v>986</v>
      </c>
      <c r="C1001" s="5">
        <f ca="1">_xlfn.NORM.S.INV(RAND())</f>
        <v>0.94409905769105829</v>
      </c>
      <c r="D1001" s="5">
        <f ca="1">S0*EXP((μ-0.5*σ*σ)*T+σ*SQRT(T)*$C1001)</f>
        <v>0.72932524468536242</v>
      </c>
      <c r="E1001" s="5">
        <f ca="1">MAX(0,CP*(D1001-K))</f>
        <v>0</v>
      </c>
      <c r="F1001" s="4">
        <f ca="1">(CP*(D1001-K)&gt;0)*1</f>
        <v>0</v>
      </c>
      <c r="H1001" s="4">
        <v>986</v>
      </c>
      <c r="I1001" s="3">
        <v>0.66770860837590407</v>
      </c>
      <c r="J1001" s="128">
        <v>1.4593860225516982E-3</v>
      </c>
      <c r="K1001" s="128"/>
      <c r="L1001" s="128">
        <v>4.2799999999999998E-2</v>
      </c>
      <c r="O1001" s="2"/>
    </row>
    <row r="1002" spans="2:15" x14ac:dyDescent="0.2">
      <c r="B1002" s="1">
        <v>987</v>
      </c>
      <c r="C1002" s="5">
        <f ca="1">_xlfn.NORM.S.INV(RAND())</f>
        <v>-0.87380626536415873</v>
      </c>
      <c r="D1002" s="5">
        <f ca="1">S0*EXP((μ-0.5*σ*σ)*T+σ*SQRT(T)*$C1002)</f>
        <v>0.60965736236428958</v>
      </c>
      <c r="E1002" s="5">
        <f ca="1">MAX(0,CP*(D1002-K))</f>
        <v>0</v>
      </c>
      <c r="F1002" s="4">
        <f ca="1">(CP*(D1002-K)&gt;0)*1</f>
        <v>0</v>
      </c>
      <c r="H1002" s="4">
        <v>987</v>
      </c>
      <c r="I1002" s="3">
        <v>0.66774117115937215</v>
      </c>
      <c r="J1002" s="128">
        <v>1.2657222128152571E-3</v>
      </c>
      <c r="K1002" s="128"/>
      <c r="L1002" s="128">
        <v>4.6600000000000003E-2</v>
      </c>
      <c r="O1002" s="2"/>
    </row>
    <row r="1003" spans="2:15" x14ac:dyDescent="0.2">
      <c r="B1003" s="1">
        <v>988</v>
      </c>
      <c r="C1003" s="5">
        <f ca="1">_xlfn.NORM.S.INV(RAND())</f>
        <v>-0.57455528562386504</v>
      </c>
      <c r="D1003" s="5">
        <f ca="1">S0*EXP((μ-0.5*σ*σ)*T+σ*SQRT(T)*$C1003)</f>
        <v>0.62791166467113535</v>
      </c>
      <c r="E1003" s="5">
        <f ca="1">MAX(0,CP*(D1003-K))</f>
        <v>0</v>
      </c>
      <c r="F1003" s="4">
        <f ca="1">(CP*(D1003-K)&gt;0)*1</f>
        <v>0</v>
      </c>
      <c r="H1003" s="4">
        <v>988</v>
      </c>
      <c r="I1003" s="3">
        <v>0.66764416637334012</v>
      </c>
      <c r="J1003" s="128">
        <v>1.2412847375504828E-3</v>
      </c>
      <c r="K1003" s="128"/>
      <c r="L1003" s="128">
        <v>4.1599999999999998E-2</v>
      </c>
      <c r="O1003" s="2"/>
    </row>
    <row r="1004" spans="2:15" x14ac:dyDescent="0.2">
      <c r="B1004" s="1">
        <v>989</v>
      </c>
      <c r="C1004" s="5">
        <f ca="1">_xlfn.NORM.S.INV(RAND())</f>
        <v>0.6005522779685426</v>
      </c>
      <c r="D1004" s="5">
        <f ca="1">S0*EXP((μ-0.5*σ*σ)*T+σ*SQRT(T)*$C1004)</f>
        <v>0.7050370654898287</v>
      </c>
      <c r="E1004" s="5">
        <f ca="1">MAX(0,CP*(D1004-K))</f>
        <v>0</v>
      </c>
      <c r="F1004" s="4">
        <f ca="1">(CP*(D1004-K)&gt;0)*1</f>
        <v>0</v>
      </c>
      <c r="H1004" s="4">
        <v>989</v>
      </c>
      <c r="I1004" s="3">
        <v>0.66770599409788156</v>
      </c>
      <c r="J1004" s="128">
        <v>1.2818982183331936E-3</v>
      </c>
      <c r="K1004" s="128"/>
      <c r="L1004" s="128">
        <v>4.1799999999999997E-2</v>
      </c>
      <c r="O1004" s="2"/>
    </row>
    <row r="1005" spans="2:15" x14ac:dyDescent="0.2">
      <c r="B1005" s="1">
        <v>990</v>
      </c>
      <c r="C1005" s="5">
        <f ca="1">_xlfn.NORM.S.INV(RAND())</f>
        <v>-1.5852764514012605</v>
      </c>
      <c r="D1005" s="5">
        <f ca="1">S0*EXP((μ-0.5*σ*σ)*T+σ*SQRT(T)*$C1005)</f>
        <v>0.56836001824621851</v>
      </c>
      <c r="E1005" s="5">
        <f ca="1">MAX(0,CP*(D1005-K))</f>
        <v>0</v>
      </c>
      <c r="F1005" s="4">
        <f ca="1">(CP*(D1005-K)&gt;0)*1</f>
        <v>0</v>
      </c>
      <c r="H1005" s="4">
        <v>990</v>
      </c>
      <c r="I1005" s="3">
        <v>0.66777751181770295</v>
      </c>
      <c r="J1005" s="128">
        <v>1.4244070951201881E-3</v>
      </c>
      <c r="K1005" s="128"/>
      <c r="L1005" s="128">
        <v>4.6399999999999997E-2</v>
      </c>
      <c r="O1005" s="2"/>
    </row>
    <row r="1006" spans="2:15" x14ac:dyDescent="0.2">
      <c r="B1006" s="1">
        <v>991</v>
      </c>
      <c r="C1006" s="5">
        <f ca="1">_xlfn.NORM.S.INV(RAND())</f>
        <v>-0.80354483543605348</v>
      </c>
      <c r="D1006" s="5">
        <f ca="1">S0*EXP((μ-0.5*σ*σ)*T+σ*SQRT(T)*$C1006)</f>
        <v>0.61389505596137817</v>
      </c>
      <c r="E1006" s="5">
        <f ca="1">MAX(0,CP*(D1006-K))</f>
        <v>0</v>
      </c>
      <c r="F1006" s="4">
        <f ca="1">(CP*(D1006-K)&gt;0)*1</f>
        <v>0</v>
      </c>
      <c r="H1006" s="4">
        <v>991</v>
      </c>
      <c r="I1006" s="3">
        <v>0.66772132384552518</v>
      </c>
      <c r="J1006" s="128">
        <v>1.355085619651994E-3</v>
      </c>
      <c r="K1006" s="128"/>
      <c r="L1006" s="128">
        <v>4.0800000000000003E-2</v>
      </c>
      <c r="O1006" s="2"/>
    </row>
    <row r="1007" spans="2:15" x14ac:dyDescent="0.2">
      <c r="B1007" s="1">
        <v>992</v>
      </c>
      <c r="C1007" s="5">
        <f ca="1">_xlfn.NORM.S.INV(RAND())</f>
        <v>-2.5416429058212404E-2</v>
      </c>
      <c r="D1007" s="5">
        <f ca="1">S0*EXP((μ-0.5*σ*σ)*T+σ*SQRT(T)*$C1007)</f>
        <v>0.66284269900215353</v>
      </c>
      <c r="E1007" s="5">
        <f ca="1">MAX(0,CP*(D1007-K))</f>
        <v>0</v>
      </c>
      <c r="F1007" s="4">
        <f ca="1">(CP*(D1007-K)&gt;0)*1</f>
        <v>0</v>
      </c>
      <c r="H1007" s="4">
        <v>992</v>
      </c>
      <c r="I1007" s="3">
        <v>0.66775424390882976</v>
      </c>
      <c r="J1007" s="128">
        <v>1.3755435764053188E-3</v>
      </c>
      <c r="K1007" s="128"/>
      <c r="L1007" s="128">
        <v>3.7999999999999999E-2</v>
      </c>
      <c r="O1007" s="2"/>
    </row>
    <row r="1008" spans="2:15" x14ac:dyDescent="0.2">
      <c r="B1008" s="1">
        <v>993</v>
      </c>
      <c r="C1008" s="5">
        <f ca="1">_xlfn.NORM.S.INV(RAND())</f>
        <v>-0.33832498434424579</v>
      </c>
      <c r="D1008" s="5">
        <f ca="1">S0*EXP((μ-0.5*σ*σ)*T+σ*SQRT(T)*$C1008)</f>
        <v>0.64270693510802346</v>
      </c>
      <c r="E1008" s="5">
        <f ca="1">MAX(0,CP*(D1008-K))</f>
        <v>0</v>
      </c>
      <c r="F1008" s="4">
        <f ca="1">(CP*(D1008-K)&gt;0)*1</f>
        <v>0</v>
      </c>
      <c r="H1008" s="4">
        <v>993</v>
      </c>
      <c r="I1008" s="3">
        <v>0.66771559454173846</v>
      </c>
      <c r="J1008" s="128">
        <v>1.2572691488137284E-3</v>
      </c>
      <c r="K1008" s="128"/>
      <c r="L1008" s="128">
        <v>4.02E-2</v>
      </c>
      <c r="O1008" s="2"/>
    </row>
    <row r="1009" spans="2:15" x14ac:dyDescent="0.2">
      <c r="B1009" s="1">
        <v>994</v>
      </c>
      <c r="C1009" s="5">
        <f ca="1">_xlfn.NORM.S.INV(RAND())</f>
        <v>-2.0947007389225853</v>
      </c>
      <c r="D1009" s="5">
        <f ca="1">S0*EXP((μ-0.5*σ*σ)*T+σ*SQRT(T)*$C1009)</f>
        <v>0.54052030386472416</v>
      </c>
      <c r="E1009" s="5">
        <f ca="1">MAX(0,CP*(D1009-K))</f>
        <v>0</v>
      </c>
      <c r="F1009" s="4">
        <f ca="1">(CP*(D1009-K)&gt;0)*1</f>
        <v>0</v>
      </c>
      <c r="H1009" s="4">
        <v>994</v>
      </c>
      <c r="I1009" s="3">
        <v>0.66772813389559271</v>
      </c>
      <c r="J1009" s="128">
        <v>1.3590816002079797E-3</v>
      </c>
      <c r="K1009" s="128"/>
      <c r="L1009" s="128">
        <v>4.24E-2</v>
      </c>
      <c r="O1009" s="2"/>
    </row>
    <row r="1010" spans="2:15" x14ac:dyDescent="0.2">
      <c r="B1010" s="1">
        <v>995</v>
      </c>
      <c r="C1010" s="5">
        <f ca="1">_xlfn.NORM.S.INV(RAND())</f>
        <v>-0.26963931853930545</v>
      </c>
      <c r="D1010" s="5">
        <f ca="1">S0*EXP((μ-0.5*σ*σ)*T+σ*SQRT(T)*$C1010)</f>
        <v>0.64707382328874774</v>
      </c>
      <c r="E1010" s="5">
        <f ca="1">MAX(0,CP*(D1010-K))</f>
        <v>0</v>
      </c>
      <c r="F1010" s="4">
        <f ca="1">(CP*(D1010-K)&gt;0)*1</f>
        <v>0</v>
      </c>
      <c r="H1010" s="4">
        <v>995</v>
      </c>
      <c r="I1010" s="3">
        <v>0.66772179551403521</v>
      </c>
      <c r="J1010" s="128">
        <v>1.3286728656944284E-3</v>
      </c>
      <c r="K1010" s="128"/>
      <c r="L1010" s="128">
        <v>4.0599999999999997E-2</v>
      </c>
      <c r="O1010" s="2"/>
    </row>
    <row r="1011" spans="2:15" x14ac:dyDescent="0.2">
      <c r="B1011" s="1">
        <v>996</v>
      </c>
      <c r="C1011" s="5">
        <f ca="1">_xlfn.NORM.S.INV(RAND())</f>
        <v>0.46161652750522186</v>
      </c>
      <c r="D1011" s="5">
        <f ca="1">S0*EXP((μ-0.5*σ*σ)*T+σ*SQRT(T)*$C1011)</f>
        <v>0.69544578172254612</v>
      </c>
      <c r="E1011" s="5">
        <f ca="1">MAX(0,CP*(D1011-K))</f>
        <v>0</v>
      </c>
      <c r="F1011" s="4">
        <f ca="1">(CP*(D1011-K)&gt;0)*1</f>
        <v>0</v>
      </c>
      <c r="H1011" s="4">
        <v>996</v>
      </c>
      <c r="I1011" s="3">
        <v>0.66786525847227818</v>
      </c>
      <c r="J1011" s="128">
        <v>1.5462757908934709E-3</v>
      </c>
      <c r="K1011" s="128"/>
      <c r="L1011" s="128">
        <v>4.3799999999999999E-2</v>
      </c>
      <c r="O1011" s="2"/>
    </row>
    <row r="1012" spans="2:15" x14ac:dyDescent="0.2">
      <c r="B1012" s="1">
        <v>997</v>
      </c>
      <c r="C1012" s="5">
        <f ca="1">_xlfn.NORM.S.INV(RAND())</f>
        <v>-2.1999751141807624</v>
      </c>
      <c r="D1012" s="5">
        <f ca="1">S0*EXP((μ-0.5*σ*σ)*T+σ*SQRT(T)*$C1012)</f>
        <v>0.53493939871776963</v>
      </c>
      <c r="E1012" s="5">
        <f ca="1">MAX(0,CP*(D1012-K))</f>
        <v>0</v>
      </c>
      <c r="F1012" s="4">
        <f ca="1">(CP*(D1012-K)&gt;0)*1</f>
        <v>0</v>
      </c>
      <c r="H1012" s="4">
        <v>997</v>
      </c>
      <c r="I1012" s="3">
        <v>0.66785399707383331</v>
      </c>
      <c r="J1012" s="128">
        <v>1.5277484584693799E-3</v>
      </c>
      <c r="K1012" s="128"/>
      <c r="L1012" s="128">
        <v>4.4999999999999998E-2</v>
      </c>
      <c r="O1012" s="2"/>
    </row>
    <row r="1013" spans="2:15" x14ac:dyDescent="0.2">
      <c r="B1013" s="1">
        <v>998</v>
      </c>
      <c r="C1013" s="5">
        <f ca="1">_xlfn.NORM.S.INV(RAND())</f>
        <v>0.19395870080477998</v>
      </c>
      <c r="D1013" s="5">
        <f ca="1">S0*EXP((μ-0.5*σ*σ)*T+σ*SQRT(T)*$C1013)</f>
        <v>0.67733456918098167</v>
      </c>
      <c r="E1013" s="5">
        <f ca="1">MAX(0,CP*(D1013-K))</f>
        <v>0</v>
      </c>
      <c r="F1013" s="4">
        <f ca="1">(CP*(D1013-K)&gt;0)*1</f>
        <v>0</v>
      </c>
      <c r="H1013" s="4">
        <v>998</v>
      </c>
      <c r="I1013" s="3">
        <v>0.66762446821901433</v>
      </c>
      <c r="J1013" s="128">
        <v>1.2068319993684981E-3</v>
      </c>
      <c r="K1013" s="128"/>
      <c r="L1013" s="128">
        <v>3.8399999999999997E-2</v>
      </c>
      <c r="O1013" s="2"/>
    </row>
    <row r="1014" spans="2:15" x14ac:dyDescent="0.2">
      <c r="B1014" s="1">
        <v>999</v>
      </c>
      <c r="C1014" s="5">
        <f ca="1">_xlfn.NORM.S.INV(RAND())</f>
        <v>-0.20229876767116597</v>
      </c>
      <c r="D1014" s="5">
        <f ca="1">S0*EXP((μ-0.5*σ*σ)*T+σ*SQRT(T)*$C1014)</f>
        <v>0.65138399567701033</v>
      </c>
      <c r="E1014" s="5">
        <f ca="1">MAX(0,CP*(D1014-K))</f>
        <v>0</v>
      </c>
      <c r="F1014" s="4">
        <f ca="1">(CP*(D1014-K)&gt;0)*1</f>
        <v>0</v>
      </c>
      <c r="H1014" s="4">
        <v>999</v>
      </c>
      <c r="I1014" s="3">
        <v>0.66784782132326359</v>
      </c>
      <c r="J1014" s="128">
        <v>1.5236687451236747E-3</v>
      </c>
      <c r="K1014" s="128"/>
      <c r="L1014" s="128">
        <v>4.3999999999999997E-2</v>
      </c>
      <c r="O1014" s="2"/>
    </row>
    <row r="1015" spans="2:15" x14ac:dyDescent="0.2">
      <c r="B1015" s="1">
        <v>1000</v>
      </c>
      <c r="C1015" s="5">
        <f ca="1">_xlfn.NORM.S.INV(RAND())</f>
        <v>-0.16211654173900847</v>
      </c>
      <c r="D1015" s="5">
        <f ca="1">S0*EXP((μ-0.5*σ*σ)*T+σ*SQRT(T)*$C1015)</f>
        <v>0.65396954781972416</v>
      </c>
      <c r="E1015" s="5">
        <f ca="1">MAX(0,CP*(D1015-K))</f>
        <v>0</v>
      </c>
      <c r="F1015" s="4">
        <f ca="1">(CP*(D1015-K)&gt;0)*1</f>
        <v>0</v>
      </c>
      <c r="H1015" s="4">
        <v>1000</v>
      </c>
      <c r="I1015" s="3">
        <v>0.66762455047538105</v>
      </c>
      <c r="J1015" s="128">
        <v>1.1768904636489661E-3</v>
      </c>
      <c r="K1015" s="128"/>
      <c r="L1015" s="128">
        <v>3.9399999999999998E-2</v>
      </c>
      <c r="O1015" s="2"/>
    </row>
    <row r="1016" spans="2:15" x14ac:dyDescent="0.2">
      <c r="B1016" s="1">
        <v>1001</v>
      </c>
      <c r="C1016" s="5">
        <f ca="1">_xlfn.NORM.S.INV(RAND())</f>
        <v>0.12096948242740987</v>
      </c>
      <c r="D1016" s="5">
        <f ca="1">S0*EXP((μ-0.5*σ*σ)*T+σ*SQRT(T)*$C1016)</f>
        <v>0.67247808410160981</v>
      </c>
      <c r="E1016" s="5">
        <f ca="1">MAX(0,CP*(D1016-K))</f>
        <v>0</v>
      </c>
      <c r="F1016" s="4">
        <f ca="1">(CP*(D1016-K)&gt;0)*1</f>
        <v>0</v>
      </c>
      <c r="H1016" s="4">
        <v>1001</v>
      </c>
      <c r="I1016" s="3">
        <v>0.66779860445784711</v>
      </c>
      <c r="J1016" s="128">
        <v>1.5042787031144158E-3</v>
      </c>
      <c r="K1016" s="128"/>
      <c r="L1016" s="128">
        <v>4.1799999999999997E-2</v>
      </c>
      <c r="O1016" s="2"/>
    </row>
    <row r="1017" spans="2:15" x14ac:dyDescent="0.2">
      <c r="B1017" s="1">
        <v>1002</v>
      </c>
      <c r="C1017" s="5">
        <f ca="1">_xlfn.NORM.S.INV(RAND())</f>
        <v>-0.64873673963948453</v>
      </c>
      <c r="D1017" s="5">
        <f ca="1">S0*EXP((μ-0.5*σ*σ)*T+σ*SQRT(T)*$C1017)</f>
        <v>0.62333627060472652</v>
      </c>
      <c r="E1017" s="5">
        <f ca="1">MAX(0,CP*(D1017-K))</f>
        <v>0</v>
      </c>
      <c r="F1017" s="4">
        <f ca="1">(CP*(D1017-K)&gt;0)*1</f>
        <v>0</v>
      </c>
      <c r="H1017" s="4">
        <v>1002</v>
      </c>
      <c r="I1017" s="3">
        <v>0.6678181960722831</v>
      </c>
      <c r="J1017" s="128">
        <v>1.5906840885329329E-3</v>
      </c>
      <c r="K1017" s="128"/>
      <c r="L1017" s="128">
        <v>4.5199999999999997E-2</v>
      </c>
      <c r="O1017" s="2"/>
    </row>
    <row r="1018" spans="2:15" x14ac:dyDescent="0.2">
      <c r="B1018" s="1">
        <v>1003</v>
      </c>
      <c r="C1018" s="5">
        <f ca="1">_xlfn.NORM.S.INV(RAND())</f>
        <v>0.89234649045789116</v>
      </c>
      <c r="D1018" s="5">
        <f ca="1">S0*EXP((μ-0.5*σ*σ)*T+σ*SQRT(T)*$C1018)</f>
        <v>0.72561359125900338</v>
      </c>
      <c r="E1018" s="5">
        <f ca="1">MAX(0,CP*(D1018-K))</f>
        <v>0</v>
      </c>
      <c r="F1018" s="4">
        <f ca="1">(CP*(D1018-K)&gt;0)*1</f>
        <v>0</v>
      </c>
      <c r="H1018" s="4">
        <v>1003</v>
      </c>
      <c r="I1018" s="3">
        <v>0.66769360990721971</v>
      </c>
      <c r="J1018" s="128">
        <v>1.2690930547541825E-3</v>
      </c>
      <c r="K1018" s="128"/>
      <c r="L1018" s="128">
        <v>4.2000000000000003E-2</v>
      </c>
      <c r="O1018" s="2"/>
    </row>
    <row r="1019" spans="2:15" x14ac:dyDescent="0.2">
      <c r="B1019" s="1">
        <v>1004</v>
      </c>
      <c r="C1019" s="5">
        <f ca="1">_xlfn.NORM.S.INV(RAND())</f>
        <v>0.17498658569382788</v>
      </c>
      <c r="D1019" s="5">
        <f ca="1">S0*EXP((μ-0.5*σ*σ)*T+σ*SQRT(T)*$C1019)</f>
        <v>0.67606885798656191</v>
      </c>
      <c r="E1019" s="5">
        <f ca="1">MAX(0,CP*(D1019-K))</f>
        <v>0</v>
      </c>
      <c r="F1019" s="4">
        <f ca="1">(CP*(D1019-K)&gt;0)*1</f>
        <v>0</v>
      </c>
      <c r="H1019" s="4">
        <v>1004</v>
      </c>
      <c r="I1019" s="3">
        <v>0.66779844426921464</v>
      </c>
      <c r="J1019" s="128">
        <v>1.4285106648947324E-3</v>
      </c>
      <c r="K1019" s="128"/>
      <c r="L1019" s="128">
        <v>4.2200000000000001E-2</v>
      </c>
      <c r="O1019" s="2"/>
    </row>
    <row r="1020" spans="2:15" x14ac:dyDescent="0.2">
      <c r="B1020" s="1">
        <v>1005</v>
      </c>
      <c r="C1020" s="5">
        <f ca="1">_xlfn.NORM.S.INV(RAND())</f>
        <v>1.1904100020630624</v>
      </c>
      <c r="D1020" s="5">
        <f ca="1">S0*EXP((μ-0.5*σ*σ)*T+σ*SQRT(T)*$C1020)</f>
        <v>0.74725235829174874</v>
      </c>
      <c r="E1020" s="5">
        <f ca="1">MAX(0,CP*(D1020-K))</f>
        <v>0</v>
      </c>
      <c r="F1020" s="4">
        <f ca="1">(CP*(D1020-K)&gt;0)*1</f>
        <v>0</v>
      </c>
      <c r="H1020" s="4">
        <v>1005</v>
      </c>
      <c r="I1020" s="3">
        <v>0.66772972524957019</v>
      </c>
      <c r="J1020" s="128">
        <v>1.2574603044705926E-3</v>
      </c>
      <c r="K1020" s="128"/>
      <c r="L1020" s="128">
        <v>4.0800000000000003E-2</v>
      </c>
      <c r="O1020" s="2"/>
    </row>
    <row r="1021" spans="2:15" x14ac:dyDescent="0.2">
      <c r="B1021" s="1">
        <v>1006</v>
      </c>
      <c r="C1021" s="5">
        <f ca="1">_xlfn.NORM.S.INV(RAND())</f>
        <v>-3.4604196159689815</v>
      </c>
      <c r="D1021" s="5">
        <f ca="1">S0*EXP((μ-0.5*σ*σ)*T+σ*SQRT(T)*$C1021)</f>
        <v>0.47242992680266654</v>
      </c>
      <c r="E1021" s="5">
        <f ca="1">MAX(0,CP*(D1021-K))</f>
        <v>0</v>
      </c>
      <c r="F1021" s="4">
        <f ca="1">(CP*(D1021-K)&gt;0)*1</f>
        <v>0</v>
      </c>
      <c r="H1021" s="4">
        <v>1006</v>
      </c>
      <c r="I1021" s="3">
        <v>0.66768680922109058</v>
      </c>
      <c r="J1021" s="128">
        <v>1.2751464558048583E-3</v>
      </c>
      <c r="K1021" s="128"/>
      <c r="L1021" s="128">
        <v>4.1399999999999999E-2</v>
      </c>
      <c r="O1021" s="2"/>
    </row>
    <row r="1022" spans="2:15" x14ac:dyDescent="0.2">
      <c r="B1022" s="1">
        <v>1007</v>
      </c>
      <c r="C1022" s="5">
        <f ca="1">_xlfn.NORM.S.INV(RAND())</f>
        <v>-0.57686928514982694</v>
      </c>
      <c r="D1022" s="5">
        <f ca="1">S0*EXP((μ-0.5*σ*σ)*T+σ*SQRT(T)*$C1022)</f>
        <v>0.627768434668461</v>
      </c>
      <c r="E1022" s="5">
        <f ca="1">MAX(0,CP*(D1022-K))</f>
        <v>0</v>
      </c>
      <c r="F1022" s="4">
        <f ca="1">(CP*(D1022-K)&gt;0)*1</f>
        <v>0</v>
      </c>
      <c r="H1022" s="4">
        <v>1007</v>
      </c>
      <c r="I1022" s="3">
        <v>0.66764295400338969</v>
      </c>
      <c r="J1022" s="128">
        <v>1.2390128092418574E-3</v>
      </c>
      <c r="K1022" s="128"/>
      <c r="L1022" s="128">
        <v>3.8600000000000002E-2</v>
      </c>
      <c r="O1022" s="2"/>
    </row>
    <row r="1023" spans="2:15" x14ac:dyDescent="0.2">
      <c r="B1023" s="1">
        <v>1008</v>
      </c>
      <c r="C1023" s="5">
        <f ca="1">_xlfn.NORM.S.INV(RAND())</f>
        <v>-0.88165471152187025</v>
      </c>
      <c r="D1023" s="5">
        <f ca="1">S0*EXP((μ-0.5*σ*σ)*T+σ*SQRT(T)*$C1023)</f>
        <v>0.60918581728423327</v>
      </c>
      <c r="E1023" s="5">
        <f ca="1">MAX(0,CP*(D1023-K))</f>
        <v>0</v>
      </c>
      <c r="F1023" s="4">
        <f ca="1">(CP*(D1023-K)&gt;0)*1</f>
        <v>0</v>
      </c>
      <c r="H1023" s="4">
        <v>1008</v>
      </c>
      <c r="I1023" s="3">
        <v>0.66779560961032325</v>
      </c>
      <c r="J1023" s="128">
        <v>1.307265296511008E-3</v>
      </c>
      <c r="K1023" s="128"/>
      <c r="L1023" s="128">
        <v>3.9399999999999998E-2</v>
      </c>
      <c r="O1023" s="2"/>
    </row>
    <row r="1024" spans="2:15" x14ac:dyDescent="0.2">
      <c r="B1024" s="1">
        <v>1009</v>
      </c>
      <c r="C1024" s="5">
        <f ca="1">_xlfn.NORM.S.INV(RAND())</f>
        <v>-0.98317107301156736</v>
      </c>
      <c r="D1024" s="5">
        <f ca="1">S0*EXP((μ-0.5*σ*σ)*T+σ*SQRT(T)*$C1024)</f>
        <v>0.6031193466668463</v>
      </c>
      <c r="E1024" s="5">
        <f ca="1">MAX(0,CP*(D1024-K))</f>
        <v>0</v>
      </c>
      <c r="F1024" s="4">
        <f ca="1">(CP*(D1024-K)&gt;0)*1</f>
        <v>0</v>
      </c>
      <c r="H1024" s="4">
        <v>1009</v>
      </c>
      <c r="I1024" s="3">
        <v>0.66787686957949177</v>
      </c>
      <c r="J1024" s="128">
        <v>1.5534867207672345E-3</v>
      </c>
      <c r="K1024" s="128"/>
      <c r="L1024" s="128">
        <v>4.4600000000000001E-2</v>
      </c>
      <c r="O1024" s="2"/>
    </row>
    <row r="1025" spans="2:15" x14ac:dyDescent="0.2">
      <c r="B1025" s="1">
        <v>1010</v>
      </c>
      <c r="C1025" s="5">
        <f ca="1">_xlfn.NORM.S.INV(RAND())</f>
        <v>0.77354269192704972</v>
      </c>
      <c r="D1025" s="5">
        <f ca="1">S0*EXP((μ-0.5*σ*σ)*T+σ*SQRT(T)*$C1025)</f>
        <v>0.71716437186934157</v>
      </c>
      <c r="E1025" s="5">
        <f ca="1">MAX(0,CP*(D1025-K))</f>
        <v>0</v>
      </c>
      <c r="F1025" s="4">
        <f ca="1">(CP*(D1025-K)&gt;0)*1</f>
        <v>0</v>
      </c>
      <c r="H1025" s="4">
        <v>1010</v>
      </c>
      <c r="I1025" s="3">
        <v>0.66763150496394685</v>
      </c>
      <c r="J1025" s="128">
        <v>1.1358119267702574E-3</v>
      </c>
      <c r="K1025" s="128"/>
      <c r="L1025" s="128">
        <v>4.24E-2</v>
      </c>
      <c r="O1025" s="2"/>
    </row>
    <row r="1026" spans="2:15" x14ac:dyDescent="0.2">
      <c r="B1026" s="1">
        <v>1011</v>
      </c>
      <c r="C1026" s="5">
        <f ca="1">_xlfn.NORM.S.INV(RAND())</f>
        <v>-0.9642685513888215</v>
      </c>
      <c r="D1026" s="5">
        <f ca="1">S0*EXP((μ-0.5*σ*σ)*T+σ*SQRT(T)*$C1026)</f>
        <v>0.60424433871289274</v>
      </c>
      <c r="E1026" s="5">
        <f ca="1">MAX(0,CP*(D1026-K))</f>
        <v>0</v>
      </c>
      <c r="F1026" s="4">
        <f ca="1">(CP*(D1026-K)&gt;0)*1</f>
        <v>0</v>
      </c>
      <c r="H1026" s="4">
        <v>1011</v>
      </c>
      <c r="I1026" s="3">
        <v>0.66774310931522018</v>
      </c>
      <c r="J1026" s="128">
        <v>1.3244247075556164E-3</v>
      </c>
      <c r="K1026" s="128"/>
      <c r="L1026" s="128">
        <v>4.1599999999999998E-2</v>
      </c>
      <c r="O1026" s="2"/>
    </row>
    <row r="1027" spans="2:15" x14ac:dyDescent="0.2">
      <c r="B1027" s="1">
        <v>1012</v>
      </c>
      <c r="C1027" s="5">
        <f ca="1">_xlfn.NORM.S.INV(RAND())</f>
        <v>-1.3558194650457887</v>
      </c>
      <c r="D1027" s="5">
        <f ca="1">S0*EXP((μ-0.5*σ*σ)*T+σ*SQRT(T)*$C1027)</f>
        <v>0.58136374993780227</v>
      </c>
      <c r="E1027" s="5">
        <f ca="1">MAX(0,CP*(D1027-K))</f>
        <v>0</v>
      </c>
      <c r="F1027" s="4">
        <f ca="1">(CP*(D1027-K)&gt;0)*1</f>
        <v>0</v>
      </c>
      <c r="H1027" s="4">
        <v>1012</v>
      </c>
      <c r="I1027" s="3">
        <v>0.66774658216493976</v>
      </c>
      <c r="J1027" s="128">
        <v>1.3631816372584279E-3</v>
      </c>
      <c r="K1027" s="128"/>
      <c r="L1027" s="128">
        <v>4.24E-2</v>
      </c>
      <c r="O1027" s="2"/>
    </row>
    <row r="1028" spans="2:15" x14ac:dyDescent="0.2">
      <c r="B1028" s="1">
        <v>1013</v>
      </c>
      <c r="C1028" s="5">
        <f ca="1">_xlfn.NORM.S.INV(RAND())</f>
        <v>-1.2490413312984896</v>
      </c>
      <c r="D1028" s="5">
        <f ca="1">S0*EXP((μ-0.5*σ*σ)*T+σ*SQRT(T)*$C1028)</f>
        <v>0.58751608396354238</v>
      </c>
      <c r="E1028" s="5">
        <f ca="1">MAX(0,CP*(D1028-K))</f>
        <v>0</v>
      </c>
      <c r="F1028" s="4">
        <f ca="1">(CP*(D1028-K)&gt;0)*1</f>
        <v>0</v>
      </c>
      <c r="H1028" s="4">
        <v>1013</v>
      </c>
      <c r="I1028" s="3">
        <v>0.66794934695821806</v>
      </c>
      <c r="J1028" s="128">
        <v>1.5689262970857588E-3</v>
      </c>
      <c r="K1028" s="128"/>
      <c r="L1028" s="128">
        <v>4.9799999999999997E-2</v>
      </c>
      <c r="O1028" s="2"/>
    </row>
    <row r="1029" spans="2:15" x14ac:dyDescent="0.2">
      <c r="B1029" s="1">
        <v>1014</v>
      </c>
      <c r="C1029" s="5">
        <f ca="1">_xlfn.NORM.S.INV(RAND())</f>
        <v>-1.6073653455481662</v>
      </c>
      <c r="D1029" s="5">
        <f ca="1">S0*EXP((μ-0.5*σ*σ)*T+σ*SQRT(T)*$C1029)</f>
        <v>0.56712365404704468</v>
      </c>
      <c r="E1029" s="5">
        <f ca="1">MAX(0,CP*(D1029-K))</f>
        <v>0</v>
      </c>
      <c r="F1029" s="4">
        <f ca="1">(CP*(D1029-K)&gt;0)*1</f>
        <v>0</v>
      </c>
      <c r="H1029" s="4">
        <v>1014</v>
      </c>
      <c r="I1029" s="3">
        <v>0.66777384481040536</v>
      </c>
      <c r="J1029" s="128">
        <v>1.3193713456152909E-3</v>
      </c>
      <c r="K1029" s="128"/>
      <c r="L1029" s="128">
        <v>4.4200000000000003E-2</v>
      </c>
      <c r="O1029" s="2"/>
    </row>
    <row r="1030" spans="2:15" x14ac:dyDescent="0.2">
      <c r="B1030" s="1">
        <v>1015</v>
      </c>
      <c r="C1030" s="5">
        <f ca="1">_xlfn.NORM.S.INV(RAND())</f>
        <v>0.52042800173662918</v>
      </c>
      <c r="D1030" s="5">
        <f ca="1">S0*EXP((μ-0.5*σ*σ)*T+σ*SQRT(T)*$C1030)</f>
        <v>0.69948974038905354</v>
      </c>
      <c r="E1030" s="5">
        <f ca="1">MAX(0,CP*(D1030-K))</f>
        <v>0</v>
      </c>
      <c r="F1030" s="4">
        <f ca="1">(CP*(D1030-K)&gt;0)*1</f>
        <v>0</v>
      </c>
      <c r="H1030" s="4">
        <v>1015</v>
      </c>
      <c r="I1030" s="3">
        <v>0.66785391442719688</v>
      </c>
      <c r="J1030" s="128">
        <v>1.5034636132606335E-3</v>
      </c>
      <c r="K1030" s="128"/>
      <c r="L1030" s="128">
        <v>4.58E-2</v>
      </c>
      <c r="O1030" s="2"/>
    </row>
    <row r="1031" spans="2:15" x14ac:dyDescent="0.2">
      <c r="B1031" s="1">
        <v>1016</v>
      </c>
      <c r="C1031" s="5">
        <f ca="1">_xlfn.NORM.S.INV(RAND())</f>
        <v>1.8988015840066998</v>
      </c>
      <c r="D1031" s="5">
        <f ca="1">S0*EXP((μ-0.5*σ*σ)*T+σ*SQRT(T)*$C1031)</f>
        <v>0.80130487351093205</v>
      </c>
      <c r="E1031" s="5">
        <f ca="1">MAX(0,CP*(D1031-K))</f>
        <v>1.3104873510932036E-2</v>
      </c>
      <c r="F1031" s="4">
        <f ca="1">(CP*(D1031-K)&gt;0)*1</f>
        <v>1</v>
      </c>
      <c r="H1031" s="4">
        <v>1016</v>
      </c>
      <c r="I1031" s="3">
        <v>0.66775960158746539</v>
      </c>
      <c r="J1031" s="128">
        <v>1.4284644257911189E-3</v>
      </c>
      <c r="K1031" s="128"/>
      <c r="L1031" s="128">
        <v>4.2599999999999999E-2</v>
      </c>
      <c r="O1031" s="2"/>
    </row>
    <row r="1032" spans="2:15" x14ac:dyDescent="0.2">
      <c r="B1032" s="1">
        <v>1017</v>
      </c>
      <c r="C1032" s="5">
        <f ca="1">_xlfn.NORM.S.INV(RAND())</f>
        <v>1.8083406725878068</v>
      </c>
      <c r="D1032" s="5">
        <f ca="1">S0*EXP((μ-0.5*σ*σ)*T+σ*SQRT(T)*$C1032)</f>
        <v>0.79419035823731576</v>
      </c>
      <c r="E1032" s="5">
        <f ca="1">MAX(0,CP*(D1032-K))</f>
        <v>5.9903582373157516E-3</v>
      </c>
      <c r="F1032" s="4">
        <f ca="1">(CP*(D1032-K)&gt;0)*1</f>
        <v>1</v>
      </c>
      <c r="H1032" s="4">
        <v>1017</v>
      </c>
      <c r="I1032" s="3">
        <v>0.66792074676518787</v>
      </c>
      <c r="J1032" s="128">
        <v>1.5458936443434987E-3</v>
      </c>
      <c r="K1032" s="128"/>
      <c r="L1032" s="128">
        <v>4.5199999999999997E-2</v>
      </c>
      <c r="O1032" s="2"/>
    </row>
    <row r="1033" spans="2:15" x14ac:dyDescent="0.2">
      <c r="B1033" s="1">
        <v>1018</v>
      </c>
      <c r="C1033" s="5">
        <f ca="1">_xlfn.NORM.S.INV(RAND())</f>
        <v>-0.60324530344252436</v>
      </c>
      <c r="D1033" s="5">
        <f ca="1">S0*EXP((μ-0.5*σ*σ)*T+σ*SQRT(T)*$C1033)</f>
        <v>0.62613814079943941</v>
      </c>
      <c r="E1033" s="5">
        <f ca="1">MAX(0,CP*(D1033-K))</f>
        <v>0</v>
      </c>
      <c r="F1033" s="4">
        <f ca="1">(CP*(D1033-K)&gt;0)*1</f>
        <v>0</v>
      </c>
      <c r="H1033" s="4">
        <v>1018</v>
      </c>
      <c r="I1033" s="3">
        <v>0.66770188833773136</v>
      </c>
      <c r="J1033" s="128">
        <v>1.3907259642957329E-3</v>
      </c>
      <c r="K1033" s="128"/>
      <c r="L1033" s="128">
        <v>4.4600000000000001E-2</v>
      </c>
      <c r="O1033" s="2"/>
    </row>
    <row r="1034" spans="2:15" x14ac:dyDescent="0.2">
      <c r="B1034" s="1">
        <v>1019</v>
      </c>
      <c r="C1034" s="5">
        <f ca="1">_xlfn.NORM.S.INV(RAND())</f>
        <v>0.548428847177588</v>
      </c>
      <c r="D1034" s="5">
        <f ca="1">S0*EXP((μ-0.5*σ*σ)*T+σ*SQRT(T)*$C1034)</f>
        <v>0.70142337225155282</v>
      </c>
      <c r="E1034" s="5">
        <f ca="1">MAX(0,CP*(D1034-K))</f>
        <v>0</v>
      </c>
      <c r="F1034" s="4">
        <f ca="1">(CP*(D1034-K)&gt;0)*1</f>
        <v>0</v>
      </c>
      <c r="H1034" s="4">
        <v>1019</v>
      </c>
      <c r="I1034" s="3">
        <v>0.66779239168813687</v>
      </c>
      <c r="J1034" s="128">
        <v>1.3437149437311318E-3</v>
      </c>
      <c r="K1034" s="128"/>
      <c r="L1034" s="128">
        <v>4.2599999999999999E-2</v>
      </c>
      <c r="O1034" s="2"/>
    </row>
    <row r="1035" spans="2:15" x14ac:dyDescent="0.2">
      <c r="B1035" s="1">
        <v>1020</v>
      </c>
      <c r="C1035" s="5">
        <f ca="1">_xlfn.NORM.S.INV(RAND())</f>
        <v>0.13971032758746477</v>
      </c>
      <c r="D1035" s="5">
        <f ca="1">S0*EXP((μ-0.5*σ*σ)*T+σ*SQRT(T)*$C1035)</f>
        <v>0.67372171153627347</v>
      </c>
      <c r="E1035" s="5">
        <f ca="1">MAX(0,CP*(D1035-K))</f>
        <v>0</v>
      </c>
      <c r="F1035" s="4">
        <f ca="1">(CP*(D1035-K)&gt;0)*1</f>
        <v>0</v>
      </c>
      <c r="H1035" s="4">
        <v>1020</v>
      </c>
      <c r="I1035" s="3">
        <v>0.66751598503872156</v>
      </c>
      <c r="J1035" s="128">
        <v>1.0468623364561587E-3</v>
      </c>
      <c r="K1035" s="128"/>
      <c r="L1035" s="128">
        <v>3.6400000000000002E-2</v>
      </c>
      <c r="O1035" s="2"/>
    </row>
    <row r="1036" spans="2:15" x14ac:dyDescent="0.2">
      <c r="B1036" s="1">
        <v>1021</v>
      </c>
      <c r="C1036" s="5">
        <f ca="1">_xlfn.NORM.S.INV(RAND())</f>
        <v>-0.839686685176942</v>
      </c>
      <c r="D1036" s="5">
        <f ca="1">S0*EXP((μ-0.5*σ*σ)*T+σ*SQRT(T)*$C1036)</f>
        <v>0.61171155826811474</v>
      </c>
      <c r="E1036" s="5">
        <f ca="1">MAX(0,CP*(D1036-K))</f>
        <v>0</v>
      </c>
      <c r="F1036" s="4">
        <f ca="1">(CP*(D1036-K)&gt;0)*1</f>
        <v>0</v>
      </c>
      <c r="H1036" s="4">
        <v>1021</v>
      </c>
      <c r="I1036" s="3">
        <v>0.66767078611130026</v>
      </c>
      <c r="J1036" s="128">
        <v>1.224823812950814E-3</v>
      </c>
      <c r="K1036" s="128"/>
      <c r="L1036" s="128">
        <v>4.0599999999999997E-2</v>
      </c>
      <c r="O1036" s="2"/>
    </row>
    <row r="1037" spans="2:15" x14ac:dyDescent="0.2">
      <c r="B1037" s="1">
        <v>1022</v>
      </c>
      <c r="C1037" s="5">
        <f ca="1">_xlfn.NORM.S.INV(RAND())</f>
        <v>0.67261842252255388</v>
      </c>
      <c r="D1037" s="5">
        <f ca="1">S0*EXP((μ-0.5*σ*σ)*T+σ*SQRT(T)*$C1037)</f>
        <v>0.7100640629264704</v>
      </c>
      <c r="E1037" s="5">
        <f ca="1">MAX(0,CP*(D1037-K))</f>
        <v>0</v>
      </c>
      <c r="F1037" s="4">
        <f ca="1">(CP*(D1037-K)&gt;0)*1</f>
        <v>0</v>
      </c>
      <c r="H1037" s="4">
        <v>1022</v>
      </c>
      <c r="I1037" s="3">
        <v>0.66776257990676136</v>
      </c>
      <c r="J1037" s="128">
        <v>1.3496845158660553E-3</v>
      </c>
      <c r="K1037" s="128"/>
      <c r="L1037" s="128">
        <v>4.2999999999999997E-2</v>
      </c>
      <c r="O1037" s="2"/>
    </row>
    <row r="1038" spans="2:15" x14ac:dyDescent="0.2">
      <c r="B1038" s="1">
        <v>1023</v>
      </c>
      <c r="C1038" s="5">
        <f ca="1">_xlfn.NORM.S.INV(RAND())</f>
        <v>-0.43741366364023221</v>
      </c>
      <c r="D1038" s="5">
        <f ca="1">S0*EXP((μ-0.5*σ*σ)*T+σ*SQRT(T)*$C1038)</f>
        <v>0.63645896154266501</v>
      </c>
      <c r="E1038" s="5">
        <f ca="1">MAX(0,CP*(D1038-K))</f>
        <v>0</v>
      </c>
      <c r="F1038" s="4">
        <f ca="1">(CP*(D1038-K)&gt;0)*1</f>
        <v>0</v>
      </c>
      <c r="H1038" s="4">
        <v>1023</v>
      </c>
      <c r="I1038" s="3">
        <v>0.66770406509953661</v>
      </c>
      <c r="J1038" s="128">
        <v>1.4040271433673223E-3</v>
      </c>
      <c r="K1038" s="128"/>
      <c r="L1038" s="128">
        <v>3.8199999999999998E-2</v>
      </c>
      <c r="O1038" s="2"/>
    </row>
    <row r="1039" spans="2:15" x14ac:dyDescent="0.2">
      <c r="B1039" s="1">
        <v>1024</v>
      </c>
      <c r="C1039" s="5">
        <f ca="1">_xlfn.NORM.S.INV(RAND())</f>
        <v>-0.99418559514305849</v>
      </c>
      <c r="D1039" s="5">
        <f ca="1">S0*EXP((μ-0.5*σ*σ)*T+σ*SQRT(T)*$C1039)</f>
        <v>0.60246477852709246</v>
      </c>
      <c r="E1039" s="5">
        <f ca="1">MAX(0,CP*(D1039-K))</f>
        <v>0</v>
      </c>
      <c r="F1039" s="4">
        <f ca="1">(CP*(D1039-K)&gt;0)*1</f>
        <v>0</v>
      </c>
      <c r="H1039" s="4">
        <v>1024</v>
      </c>
      <c r="I1039" s="3">
        <v>0.6676962945494338</v>
      </c>
      <c r="J1039" s="128">
        <v>1.3597636821640541E-3</v>
      </c>
      <c r="K1039" s="128"/>
      <c r="L1039" s="128">
        <v>4.2999999999999997E-2</v>
      </c>
      <c r="O1039" s="2"/>
    </row>
    <row r="1040" spans="2:15" x14ac:dyDescent="0.2">
      <c r="B1040" s="1">
        <v>1025</v>
      </c>
      <c r="C1040" s="5">
        <f ca="1">_xlfn.NORM.S.INV(RAND())</f>
        <v>-1.1636217547509311</v>
      </c>
      <c r="D1040" s="5">
        <f ca="1">S0*EXP((μ-0.5*σ*σ)*T+σ*SQRT(T)*$C1040)</f>
        <v>0.59248462453526818</v>
      </c>
      <c r="E1040" s="5">
        <f ca="1">MAX(0,CP*(D1040-K))</f>
        <v>0</v>
      </c>
      <c r="F1040" s="4">
        <f ca="1">(CP*(D1040-K)&gt;0)*1</f>
        <v>0</v>
      </c>
      <c r="H1040" s="4">
        <v>1025</v>
      </c>
      <c r="I1040" s="3">
        <v>0.66766155670822114</v>
      </c>
      <c r="J1040" s="128">
        <v>1.1375632786740767E-3</v>
      </c>
      <c r="K1040" s="128"/>
      <c r="L1040" s="128">
        <v>3.9E-2</v>
      </c>
      <c r="O1040" s="2"/>
    </row>
    <row r="1041" spans="2:15" x14ac:dyDescent="0.2">
      <c r="B1041" s="1">
        <v>1026</v>
      </c>
      <c r="C1041" s="5">
        <f ca="1">_xlfn.NORM.S.INV(RAND())</f>
        <v>0.97244371280130226</v>
      </c>
      <c r="D1041" s="5">
        <f ca="1">S0*EXP((μ-0.5*σ*σ)*T+σ*SQRT(T)*$C1041)</f>
        <v>0.73136614168641689</v>
      </c>
      <c r="E1041" s="5">
        <f ca="1">MAX(0,CP*(D1041-K))</f>
        <v>0</v>
      </c>
      <c r="F1041" s="4">
        <f ca="1">(CP*(D1041-K)&gt;0)*1</f>
        <v>0</v>
      </c>
      <c r="H1041" s="4">
        <v>1026</v>
      </c>
      <c r="I1041" s="3">
        <v>0.66776222658818785</v>
      </c>
      <c r="J1041" s="128">
        <v>1.3659843095483926E-3</v>
      </c>
      <c r="K1041" s="128"/>
      <c r="L1041" s="128">
        <v>4.0599999999999997E-2</v>
      </c>
      <c r="O1041" s="2"/>
    </row>
    <row r="1042" spans="2:15" x14ac:dyDescent="0.2">
      <c r="B1042" s="1">
        <v>1027</v>
      </c>
      <c r="C1042" s="5">
        <f ca="1">_xlfn.NORM.S.INV(RAND())</f>
        <v>0.84836290931462133</v>
      </c>
      <c r="D1042" s="5">
        <f ca="1">S0*EXP((μ-0.5*σ*σ)*T+σ*SQRT(T)*$C1042)</f>
        <v>0.72247397582098338</v>
      </c>
      <c r="E1042" s="5">
        <f ca="1">MAX(0,CP*(D1042-K))</f>
        <v>0</v>
      </c>
      <c r="F1042" s="4">
        <f ca="1">(CP*(D1042-K)&gt;0)*1</f>
        <v>0</v>
      </c>
      <c r="H1042" s="4">
        <v>1027</v>
      </c>
      <c r="I1042" s="3">
        <v>0.66777259713550086</v>
      </c>
      <c r="J1042" s="128">
        <v>1.3179213955017077E-3</v>
      </c>
      <c r="K1042" s="128"/>
      <c r="L1042" s="128">
        <v>4.1799999999999997E-2</v>
      </c>
      <c r="O1042" s="2"/>
    </row>
    <row r="1043" spans="2:15" x14ac:dyDescent="0.2">
      <c r="B1043" s="1">
        <v>1028</v>
      </c>
      <c r="C1043" s="5">
        <f ca="1">_xlfn.NORM.S.INV(RAND())</f>
        <v>-0.38279617220885032</v>
      </c>
      <c r="D1043" s="5">
        <f ca="1">S0*EXP((μ-0.5*σ*σ)*T+σ*SQRT(T)*$C1043)</f>
        <v>0.63989528195092193</v>
      </c>
      <c r="E1043" s="5">
        <f ca="1">MAX(0,CP*(D1043-K))</f>
        <v>0</v>
      </c>
      <c r="F1043" s="4">
        <f ca="1">(CP*(D1043-K)&gt;0)*1</f>
        <v>0</v>
      </c>
      <c r="H1043" s="4">
        <v>1028</v>
      </c>
      <c r="I1043" s="3">
        <v>0.6676015618141603</v>
      </c>
      <c r="J1043" s="128">
        <v>1.2035966537521179E-3</v>
      </c>
      <c r="K1043" s="128"/>
      <c r="L1043" s="128">
        <v>3.8600000000000002E-2</v>
      </c>
      <c r="O1043" s="2"/>
    </row>
    <row r="1044" spans="2:15" x14ac:dyDescent="0.2">
      <c r="B1044" s="1">
        <v>1029</v>
      </c>
      <c r="C1044" s="5">
        <f ca="1">_xlfn.NORM.S.INV(RAND())</f>
        <v>-0.91789384856292555</v>
      </c>
      <c r="D1044" s="5">
        <f ca="1">S0*EXP((μ-0.5*σ*σ)*T+σ*SQRT(T)*$C1044)</f>
        <v>0.60701324729915984</v>
      </c>
      <c r="E1044" s="5">
        <f ca="1">MAX(0,CP*(D1044-K))</f>
        <v>0</v>
      </c>
      <c r="F1044" s="4">
        <f ca="1">(CP*(D1044-K)&gt;0)*1</f>
        <v>0</v>
      </c>
      <c r="H1044" s="4">
        <v>1029</v>
      </c>
      <c r="I1044" s="3">
        <v>0.6677856565172261</v>
      </c>
      <c r="J1044" s="128">
        <v>1.3277116352020998E-3</v>
      </c>
      <c r="K1044" s="128"/>
      <c r="L1044" s="128">
        <v>4.1399999999999999E-2</v>
      </c>
      <c r="O1044" s="2"/>
    </row>
    <row r="1045" spans="2:15" x14ac:dyDescent="0.2">
      <c r="B1045" s="1">
        <v>1030</v>
      </c>
      <c r="C1045" s="5">
        <f ca="1">_xlfn.NORM.S.INV(RAND())</f>
        <v>0.18004069208046275</v>
      </c>
      <c r="D1045" s="5">
        <f ca="1">S0*EXP((μ-0.5*σ*σ)*T+σ*SQRT(T)*$C1045)</f>
        <v>0.67640580781070192</v>
      </c>
      <c r="E1045" s="5">
        <f ca="1">MAX(0,CP*(D1045-K))</f>
        <v>0</v>
      </c>
      <c r="F1045" s="4">
        <f ca="1">(CP*(D1045-K)&gt;0)*1</f>
        <v>0</v>
      </c>
      <c r="H1045" s="4">
        <v>1030</v>
      </c>
      <c r="I1045" s="3">
        <v>0.66786787232407496</v>
      </c>
      <c r="J1045" s="128">
        <v>1.5182730443684433E-3</v>
      </c>
      <c r="K1045" s="128"/>
      <c r="L1045" s="128">
        <v>4.3400000000000001E-2</v>
      </c>
      <c r="O1045" s="2"/>
    </row>
    <row r="1046" spans="2:15" x14ac:dyDescent="0.2">
      <c r="B1046" s="1">
        <v>1031</v>
      </c>
      <c r="C1046" s="5">
        <f ca="1">_xlfn.NORM.S.INV(RAND())</f>
        <v>0.4700473984857057</v>
      </c>
      <c r="D1046" s="5">
        <f ca="1">S0*EXP((μ-0.5*σ*σ)*T+σ*SQRT(T)*$C1046)</f>
        <v>0.69602406141526618</v>
      </c>
      <c r="E1046" s="5">
        <f ca="1">MAX(0,CP*(D1046-K))</f>
        <v>0</v>
      </c>
      <c r="F1046" s="4">
        <f ca="1">(CP*(D1046-K)&gt;0)*1</f>
        <v>0</v>
      </c>
      <c r="H1046" s="4">
        <v>1031</v>
      </c>
      <c r="I1046" s="3">
        <v>0.66770346408982284</v>
      </c>
      <c r="J1046" s="128">
        <v>1.3773150299821761E-3</v>
      </c>
      <c r="K1046" s="128"/>
      <c r="L1046" s="128">
        <v>4.0800000000000003E-2</v>
      </c>
      <c r="O1046" s="2"/>
    </row>
    <row r="1047" spans="2:15" x14ac:dyDescent="0.2">
      <c r="B1047" s="1">
        <v>1032</v>
      </c>
      <c r="C1047" s="5">
        <f ca="1">_xlfn.NORM.S.INV(RAND())</f>
        <v>-0.24857077783501061</v>
      </c>
      <c r="D1047" s="5">
        <f ca="1">S0*EXP((μ-0.5*σ*σ)*T+σ*SQRT(T)*$C1047)</f>
        <v>0.64841925333049288</v>
      </c>
      <c r="E1047" s="5">
        <f ca="1">MAX(0,CP*(D1047-K))</f>
        <v>0</v>
      </c>
      <c r="F1047" s="4">
        <f ca="1">(CP*(D1047-K)&gt;0)*1</f>
        <v>0</v>
      </c>
      <c r="H1047" s="4">
        <v>1032</v>
      </c>
      <c r="I1047" s="3">
        <v>0.66774753960316702</v>
      </c>
      <c r="J1047" s="128">
        <v>1.5209910478514825E-3</v>
      </c>
      <c r="K1047" s="128"/>
      <c r="L1047" s="128">
        <v>4.1000000000000002E-2</v>
      </c>
      <c r="O1047" s="2"/>
    </row>
    <row r="1048" spans="2:15" x14ac:dyDescent="0.2">
      <c r="B1048" s="1">
        <v>1033</v>
      </c>
      <c r="C1048" s="5">
        <f ca="1">_xlfn.NORM.S.INV(RAND())</f>
        <v>1.2393779130928824</v>
      </c>
      <c r="D1048" s="5">
        <f ca="1">S0*EXP((μ-0.5*σ*σ)*T+σ*SQRT(T)*$C1048)</f>
        <v>0.75086853228841977</v>
      </c>
      <c r="E1048" s="5">
        <f ca="1">MAX(0,CP*(D1048-K))</f>
        <v>0</v>
      </c>
      <c r="F1048" s="4">
        <f ca="1">(CP*(D1048-K)&gt;0)*1</f>
        <v>0</v>
      </c>
      <c r="H1048" s="4">
        <v>1033</v>
      </c>
      <c r="I1048" s="3">
        <v>0.66788746186719605</v>
      </c>
      <c r="J1048" s="128">
        <v>1.6509422837971822E-3</v>
      </c>
      <c r="K1048" s="128"/>
      <c r="L1048" s="128">
        <v>4.5999999999999999E-2</v>
      </c>
      <c r="O1048" s="2"/>
    </row>
    <row r="1049" spans="2:15" x14ac:dyDescent="0.2">
      <c r="B1049" s="1">
        <v>1034</v>
      </c>
      <c r="C1049" s="5">
        <f ca="1">_xlfn.NORM.S.INV(RAND())</f>
        <v>0.17933617605089278</v>
      </c>
      <c r="D1049" s="5">
        <f ca="1">S0*EXP((μ-0.5*σ*σ)*T+σ*SQRT(T)*$C1049)</f>
        <v>0.67635882869419317</v>
      </c>
      <c r="E1049" s="5">
        <f ca="1">MAX(0,CP*(D1049-K))</f>
        <v>0</v>
      </c>
      <c r="F1049" s="4">
        <f ca="1">(CP*(D1049-K)&gt;0)*1</f>
        <v>0</v>
      </c>
      <c r="H1049" s="4">
        <v>1034</v>
      </c>
      <c r="I1049" s="3">
        <v>0.66766606409986318</v>
      </c>
      <c r="J1049" s="128">
        <v>1.2382061157055577E-3</v>
      </c>
      <c r="K1049" s="128"/>
      <c r="L1049" s="128">
        <v>4.24E-2</v>
      </c>
      <c r="O1049" s="2"/>
    </row>
    <row r="1050" spans="2:15" x14ac:dyDescent="0.2">
      <c r="B1050" s="1">
        <v>1035</v>
      </c>
      <c r="C1050" s="5">
        <f ca="1">_xlfn.NORM.S.INV(RAND())</f>
        <v>-9.2684596134629246E-2</v>
      </c>
      <c r="D1050" s="5">
        <f ca="1">S0*EXP((μ-0.5*σ*σ)*T+σ*SQRT(T)*$C1050)</f>
        <v>0.65846140385129914</v>
      </c>
      <c r="E1050" s="5">
        <f ca="1">MAX(0,CP*(D1050-K))</f>
        <v>0</v>
      </c>
      <c r="F1050" s="4">
        <f ca="1">(CP*(D1050-K)&gt;0)*1</f>
        <v>0</v>
      </c>
      <c r="H1050" s="4">
        <v>1035</v>
      </c>
      <c r="I1050" s="3">
        <v>0.66768760555451001</v>
      </c>
      <c r="J1050" s="128">
        <v>1.3720429517038214E-3</v>
      </c>
      <c r="K1050" s="128"/>
      <c r="L1050" s="128">
        <v>4.3200000000000002E-2</v>
      </c>
      <c r="O1050" s="2"/>
    </row>
    <row r="1051" spans="2:15" x14ac:dyDescent="0.2">
      <c r="B1051" s="1">
        <v>1036</v>
      </c>
      <c r="C1051" s="5">
        <f ca="1">_xlfn.NORM.S.INV(RAND())</f>
        <v>0.33367012943467228</v>
      </c>
      <c r="D1051" s="5">
        <f ca="1">S0*EXP((μ-0.5*σ*σ)*T+σ*SQRT(T)*$C1051)</f>
        <v>0.68672858463553665</v>
      </c>
      <c r="E1051" s="5">
        <f ca="1">MAX(0,CP*(D1051-K))</f>
        <v>0</v>
      </c>
      <c r="F1051" s="4">
        <f ca="1">(CP*(D1051-K)&gt;0)*1</f>
        <v>0</v>
      </c>
      <c r="H1051" s="4">
        <v>1036</v>
      </c>
      <c r="I1051" s="3">
        <v>0.66758787441492573</v>
      </c>
      <c r="J1051" s="128">
        <v>1.1692468310628079E-3</v>
      </c>
      <c r="K1051" s="128"/>
      <c r="L1051" s="128">
        <v>0.04</v>
      </c>
      <c r="O1051" s="2"/>
    </row>
    <row r="1052" spans="2:15" x14ac:dyDescent="0.2">
      <c r="B1052" s="1">
        <v>1037</v>
      </c>
      <c r="C1052" s="5">
        <f ca="1">_xlfn.NORM.S.INV(RAND())</f>
        <v>1.2538981316387348</v>
      </c>
      <c r="D1052" s="5">
        <f ca="1">S0*EXP((μ-0.5*σ*σ)*T+σ*SQRT(T)*$C1052)</f>
        <v>0.75194417902409016</v>
      </c>
      <c r="E1052" s="5">
        <f ca="1">MAX(0,CP*(D1052-K))</f>
        <v>0</v>
      </c>
      <c r="F1052" s="4">
        <f ca="1">(CP*(D1052-K)&gt;0)*1</f>
        <v>0</v>
      </c>
      <c r="H1052" s="4">
        <v>1037</v>
      </c>
      <c r="I1052" s="3">
        <v>0.66785771088984336</v>
      </c>
      <c r="J1052" s="128">
        <v>1.4391422429294355E-3</v>
      </c>
      <c r="K1052" s="128"/>
      <c r="L1052" s="128">
        <v>4.48E-2</v>
      </c>
      <c r="O1052" s="2"/>
    </row>
    <row r="1053" spans="2:15" x14ac:dyDescent="0.2">
      <c r="B1053" s="1">
        <v>1038</v>
      </c>
      <c r="C1053" s="5">
        <f ca="1">_xlfn.NORM.S.INV(RAND())</f>
        <v>-1.2974377860776536</v>
      </c>
      <c r="D1053" s="5">
        <f ca="1">S0*EXP((μ-0.5*σ*σ)*T+σ*SQRT(T)*$C1053)</f>
        <v>0.58471955468294368</v>
      </c>
      <c r="E1053" s="5">
        <f ca="1">MAX(0,CP*(D1053-K))</f>
        <v>0</v>
      </c>
      <c r="F1053" s="4">
        <f ca="1">(CP*(D1053-K)&gt;0)*1</f>
        <v>0</v>
      </c>
      <c r="H1053" s="4">
        <v>1038</v>
      </c>
      <c r="I1053" s="3">
        <v>0.66783922836450471</v>
      </c>
      <c r="J1053" s="128">
        <v>1.5136225922062205E-3</v>
      </c>
      <c r="K1053" s="128"/>
      <c r="L1053" s="128">
        <v>4.4200000000000003E-2</v>
      </c>
      <c r="O1053" s="2"/>
    </row>
    <row r="1054" spans="2:15" x14ac:dyDescent="0.2">
      <c r="B1054" s="1">
        <v>1039</v>
      </c>
      <c r="C1054" s="5">
        <f ca="1">_xlfn.NORM.S.INV(RAND())</f>
        <v>-0.27626550922243576</v>
      </c>
      <c r="D1054" s="5">
        <f ca="1">S0*EXP((μ-0.5*σ*σ)*T+σ*SQRT(T)*$C1054)</f>
        <v>0.64665125428695658</v>
      </c>
      <c r="E1054" s="5">
        <f ca="1">MAX(0,CP*(D1054-K))</f>
        <v>0</v>
      </c>
      <c r="F1054" s="4">
        <f ca="1">(CP*(D1054-K)&gt;0)*1</f>
        <v>0</v>
      </c>
      <c r="H1054" s="4">
        <v>1039</v>
      </c>
      <c r="I1054" s="3">
        <v>0.66775182381034215</v>
      </c>
      <c r="J1054" s="128">
        <v>1.4868626638667082E-3</v>
      </c>
      <c r="K1054" s="128"/>
      <c r="L1054" s="128">
        <v>4.4600000000000001E-2</v>
      </c>
      <c r="O1054" s="2"/>
    </row>
    <row r="1055" spans="2:15" x14ac:dyDescent="0.2">
      <c r="B1055" s="1">
        <v>1040</v>
      </c>
      <c r="C1055" s="5">
        <f ca="1">_xlfn.NORM.S.INV(RAND())</f>
        <v>-0.77540896683814065</v>
      </c>
      <c r="D1055" s="5">
        <f ca="1">S0*EXP((μ-0.5*σ*σ)*T+σ*SQRT(T)*$C1055)</f>
        <v>0.61560026904100573</v>
      </c>
      <c r="E1055" s="5">
        <f ca="1">MAX(0,CP*(D1055-K))</f>
        <v>0</v>
      </c>
      <c r="F1055" s="4">
        <f ca="1">(CP*(D1055-K)&gt;0)*1</f>
        <v>0</v>
      </c>
      <c r="H1055" s="4">
        <v>1040</v>
      </c>
      <c r="I1055" s="3">
        <v>0.66771213918196126</v>
      </c>
      <c r="J1055" s="128">
        <v>1.3128164510769695E-3</v>
      </c>
      <c r="K1055" s="128"/>
      <c r="L1055" s="128">
        <v>4.3200000000000002E-2</v>
      </c>
      <c r="O1055" s="2"/>
    </row>
    <row r="1056" spans="2:15" x14ac:dyDescent="0.2">
      <c r="B1056" s="1">
        <v>1041</v>
      </c>
      <c r="C1056" s="5">
        <f ca="1">_xlfn.NORM.S.INV(RAND())</f>
        <v>1.3383307619510882</v>
      </c>
      <c r="D1056" s="5">
        <f ca="1">S0*EXP((μ-0.5*σ*σ)*T+σ*SQRT(T)*$C1056)</f>
        <v>0.75822948505873611</v>
      </c>
      <c r="E1056" s="5">
        <f ca="1">MAX(0,CP*(D1056-K))</f>
        <v>0</v>
      </c>
      <c r="F1056" s="4">
        <f ca="1">(CP*(D1056-K)&gt;0)*1</f>
        <v>0</v>
      </c>
      <c r="H1056" s="4">
        <v>1041</v>
      </c>
      <c r="I1056" s="3">
        <v>0.66789783154898175</v>
      </c>
      <c r="J1056" s="128">
        <v>1.6014183438357633E-3</v>
      </c>
      <c r="K1056" s="128"/>
      <c r="L1056" s="128">
        <v>4.4200000000000003E-2</v>
      </c>
      <c r="O1056" s="2"/>
    </row>
    <row r="1057" spans="2:15" x14ac:dyDescent="0.2">
      <c r="B1057" s="1">
        <v>1042</v>
      </c>
      <c r="C1057" s="5">
        <f ca="1">_xlfn.NORM.S.INV(RAND())</f>
        <v>0.65927933391092286</v>
      </c>
      <c r="D1057" s="5">
        <f ca="1">S0*EXP((μ-0.5*σ*σ)*T+σ*SQRT(T)*$C1057)</f>
        <v>0.70913089483681591</v>
      </c>
      <c r="E1057" s="5">
        <f ca="1">MAX(0,CP*(D1057-K))</f>
        <v>0</v>
      </c>
      <c r="F1057" s="4">
        <f ca="1">(CP*(D1057-K)&gt;0)*1</f>
        <v>0</v>
      </c>
      <c r="H1057" s="4">
        <v>1042</v>
      </c>
      <c r="I1057" s="3">
        <v>0.66787773076128298</v>
      </c>
      <c r="J1057" s="128">
        <v>1.5012163988874019E-3</v>
      </c>
      <c r="K1057" s="128"/>
      <c r="L1057" s="128">
        <v>4.7399999999999998E-2</v>
      </c>
      <c r="O1057" s="2"/>
    </row>
    <row r="1058" spans="2:15" x14ac:dyDescent="0.2">
      <c r="B1058" s="1">
        <v>1043</v>
      </c>
      <c r="C1058" s="5">
        <f ca="1">_xlfn.NORM.S.INV(RAND())</f>
        <v>-1.6118234428498734</v>
      </c>
      <c r="D1058" s="5">
        <f ca="1">S0*EXP((μ-0.5*σ*σ)*T+σ*SQRT(T)*$C1058)</f>
        <v>0.56687445086139254</v>
      </c>
      <c r="E1058" s="5">
        <f ca="1">MAX(0,CP*(D1058-K))</f>
        <v>0</v>
      </c>
      <c r="F1058" s="4">
        <f ca="1">(CP*(D1058-K)&gt;0)*1</f>
        <v>0</v>
      </c>
      <c r="H1058" s="4">
        <v>1043</v>
      </c>
      <c r="I1058" s="3">
        <v>0.66772283699200707</v>
      </c>
      <c r="J1058" s="128">
        <v>1.3622258038575277E-3</v>
      </c>
      <c r="K1058" s="128"/>
      <c r="L1058" s="128">
        <v>4.1000000000000002E-2</v>
      </c>
      <c r="O1058" s="2"/>
    </row>
    <row r="1059" spans="2:15" x14ac:dyDescent="0.2">
      <c r="B1059" s="1">
        <v>1044</v>
      </c>
      <c r="C1059" s="5">
        <f ca="1">_xlfn.NORM.S.INV(RAND())</f>
        <v>0.17515410687474811</v>
      </c>
      <c r="D1059" s="5">
        <f ca="1">S0*EXP((μ-0.5*σ*σ)*T+σ*SQRT(T)*$C1059)</f>
        <v>0.67608002368679265</v>
      </c>
      <c r="E1059" s="5">
        <f ca="1">MAX(0,CP*(D1059-K))</f>
        <v>0</v>
      </c>
      <c r="F1059" s="4">
        <f ca="1">(CP*(D1059-K)&gt;0)*1</f>
        <v>0</v>
      </c>
      <c r="H1059" s="4">
        <v>1044</v>
      </c>
      <c r="I1059" s="3">
        <v>0.66770147158805859</v>
      </c>
      <c r="J1059" s="128">
        <v>1.3944549232779025E-3</v>
      </c>
      <c r="K1059" s="128"/>
      <c r="L1059" s="128">
        <v>4.0599999999999997E-2</v>
      </c>
      <c r="O1059" s="2"/>
    </row>
    <row r="1060" spans="2:15" x14ac:dyDescent="0.2">
      <c r="B1060" s="1">
        <v>1045</v>
      </c>
      <c r="C1060" s="5">
        <f ca="1">_xlfn.NORM.S.INV(RAND())</f>
        <v>1.5699659538026021</v>
      </c>
      <c r="D1060" s="5">
        <f ca="1">S0*EXP((μ-0.5*σ*σ)*T+σ*SQRT(T)*$C1060)</f>
        <v>0.7757438830021014</v>
      </c>
      <c r="E1060" s="5">
        <f ca="1">MAX(0,CP*(D1060-K))</f>
        <v>0</v>
      </c>
      <c r="F1060" s="4">
        <f ca="1">(CP*(D1060-K)&gt;0)*1</f>
        <v>0</v>
      </c>
      <c r="H1060" s="4">
        <v>1045</v>
      </c>
      <c r="I1060" s="3">
        <v>0.66767704031374453</v>
      </c>
      <c r="J1060" s="128">
        <v>1.2896237542313039E-3</v>
      </c>
      <c r="K1060" s="128"/>
      <c r="L1060" s="128">
        <v>4.2200000000000001E-2</v>
      </c>
      <c r="O1060" s="2"/>
    </row>
    <row r="1061" spans="2:15" x14ac:dyDescent="0.2">
      <c r="B1061" s="1">
        <v>1046</v>
      </c>
      <c r="C1061" s="5">
        <f ca="1">_xlfn.NORM.S.INV(RAND())</f>
        <v>0.53754756271981519</v>
      </c>
      <c r="D1061" s="5">
        <f ca="1">S0*EXP((μ-0.5*σ*σ)*T+σ*SQRT(T)*$C1061)</f>
        <v>0.70067131796394444</v>
      </c>
      <c r="E1061" s="5">
        <f ca="1">MAX(0,CP*(D1061-K))</f>
        <v>0</v>
      </c>
      <c r="F1061" s="4">
        <f ca="1">(CP*(D1061-K)&gt;0)*1</f>
        <v>0</v>
      </c>
      <c r="H1061" s="4">
        <v>1046</v>
      </c>
      <c r="I1061" s="3">
        <v>0.66775134000413006</v>
      </c>
      <c r="J1061" s="128">
        <v>1.4682851937891205E-3</v>
      </c>
      <c r="K1061" s="128"/>
      <c r="L1061" s="128">
        <v>3.7999999999999999E-2</v>
      </c>
      <c r="O1061" s="2"/>
    </row>
    <row r="1062" spans="2:15" x14ac:dyDescent="0.2">
      <c r="B1062" s="1">
        <v>1047</v>
      </c>
      <c r="C1062" s="5">
        <f ca="1">_xlfn.NORM.S.INV(RAND())</f>
        <v>-0.27098731627106259</v>
      </c>
      <c r="D1062" s="5">
        <f ca="1">S0*EXP((μ-0.5*σ*σ)*T+σ*SQRT(T)*$C1062)</f>
        <v>0.64698783568318985</v>
      </c>
      <c r="E1062" s="5">
        <f ca="1">MAX(0,CP*(D1062-K))</f>
        <v>0</v>
      </c>
      <c r="F1062" s="4">
        <f ca="1">(CP*(D1062-K)&gt;0)*1</f>
        <v>0</v>
      </c>
      <c r="H1062" s="4">
        <v>1047</v>
      </c>
      <c r="I1062" s="3">
        <v>0.66766536514168306</v>
      </c>
      <c r="J1062" s="128">
        <v>1.1670878770347925E-3</v>
      </c>
      <c r="K1062" s="128"/>
      <c r="L1062" s="128">
        <v>3.8399999999999997E-2</v>
      </c>
      <c r="O1062" s="2"/>
    </row>
    <row r="1063" spans="2:15" x14ac:dyDescent="0.2">
      <c r="B1063" s="1">
        <v>1048</v>
      </c>
      <c r="C1063" s="5">
        <f ca="1">_xlfn.NORM.S.INV(RAND())</f>
        <v>6.9680924051999396E-2</v>
      </c>
      <c r="D1063" s="5">
        <f ca="1">S0*EXP((μ-0.5*σ*σ)*T+σ*SQRT(T)*$C1063)</f>
        <v>0.66908634197688177</v>
      </c>
      <c r="E1063" s="5">
        <f ca="1">MAX(0,CP*(D1063-K))</f>
        <v>0</v>
      </c>
      <c r="F1063" s="4">
        <f ca="1">(CP*(D1063-K)&gt;0)*1</f>
        <v>0</v>
      </c>
      <c r="H1063" s="4">
        <v>1048</v>
      </c>
      <c r="I1063" s="3">
        <v>0.6677398793352054</v>
      </c>
      <c r="J1063" s="128">
        <v>1.3648725192220523E-3</v>
      </c>
      <c r="K1063" s="128"/>
      <c r="L1063" s="128">
        <v>4.0800000000000003E-2</v>
      </c>
      <c r="O1063" s="2"/>
    </row>
    <row r="1064" spans="2:15" x14ac:dyDescent="0.2">
      <c r="B1064" s="1">
        <v>1049</v>
      </c>
      <c r="C1064" s="5">
        <f ca="1">_xlfn.NORM.S.INV(RAND())</f>
        <v>-1.0841427308253631</v>
      </c>
      <c r="D1064" s="5">
        <f ca="1">S0*EXP((μ-0.5*σ*σ)*T+σ*SQRT(T)*$C1064)</f>
        <v>0.59714535435418403</v>
      </c>
      <c r="E1064" s="5">
        <f ca="1">MAX(0,CP*(D1064-K))</f>
        <v>0</v>
      </c>
      <c r="F1064" s="4">
        <f ca="1">(CP*(D1064-K)&gt;0)*1</f>
        <v>0</v>
      </c>
      <c r="H1064" s="4">
        <v>1049</v>
      </c>
      <c r="I1064" s="3">
        <v>0.66791920823125006</v>
      </c>
      <c r="J1064" s="128">
        <v>1.4111085797940326E-3</v>
      </c>
      <c r="K1064" s="128"/>
      <c r="L1064" s="128">
        <v>4.5199999999999997E-2</v>
      </c>
      <c r="O1064" s="2"/>
    </row>
    <row r="1065" spans="2:15" x14ac:dyDescent="0.2">
      <c r="B1065" s="1">
        <v>1050</v>
      </c>
      <c r="C1065" s="5">
        <f ca="1">_xlfn.NORM.S.INV(RAND())</f>
        <v>-1.3592637487293222</v>
      </c>
      <c r="D1065" s="5">
        <f ca="1">S0*EXP((μ-0.5*σ*σ)*T+σ*SQRT(T)*$C1065)</f>
        <v>0.58116637370744795</v>
      </c>
      <c r="E1065" s="5">
        <f ca="1">MAX(0,CP*(D1065-K))</f>
        <v>0</v>
      </c>
      <c r="F1065" s="4">
        <f ca="1">(CP*(D1065-K)&gt;0)*1</f>
        <v>0</v>
      </c>
      <c r="H1065" s="4">
        <v>1050</v>
      </c>
      <c r="I1065" s="3">
        <v>0.66777164783871901</v>
      </c>
      <c r="J1065" s="128">
        <v>1.604146925446192E-3</v>
      </c>
      <c r="K1065" s="128"/>
      <c r="L1065" s="128">
        <v>4.3999999999999997E-2</v>
      </c>
      <c r="O1065" s="2"/>
    </row>
    <row r="1066" spans="2:15" x14ac:dyDescent="0.2">
      <c r="B1066" s="1">
        <v>1051</v>
      </c>
      <c r="C1066" s="5">
        <f ca="1">_xlfn.NORM.S.INV(RAND())</f>
        <v>0.45770091311444772</v>
      </c>
      <c r="D1066" s="5">
        <f ca="1">S0*EXP((μ-0.5*σ*σ)*T+σ*SQRT(T)*$C1066)</f>
        <v>0.69517737023992632</v>
      </c>
      <c r="E1066" s="5">
        <f ca="1">MAX(0,CP*(D1066-K))</f>
        <v>0</v>
      </c>
      <c r="F1066" s="4">
        <f ca="1">(CP*(D1066-K)&gt;0)*1</f>
        <v>0</v>
      </c>
      <c r="H1066" s="4">
        <v>1051</v>
      </c>
      <c r="I1066" s="3">
        <v>0.66769961078675844</v>
      </c>
      <c r="J1066" s="128">
        <v>1.3584986873373614E-3</v>
      </c>
      <c r="K1066" s="128"/>
      <c r="L1066" s="128">
        <v>4.1200000000000001E-2</v>
      </c>
      <c r="O1066" s="2"/>
    </row>
    <row r="1067" spans="2:15" x14ac:dyDescent="0.2">
      <c r="B1067" s="1">
        <v>1052</v>
      </c>
      <c r="C1067" s="5">
        <f ca="1">_xlfn.NORM.S.INV(RAND())</f>
        <v>8.7063641000733716E-2</v>
      </c>
      <c r="D1067" s="5">
        <f ca="1">S0*EXP((μ-0.5*σ*σ)*T+σ*SQRT(T)*$C1067)</f>
        <v>0.67023395039682254</v>
      </c>
      <c r="E1067" s="5">
        <f ca="1">MAX(0,CP*(D1067-K))</f>
        <v>0</v>
      </c>
      <c r="F1067" s="4">
        <f ca="1">(CP*(D1067-K)&gt;0)*1</f>
        <v>0</v>
      </c>
      <c r="H1067" s="4">
        <v>1052</v>
      </c>
      <c r="I1067" s="3">
        <v>0.66794168829975387</v>
      </c>
      <c r="J1067" s="128">
        <v>1.6165352072055391E-3</v>
      </c>
      <c r="K1067" s="128"/>
      <c r="L1067" s="128">
        <v>4.9000000000000002E-2</v>
      </c>
      <c r="O1067" s="2"/>
    </row>
    <row r="1068" spans="2:15" x14ac:dyDescent="0.2">
      <c r="B1068" s="1">
        <v>1053</v>
      </c>
      <c r="C1068" s="5">
        <f ca="1">_xlfn.NORM.S.INV(RAND())</f>
        <v>0.14779195924389604</v>
      </c>
      <c r="D1068" s="5">
        <f ca="1">S0*EXP((μ-0.5*σ*σ)*T+σ*SQRT(T)*$C1068)</f>
        <v>0.67425871160241191</v>
      </c>
      <c r="E1068" s="5">
        <f ca="1">MAX(0,CP*(D1068-K))</f>
        <v>0</v>
      </c>
      <c r="F1068" s="4">
        <f ca="1">(CP*(D1068-K)&gt;0)*1</f>
        <v>0</v>
      </c>
      <c r="H1068" s="4">
        <v>1053</v>
      </c>
      <c r="I1068" s="3">
        <v>0.66767195350019393</v>
      </c>
      <c r="J1068" s="128">
        <v>1.3084852918540354E-3</v>
      </c>
      <c r="K1068" s="128"/>
      <c r="L1068" s="128">
        <v>3.9399999999999998E-2</v>
      </c>
      <c r="O1068" s="2"/>
    </row>
    <row r="1069" spans="2:15" x14ac:dyDescent="0.2">
      <c r="B1069" s="1">
        <v>1054</v>
      </c>
      <c r="C1069" s="5">
        <f ca="1">_xlfn.NORM.S.INV(RAND())</f>
        <v>-0.76857965991491684</v>
      </c>
      <c r="D1069" s="5">
        <f ca="1">S0*EXP((μ-0.5*σ*σ)*T+σ*SQRT(T)*$C1069)</f>
        <v>0.61601488246839009</v>
      </c>
      <c r="E1069" s="5">
        <f ca="1">MAX(0,CP*(D1069-K))</f>
        <v>0</v>
      </c>
      <c r="F1069" s="4">
        <f ca="1">(CP*(D1069-K)&gt;0)*1</f>
        <v>0</v>
      </c>
      <c r="H1069" s="4">
        <v>1054</v>
      </c>
      <c r="I1069" s="3">
        <v>0.66757445080922906</v>
      </c>
      <c r="J1069" s="128">
        <v>1.0427537206903297E-3</v>
      </c>
      <c r="K1069" s="128"/>
      <c r="L1069" s="128">
        <v>3.6799999999999999E-2</v>
      </c>
      <c r="O1069" s="2"/>
    </row>
    <row r="1070" spans="2:15" x14ac:dyDescent="0.2">
      <c r="B1070" s="1">
        <v>1055</v>
      </c>
      <c r="C1070" s="5">
        <f ca="1">_xlfn.NORM.S.INV(RAND())</f>
        <v>-0.88320029820099977</v>
      </c>
      <c r="D1070" s="5">
        <f ca="1">S0*EXP((μ-0.5*σ*σ)*T+σ*SQRT(T)*$C1070)</f>
        <v>0.60909299937470385</v>
      </c>
      <c r="E1070" s="5">
        <f ca="1">MAX(0,CP*(D1070-K))</f>
        <v>0</v>
      </c>
      <c r="F1070" s="4">
        <f ca="1">(CP*(D1070-K)&gt;0)*1</f>
        <v>0</v>
      </c>
      <c r="H1070" s="4">
        <v>1055</v>
      </c>
      <c r="I1070" s="3">
        <v>0.66761586323479738</v>
      </c>
      <c r="J1070" s="128">
        <v>1.2068463228717622E-3</v>
      </c>
      <c r="K1070" s="128"/>
      <c r="L1070" s="128">
        <v>3.7600000000000001E-2</v>
      </c>
      <c r="O1070" s="2"/>
    </row>
    <row r="1071" spans="2:15" x14ac:dyDescent="0.2">
      <c r="B1071" s="1">
        <v>1056</v>
      </c>
      <c r="C1071" s="5">
        <f ca="1">_xlfn.NORM.S.INV(RAND())</f>
        <v>0.68564575347787693</v>
      </c>
      <c r="D1071" s="5">
        <f ca="1">S0*EXP((μ-0.5*σ*σ)*T+σ*SQRT(T)*$C1071)</f>
        <v>0.71097660651679295</v>
      </c>
      <c r="E1071" s="5">
        <f ca="1">MAX(0,CP*(D1071-K))</f>
        <v>0</v>
      </c>
      <c r="F1071" s="4">
        <f ca="1">(CP*(D1071-K)&gt;0)*1</f>
        <v>0</v>
      </c>
      <c r="H1071" s="4">
        <v>1056</v>
      </c>
      <c r="I1071" s="3">
        <v>0.66773637873642444</v>
      </c>
      <c r="J1071" s="128">
        <v>1.3433512522137044E-3</v>
      </c>
      <c r="K1071" s="128"/>
      <c r="L1071" s="128">
        <v>4.1200000000000001E-2</v>
      </c>
      <c r="O1071" s="2"/>
    </row>
    <row r="1072" spans="2:15" x14ac:dyDescent="0.2">
      <c r="B1072" s="1">
        <v>1057</v>
      </c>
      <c r="C1072" s="5">
        <f ca="1">_xlfn.NORM.S.INV(RAND())</f>
        <v>0.49573911510324792</v>
      </c>
      <c r="D1072" s="5">
        <f ca="1">S0*EXP((μ-0.5*σ*σ)*T+σ*SQRT(T)*$C1072)</f>
        <v>0.69778924232208783</v>
      </c>
      <c r="E1072" s="5">
        <f ca="1">MAX(0,CP*(D1072-K))</f>
        <v>0</v>
      </c>
      <c r="F1072" s="4">
        <f ca="1">(CP*(D1072-K)&gt;0)*1</f>
        <v>0</v>
      </c>
      <c r="H1072" s="4">
        <v>1057</v>
      </c>
      <c r="I1072" s="3">
        <v>0.66780247402525961</v>
      </c>
      <c r="J1072" s="128">
        <v>1.4148025188936927E-3</v>
      </c>
      <c r="K1072" s="128"/>
      <c r="L1072" s="128">
        <v>4.0800000000000003E-2</v>
      </c>
      <c r="O1072" s="2"/>
    </row>
    <row r="1073" spans="2:15" x14ac:dyDescent="0.2">
      <c r="B1073" s="1">
        <v>1058</v>
      </c>
      <c r="C1073" s="5">
        <f ca="1">_xlfn.NORM.S.INV(RAND())</f>
        <v>-0.42245424248810654</v>
      </c>
      <c r="D1073" s="5">
        <f ca="1">S0*EXP((μ-0.5*σ*σ)*T+σ*SQRT(T)*$C1073)</f>
        <v>0.63739831103727562</v>
      </c>
      <c r="E1073" s="5">
        <f ca="1">MAX(0,CP*(D1073-K))</f>
        <v>0</v>
      </c>
      <c r="F1073" s="4">
        <f ca="1">(CP*(D1073-K)&gt;0)*1</f>
        <v>0</v>
      </c>
      <c r="H1073" s="4">
        <v>1058</v>
      </c>
      <c r="I1073" s="3">
        <v>0.66777137179936907</v>
      </c>
      <c r="J1073" s="128">
        <v>1.3706445868561326E-3</v>
      </c>
      <c r="K1073" s="128"/>
      <c r="L1073" s="128">
        <v>4.24E-2</v>
      </c>
      <c r="O1073" s="2"/>
    </row>
    <row r="1074" spans="2:15" x14ac:dyDescent="0.2">
      <c r="B1074" s="1">
        <v>1059</v>
      </c>
      <c r="C1074" s="5">
        <f ca="1">_xlfn.NORM.S.INV(RAND())</f>
        <v>0.46294533744387445</v>
      </c>
      <c r="D1074" s="5">
        <f ca="1">S0*EXP((μ-0.5*σ*σ)*T+σ*SQRT(T)*$C1074)</f>
        <v>0.69553689387632422</v>
      </c>
      <c r="E1074" s="5">
        <f ca="1">MAX(0,CP*(D1074-K))</f>
        <v>0</v>
      </c>
      <c r="F1074" s="4">
        <f ca="1">(CP*(D1074-K)&gt;0)*1</f>
        <v>0</v>
      </c>
      <c r="H1074" s="4">
        <v>1059</v>
      </c>
      <c r="I1074" s="3">
        <v>0.66766527366942607</v>
      </c>
      <c r="J1074" s="128">
        <v>1.3308261602538595E-3</v>
      </c>
      <c r="K1074" s="128"/>
      <c r="L1074" s="128">
        <v>3.9E-2</v>
      </c>
      <c r="O1074" s="2"/>
    </row>
    <row r="1075" spans="2:15" x14ac:dyDescent="0.2">
      <c r="B1075" s="1">
        <v>1060</v>
      </c>
      <c r="C1075" s="5">
        <f ca="1">_xlfn.NORM.S.INV(RAND())</f>
        <v>-2.4164058517649807E-2</v>
      </c>
      <c r="D1075" s="5">
        <f ca="1">S0*EXP((μ-0.5*σ*σ)*T+σ*SQRT(T)*$C1075)</f>
        <v>0.66292454394538025</v>
      </c>
      <c r="E1075" s="5">
        <f ca="1">MAX(0,CP*(D1075-K))</f>
        <v>0</v>
      </c>
      <c r="F1075" s="4">
        <f ca="1">(CP*(D1075-K)&gt;0)*1</f>
        <v>0</v>
      </c>
      <c r="H1075" s="4">
        <v>1060</v>
      </c>
      <c r="I1075" s="3">
        <v>0.66769032506545378</v>
      </c>
      <c r="J1075" s="128">
        <v>1.1973828812975016E-3</v>
      </c>
      <c r="K1075" s="128"/>
      <c r="L1075" s="128">
        <v>0.04</v>
      </c>
      <c r="O1075" s="2"/>
    </row>
    <row r="1076" spans="2:15" x14ac:dyDescent="0.2">
      <c r="B1076" s="1">
        <v>1061</v>
      </c>
      <c r="C1076" s="5">
        <f ca="1">_xlfn.NORM.S.INV(RAND())</f>
        <v>-3.3941078621440406</v>
      </c>
      <c r="D1076" s="5">
        <f ca="1">S0*EXP((μ-0.5*σ*σ)*T+σ*SQRT(T)*$C1076)</f>
        <v>0.47552855886979967</v>
      </c>
      <c r="E1076" s="5">
        <f ca="1">MAX(0,CP*(D1076-K))</f>
        <v>0</v>
      </c>
      <c r="F1076" s="4">
        <f ca="1">(CP*(D1076-K)&gt;0)*1</f>
        <v>0</v>
      </c>
      <c r="H1076" s="4">
        <v>1061</v>
      </c>
      <c r="I1076" s="3">
        <v>0.66768812277552414</v>
      </c>
      <c r="J1076" s="128">
        <v>1.2776664873815566E-3</v>
      </c>
      <c r="K1076" s="128"/>
      <c r="L1076" s="128">
        <v>3.8199999999999998E-2</v>
      </c>
      <c r="O1076" s="2"/>
    </row>
    <row r="1077" spans="2:15" x14ac:dyDescent="0.2">
      <c r="B1077" s="1">
        <v>1062</v>
      </c>
      <c r="C1077" s="5">
        <f ca="1">_xlfn.NORM.S.INV(RAND())</f>
        <v>-0.50229992652529509</v>
      </c>
      <c r="D1077" s="5">
        <f ca="1">S0*EXP((μ-0.5*σ*σ)*T+σ*SQRT(T)*$C1077)</f>
        <v>0.63240054570853232</v>
      </c>
      <c r="E1077" s="5">
        <f ca="1">MAX(0,CP*(D1077-K))</f>
        <v>0</v>
      </c>
      <c r="F1077" s="4">
        <f ca="1">(CP*(D1077-K)&gt;0)*1</f>
        <v>0</v>
      </c>
      <c r="H1077" s="4">
        <v>1062</v>
      </c>
      <c r="I1077" s="3">
        <v>0.66769589210114222</v>
      </c>
      <c r="J1077" s="128">
        <v>1.4051579502241062E-3</v>
      </c>
      <c r="K1077" s="128"/>
      <c r="L1077" s="128">
        <v>0.04</v>
      </c>
      <c r="O1077" s="2"/>
    </row>
    <row r="1078" spans="2:15" x14ac:dyDescent="0.2">
      <c r="B1078" s="1">
        <v>1063</v>
      </c>
      <c r="C1078" s="5">
        <f ca="1">_xlfn.NORM.S.INV(RAND())</f>
        <v>2.1515191072516853</v>
      </c>
      <c r="D1078" s="5">
        <f ca="1">S0*EXP((μ-0.5*σ*σ)*T+σ*SQRT(T)*$C1078)</f>
        <v>0.82151999101036899</v>
      </c>
      <c r="E1078" s="5">
        <f ca="1">MAX(0,CP*(D1078-K))</f>
        <v>3.3319991010368977E-2</v>
      </c>
      <c r="F1078" s="4">
        <f ca="1">(CP*(D1078-K)&gt;0)*1</f>
        <v>1</v>
      </c>
      <c r="H1078" s="4">
        <v>1063</v>
      </c>
      <c r="I1078" s="3">
        <v>0.66784683464971517</v>
      </c>
      <c r="J1078" s="128">
        <v>1.3679656109113782E-3</v>
      </c>
      <c r="K1078" s="128"/>
      <c r="L1078" s="128">
        <v>4.3200000000000002E-2</v>
      </c>
      <c r="O1078" s="2"/>
    </row>
    <row r="1079" spans="2:15" x14ac:dyDescent="0.2">
      <c r="B1079" s="1">
        <v>1064</v>
      </c>
      <c r="C1079" s="5">
        <f ca="1">_xlfn.NORM.S.INV(RAND())</f>
        <v>-0.4595964016366702</v>
      </c>
      <c r="D1079" s="5">
        <f ca="1">S0*EXP((μ-0.5*σ*σ)*T+σ*SQRT(T)*$C1079)</f>
        <v>0.63506858486362483</v>
      </c>
      <c r="E1079" s="5">
        <f ca="1">MAX(0,CP*(D1079-K))</f>
        <v>0</v>
      </c>
      <c r="F1079" s="4">
        <f ca="1">(CP*(D1079-K)&gt;0)*1</f>
        <v>0</v>
      </c>
      <c r="H1079" s="4">
        <v>1064</v>
      </c>
      <c r="I1079" s="3">
        <v>0.66766650176471698</v>
      </c>
      <c r="J1079" s="128">
        <v>1.3322445844463093E-3</v>
      </c>
      <c r="K1079" s="128"/>
      <c r="L1079" s="128">
        <v>3.78E-2</v>
      </c>
      <c r="O1079" s="2"/>
    </row>
    <row r="1080" spans="2:15" x14ac:dyDescent="0.2">
      <c r="B1080" s="1">
        <v>1065</v>
      </c>
      <c r="C1080" s="5">
        <f ca="1">_xlfn.NORM.S.INV(RAND())</f>
        <v>-2.2335377651717687</v>
      </c>
      <c r="D1080" s="5">
        <f ca="1">S0*EXP((μ-0.5*σ*σ)*T+σ*SQRT(T)*$C1080)</f>
        <v>0.53317228600360422</v>
      </c>
      <c r="E1080" s="5">
        <f ca="1">MAX(0,CP*(D1080-K))</f>
        <v>0</v>
      </c>
      <c r="F1080" s="4">
        <f ca="1">(CP*(D1080-K)&gt;0)*1</f>
        <v>0</v>
      </c>
      <c r="H1080" s="4">
        <v>1065</v>
      </c>
      <c r="I1080" s="3">
        <v>0.66786322482464455</v>
      </c>
      <c r="J1080" s="128">
        <v>1.5015151749101889E-3</v>
      </c>
      <c r="K1080" s="128"/>
      <c r="L1080" s="128">
        <v>4.6600000000000003E-2</v>
      </c>
      <c r="O1080" s="2"/>
    </row>
    <row r="1081" spans="2:15" x14ac:dyDescent="0.2">
      <c r="B1081" s="1">
        <v>1066</v>
      </c>
      <c r="C1081" s="5">
        <f ca="1">_xlfn.NORM.S.INV(RAND())</f>
        <v>-2.0140142440824689</v>
      </c>
      <c r="D1081" s="5">
        <f ca="1">S0*EXP((μ-0.5*σ*σ)*T+σ*SQRT(T)*$C1081)</f>
        <v>0.5448371151508854</v>
      </c>
      <c r="E1081" s="5">
        <f ca="1">MAX(0,CP*(D1081-K))</f>
        <v>0</v>
      </c>
      <c r="F1081" s="4">
        <f ca="1">(CP*(D1081-K)&gt;0)*1</f>
        <v>0</v>
      </c>
      <c r="H1081" s="4">
        <v>1066</v>
      </c>
      <c r="I1081" s="3">
        <v>0.66778984547457643</v>
      </c>
      <c r="J1081" s="128">
        <v>1.4460001903359501E-3</v>
      </c>
      <c r="K1081" s="128"/>
      <c r="L1081" s="128">
        <v>4.3200000000000002E-2</v>
      </c>
      <c r="O1081" s="2"/>
    </row>
    <row r="1082" spans="2:15" x14ac:dyDescent="0.2">
      <c r="B1082" s="1">
        <v>1067</v>
      </c>
      <c r="C1082" s="5">
        <f ca="1">_xlfn.NORM.S.INV(RAND())</f>
        <v>0.75499875571041519</v>
      </c>
      <c r="D1082" s="5">
        <f ca="1">S0*EXP((μ-0.5*σ*σ)*T+σ*SQRT(T)*$C1082)</f>
        <v>0.71585444990784819</v>
      </c>
      <c r="E1082" s="5">
        <f ca="1">MAX(0,CP*(D1082-K))</f>
        <v>0</v>
      </c>
      <c r="F1082" s="4">
        <f ca="1">(CP*(D1082-K)&gt;0)*1</f>
        <v>0</v>
      </c>
      <c r="H1082" s="4">
        <v>1067</v>
      </c>
      <c r="I1082" s="3">
        <v>0.66775074288785308</v>
      </c>
      <c r="J1082" s="128">
        <v>1.4351857899750605E-3</v>
      </c>
      <c r="K1082" s="128"/>
      <c r="L1082" s="128">
        <v>4.2799999999999998E-2</v>
      </c>
      <c r="O1082" s="2"/>
    </row>
    <row r="1083" spans="2:15" x14ac:dyDescent="0.2">
      <c r="B1083" s="1">
        <v>1068</v>
      </c>
      <c r="C1083" s="5">
        <f ca="1">_xlfn.NORM.S.INV(RAND())</f>
        <v>-0.5059811672911555</v>
      </c>
      <c r="D1083" s="5">
        <f ca="1">S0*EXP((μ-0.5*σ*σ)*T+σ*SQRT(T)*$C1083)</f>
        <v>0.63217107388137994</v>
      </c>
      <c r="E1083" s="5">
        <f ca="1">MAX(0,CP*(D1083-K))</f>
        <v>0</v>
      </c>
      <c r="F1083" s="4">
        <f ca="1">(CP*(D1083-K)&gt;0)*1</f>
        <v>0</v>
      </c>
      <c r="H1083" s="4">
        <v>1068</v>
      </c>
      <c r="I1083" s="3">
        <v>0.6676462934046149</v>
      </c>
      <c r="J1083" s="128">
        <v>1.2477829404380762E-3</v>
      </c>
      <c r="K1083" s="128"/>
      <c r="L1083" s="128">
        <v>4.1200000000000001E-2</v>
      </c>
      <c r="O1083" s="2"/>
    </row>
    <row r="1084" spans="2:15" x14ac:dyDescent="0.2">
      <c r="B1084" s="1">
        <v>1069</v>
      </c>
      <c r="C1084" s="5">
        <f ca="1">_xlfn.NORM.S.INV(RAND())</f>
        <v>0.84834935891333796</v>
      </c>
      <c r="D1084" s="5">
        <f ca="1">S0*EXP((μ-0.5*σ*σ)*T+σ*SQRT(T)*$C1084)</f>
        <v>0.7224730106688052</v>
      </c>
      <c r="E1084" s="5">
        <f ca="1">MAX(0,CP*(D1084-K))</f>
        <v>0</v>
      </c>
      <c r="F1084" s="4">
        <f ca="1">(CP*(D1084-K)&gt;0)*1</f>
        <v>0</v>
      </c>
      <c r="H1084" s="4">
        <v>1069</v>
      </c>
      <c r="I1084" s="3">
        <v>0.66760735049459952</v>
      </c>
      <c r="J1084" s="128">
        <v>1.2668651688625208E-3</v>
      </c>
      <c r="K1084" s="128"/>
      <c r="L1084" s="128">
        <v>4.1599999999999998E-2</v>
      </c>
      <c r="O1084" s="2"/>
    </row>
    <row r="1085" spans="2:15" x14ac:dyDescent="0.2">
      <c r="B1085" s="1">
        <v>1070</v>
      </c>
      <c r="C1085" s="5">
        <f ca="1">_xlfn.NORM.S.INV(RAND())</f>
        <v>0.22645262793710877</v>
      </c>
      <c r="D1085" s="5">
        <f ca="1">S0*EXP((μ-0.5*σ*σ)*T+σ*SQRT(T)*$C1085)</f>
        <v>0.67950788569327369</v>
      </c>
      <c r="E1085" s="5">
        <f ca="1">MAX(0,CP*(D1085-K))</f>
        <v>0</v>
      </c>
      <c r="F1085" s="4">
        <f ca="1">(CP*(D1085-K)&gt;0)*1</f>
        <v>0</v>
      </c>
      <c r="H1085" s="4">
        <v>1070</v>
      </c>
      <c r="I1085" s="3">
        <v>0.66768834158563783</v>
      </c>
      <c r="J1085" s="128">
        <v>1.269527245273032E-3</v>
      </c>
      <c r="K1085" s="128"/>
      <c r="L1085" s="128">
        <v>3.9800000000000002E-2</v>
      </c>
      <c r="O1085" s="2"/>
    </row>
    <row r="1086" spans="2:15" x14ac:dyDescent="0.2">
      <c r="B1086" s="1">
        <v>1071</v>
      </c>
      <c r="C1086" s="5">
        <f ca="1">_xlfn.NORM.S.INV(RAND())</f>
        <v>-0.59071265537568163</v>
      </c>
      <c r="D1086" s="5">
        <f ca="1">S0*EXP((μ-0.5*σ*σ)*T+σ*SQRT(T)*$C1086)</f>
        <v>0.6269122514642419</v>
      </c>
      <c r="E1086" s="5">
        <f ca="1">MAX(0,CP*(D1086-K))</f>
        <v>0</v>
      </c>
      <c r="F1086" s="4">
        <f ca="1">(CP*(D1086-K)&gt;0)*1</f>
        <v>0</v>
      </c>
      <c r="H1086" s="4">
        <v>1071</v>
      </c>
      <c r="I1086" s="3">
        <v>0.66792842634253835</v>
      </c>
      <c r="J1086" s="128">
        <v>1.4360476590725847E-3</v>
      </c>
      <c r="K1086" s="128"/>
      <c r="L1086" s="128">
        <v>4.48E-2</v>
      </c>
      <c r="O1086" s="2"/>
    </row>
    <row r="1087" spans="2:15" x14ac:dyDescent="0.2">
      <c r="B1087" s="1">
        <v>1072</v>
      </c>
      <c r="C1087" s="5">
        <f ca="1">_xlfn.NORM.S.INV(RAND())</f>
        <v>0.5570220259816443</v>
      </c>
      <c r="D1087" s="5">
        <f ca="1">S0*EXP((μ-0.5*σ*σ)*T+σ*SQRT(T)*$C1087)</f>
        <v>0.70201785571406838</v>
      </c>
      <c r="E1087" s="5">
        <f ca="1">MAX(0,CP*(D1087-K))</f>
        <v>0</v>
      </c>
      <c r="F1087" s="4">
        <f ca="1">(CP*(D1087-K)&gt;0)*1</f>
        <v>0</v>
      </c>
      <c r="H1087" s="4">
        <v>1072</v>
      </c>
      <c r="I1087" s="3">
        <v>0.66783825568525934</v>
      </c>
      <c r="J1087" s="128">
        <v>1.3446631041622666E-3</v>
      </c>
      <c r="K1087" s="128"/>
      <c r="L1087" s="128">
        <v>3.9399999999999998E-2</v>
      </c>
      <c r="O1087" s="2"/>
    </row>
    <row r="1088" spans="2:15" x14ac:dyDescent="0.2">
      <c r="B1088" s="1">
        <v>1073</v>
      </c>
      <c r="C1088" s="5">
        <f ca="1">_xlfn.NORM.S.INV(RAND())</f>
        <v>1.6456196953551381</v>
      </c>
      <c r="D1088" s="5">
        <f ca="1">S0*EXP((μ-0.5*σ*σ)*T+σ*SQRT(T)*$C1088)</f>
        <v>0.781551408075013</v>
      </c>
      <c r="E1088" s="5">
        <f ca="1">MAX(0,CP*(D1088-K))</f>
        <v>0</v>
      </c>
      <c r="F1088" s="4">
        <f ca="1">(CP*(D1088-K)&gt;0)*1</f>
        <v>0</v>
      </c>
      <c r="H1088" s="4">
        <v>1073</v>
      </c>
      <c r="I1088" s="3">
        <v>0.66782259581776227</v>
      </c>
      <c r="J1088" s="128">
        <v>1.4596989937037006E-3</v>
      </c>
      <c r="K1088" s="128"/>
      <c r="L1088" s="128">
        <v>4.1599999999999998E-2</v>
      </c>
      <c r="O1088" s="2"/>
    </row>
    <row r="1089" spans="2:15" x14ac:dyDescent="0.2">
      <c r="B1089" s="1">
        <v>1074</v>
      </c>
      <c r="C1089" s="5">
        <f ca="1">_xlfn.NORM.S.INV(RAND())</f>
        <v>-0.4279477428350692</v>
      </c>
      <c r="D1089" s="5">
        <f ca="1">S0*EXP((μ-0.5*σ*σ)*T+σ*SQRT(T)*$C1089)</f>
        <v>0.63705319575924568</v>
      </c>
      <c r="E1089" s="5">
        <f ca="1">MAX(0,CP*(D1089-K))</f>
        <v>0</v>
      </c>
      <c r="F1089" s="4">
        <f ca="1">(CP*(D1089-K)&gt;0)*1</f>
        <v>0</v>
      </c>
      <c r="H1089" s="4">
        <v>1074</v>
      </c>
      <c r="I1089" s="3">
        <v>0.66765675289684112</v>
      </c>
      <c r="J1089" s="128">
        <v>1.1713839167016688E-3</v>
      </c>
      <c r="K1089" s="128"/>
      <c r="L1089" s="128">
        <v>4.0399999999999998E-2</v>
      </c>
      <c r="O1089" s="2"/>
    </row>
    <row r="1090" spans="2:15" x14ac:dyDescent="0.2">
      <c r="B1090" s="1">
        <v>1075</v>
      </c>
      <c r="C1090" s="5">
        <f ca="1">_xlfn.NORM.S.INV(RAND())</f>
        <v>-0.94071586385012007</v>
      </c>
      <c r="D1090" s="5">
        <f ca="1">S0*EXP((μ-0.5*σ*σ)*T+σ*SQRT(T)*$C1090)</f>
        <v>0.60564902419750599</v>
      </c>
      <c r="E1090" s="5">
        <f ca="1">MAX(0,CP*(D1090-K))</f>
        <v>0</v>
      </c>
      <c r="F1090" s="4">
        <f ca="1">(CP*(D1090-K)&gt;0)*1</f>
        <v>0</v>
      </c>
      <c r="H1090" s="4">
        <v>1075</v>
      </c>
      <c r="I1090" s="3">
        <v>0.66770011624106496</v>
      </c>
      <c r="J1090" s="128">
        <v>1.2332628453171264E-3</v>
      </c>
      <c r="K1090" s="128"/>
      <c r="L1090" s="128">
        <v>3.7999999999999999E-2</v>
      </c>
      <c r="O1090" s="2"/>
    </row>
    <row r="1091" spans="2:15" x14ac:dyDescent="0.2">
      <c r="B1091" s="1">
        <v>1076</v>
      </c>
      <c r="C1091" s="5">
        <f ca="1">_xlfn.NORM.S.INV(RAND())</f>
        <v>-1.0487668949914848</v>
      </c>
      <c r="D1091" s="5">
        <f ca="1">S0*EXP((μ-0.5*σ*σ)*T+σ*SQRT(T)*$C1091)</f>
        <v>0.59923160283879051</v>
      </c>
      <c r="E1091" s="5">
        <f ca="1">MAX(0,CP*(D1091-K))</f>
        <v>0</v>
      </c>
      <c r="F1091" s="4">
        <f ca="1">(CP*(D1091-K)&gt;0)*1</f>
        <v>0</v>
      </c>
      <c r="H1091" s="4">
        <v>1076</v>
      </c>
      <c r="I1091" s="3">
        <v>0.66773097197816056</v>
      </c>
      <c r="J1091" s="128">
        <v>1.3629746591429272E-3</v>
      </c>
      <c r="K1091" s="128"/>
      <c r="L1091" s="128">
        <v>4.2000000000000003E-2</v>
      </c>
      <c r="O1091" s="2"/>
    </row>
    <row r="1092" spans="2:15" x14ac:dyDescent="0.2">
      <c r="B1092" s="1">
        <v>1077</v>
      </c>
      <c r="C1092" s="5">
        <f ca="1">_xlfn.NORM.S.INV(RAND())</f>
        <v>-1.6515666249881533</v>
      </c>
      <c r="D1092" s="5">
        <f ca="1">S0*EXP((μ-0.5*σ*σ)*T+σ*SQRT(T)*$C1092)</f>
        <v>0.56465768054616594</v>
      </c>
      <c r="E1092" s="5">
        <f ca="1">MAX(0,CP*(D1092-K))</f>
        <v>0</v>
      </c>
      <c r="F1092" s="4">
        <f ca="1">(CP*(D1092-K)&gt;0)*1</f>
        <v>0</v>
      </c>
      <c r="H1092" s="4">
        <v>1077</v>
      </c>
      <c r="I1092" s="3">
        <v>0.66756975785962047</v>
      </c>
      <c r="J1092" s="128">
        <v>1.1649238720691432E-3</v>
      </c>
      <c r="K1092" s="128"/>
      <c r="L1092" s="128">
        <v>3.5200000000000002E-2</v>
      </c>
      <c r="O1092" s="2"/>
    </row>
    <row r="1093" spans="2:15" x14ac:dyDescent="0.2">
      <c r="B1093" s="1">
        <v>1078</v>
      </c>
      <c r="C1093" s="5">
        <f ca="1">_xlfn.NORM.S.INV(RAND())</f>
        <v>0.49026561745403546</v>
      </c>
      <c r="D1093" s="5">
        <f ca="1">S0*EXP((μ-0.5*σ*σ)*T+σ*SQRT(T)*$C1093)</f>
        <v>0.6974128040642541</v>
      </c>
      <c r="E1093" s="5">
        <f ca="1">MAX(0,CP*(D1093-K))</f>
        <v>0</v>
      </c>
      <c r="F1093" s="4">
        <f ca="1">(CP*(D1093-K)&gt;0)*1</f>
        <v>0</v>
      </c>
      <c r="H1093" s="4">
        <v>1078</v>
      </c>
      <c r="I1093" s="3">
        <v>0.66769498037853159</v>
      </c>
      <c r="J1093" s="128">
        <v>1.2148448333946533E-3</v>
      </c>
      <c r="K1093" s="128"/>
      <c r="L1093" s="128">
        <v>3.9399999999999998E-2</v>
      </c>
      <c r="O1093" s="2"/>
    </row>
    <row r="1094" spans="2:15" x14ac:dyDescent="0.2">
      <c r="B1094" s="1">
        <v>1079</v>
      </c>
      <c r="C1094" s="5">
        <f ca="1">_xlfn.NORM.S.INV(RAND())</f>
        <v>-0.402875585219448</v>
      </c>
      <c r="D1094" s="5">
        <f ca="1">S0*EXP((μ-0.5*σ*σ)*T+σ*SQRT(T)*$C1094)</f>
        <v>0.63862981195589918</v>
      </c>
      <c r="E1094" s="5">
        <f ca="1">MAX(0,CP*(D1094-K))</f>
        <v>0</v>
      </c>
      <c r="F1094" s="4">
        <f ca="1">(CP*(D1094-K)&gt;0)*1</f>
        <v>0</v>
      </c>
      <c r="H1094" s="4">
        <v>1079</v>
      </c>
      <c r="I1094" s="3">
        <v>0.66781516037630284</v>
      </c>
      <c r="J1094" s="128">
        <v>1.5180709776067857E-3</v>
      </c>
      <c r="K1094" s="128"/>
      <c r="L1094" s="128">
        <v>4.4200000000000003E-2</v>
      </c>
      <c r="O1094" s="2"/>
    </row>
    <row r="1095" spans="2:15" x14ac:dyDescent="0.2">
      <c r="B1095" s="1">
        <v>1080</v>
      </c>
      <c r="C1095" s="5">
        <f ca="1">_xlfn.NORM.S.INV(RAND())</f>
        <v>-0.23462218540807023</v>
      </c>
      <c r="D1095" s="5">
        <f ca="1">S0*EXP((μ-0.5*σ*σ)*T+σ*SQRT(T)*$C1095)</f>
        <v>0.64931154461797902</v>
      </c>
      <c r="E1095" s="5">
        <f ca="1">MAX(0,CP*(D1095-K))</f>
        <v>0</v>
      </c>
      <c r="F1095" s="4">
        <f ca="1">(CP*(D1095-K)&gt;0)*1</f>
        <v>0</v>
      </c>
      <c r="H1095" s="4">
        <v>1080</v>
      </c>
      <c r="I1095" s="3">
        <v>0.66780878739591931</v>
      </c>
      <c r="J1095" s="128">
        <v>1.508879934003146E-3</v>
      </c>
      <c r="K1095" s="128"/>
      <c r="L1095" s="128">
        <v>4.24E-2</v>
      </c>
      <c r="O1095" s="2"/>
    </row>
    <row r="1096" spans="2:15" x14ac:dyDescent="0.2">
      <c r="B1096" s="1">
        <v>1081</v>
      </c>
      <c r="C1096" s="5">
        <f ca="1">_xlfn.NORM.S.INV(RAND())</f>
        <v>-0.25353730765208382</v>
      </c>
      <c r="D1096" s="5">
        <f ca="1">S0*EXP((μ-0.5*σ*σ)*T+σ*SQRT(T)*$C1096)</f>
        <v>0.64810184059321507</v>
      </c>
      <c r="E1096" s="5">
        <f ca="1">MAX(0,CP*(D1096-K))</f>
        <v>0</v>
      </c>
      <c r="F1096" s="4">
        <f ca="1">(CP*(D1096-K)&gt;0)*1</f>
        <v>0</v>
      </c>
      <c r="H1096" s="4">
        <v>1081</v>
      </c>
      <c r="I1096" s="3">
        <v>0.66764584006479388</v>
      </c>
      <c r="J1096" s="128">
        <v>1.2266506450020829E-3</v>
      </c>
      <c r="K1096" s="128"/>
      <c r="L1096" s="128">
        <v>3.8800000000000001E-2</v>
      </c>
      <c r="O1096" s="2"/>
    </row>
    <row r="1097" spans="2:15" x14ac:dyDescent="0.2">
      <c r="B1097" s="1">
        <v>1082</v>
      </c>
      <c r="C1097" s="5">
        <f ca="1">_xlfn.NORM.S.INV(RAND())</f>
        <v>-0.95920181188520059</v>
      </c>
      <c r="D1097" s="5">
        <f ca="1">S0*EXP((μ-0.5*σ*σ)*T+σ*SQRT(T)*$C1097)</f>
        <v>0.60454624444610505</v>
      </c>
      <c r="E1097" s="5">
        <f ca="1">MAX(0,CP*(D1097-K))</f>
        <v>0</v>
      </c>
      <c r="F1097" s="4">
        <f ca="1">(CP*(D1097-K)&gt;0)*1</f>
        <v>0</v>
      </c>
      <c r="H1097" s="4">
        <v>1082</v>
      </c>
      <c r="I1097" s="3">
        <v>0.66777346730971898</v>
      </c>
      <c r="J1097" s="128">
        <v>1.3839004991930755E-3</v>
      </c>
      <c r="K1097" s="128"/>
      <c r="L1097" s="128">
        <v>3.9600000000000003E-2</v>
      </c>
      <c r="O1097" s="2"/>
    </row>
    <row r="1098" spans="2:15" x14ac:dyDescent="0.2">
      <c r="B1098" s="1">
        <v>1083</v>
      </c>
      <c r="C1098" s="5">
        <f ca="1">_xlfn.NORM.S.INV(RAND())</f>
        <v>0.77502469763547222</v>
      </c>
      <c r="D1098" s="5">
        <f ca="1">S0*EXP((μ-0.5*σ*σ)*T+σ*SQRT(T)*$C1098)</f>
        <v>0.71726916239772909</v>
      </c>
      <c r="E1098" s="5">
        <f ca="1">MAX(0,CP*(D1098-K))</f>
        <v>0</v>
      </c>
      <c r="F1098" s="4">
        <f ca="1">(CP*(D1098-K)&gt;0)*1</f>
        <v>0</v>
      </c>
      <c r="H1098" s="4">
        <v>1083</v>
      </c>
      <c r="I1098" s="3">
        <v>0.66756480458384182</v>
      </c>
      <c r="J1098" s="128">
        <v>1.1811797787628362E-3</v>
      </c>
      <c r="K1098" s="128"/>
      <c r="L1098" s="128">
        <v>3.56E-2</v>
      </c>
      <c r="O1098" s="2"/>
    </row>
    <row r="1099" spans="2:15" x14ac:dyDescent="0.2">
      <c r="B1099" s="1">
        <v>1084</v>
      </c>
      <c r="C1099" s="5">
        <f ca="1">_xlfn.NORM.S.INV(RAND())</f>
        <v>-0.71840738618692546</v>
      </c>
      <c r="D1099" s="5">
        <f ca="1">S0*EXP((μ-0.5*σ*σ)*T+σ*SQRT(T)*$C1099)</f>
        <v>0.61906946060341739</v>
      </c>
      <c r="E1099" s="5">
        <f ca="1">MAX(0,CP*(D1099-K))</f>
        <v>0</v>
      </c>
      <c r="F1099" s="4">
        <f ca="1">(CP*(D1099-K)&gt;0)*1</f>
        <v>0</v>
      </c>
      <c r="H1099" s="4">
        <v>1084</v>
      </c>
      <c r="I1099" s="3">
        <v>0.66779977422019487</v>
      </c>
      <c r="J1099" s="128">
        <v>1.6348500577113871E-3</v>
      </c>
      <c r="K1099" s="128"/>
      <c r="L1099" s="128">
        <v>4.58E-2</v>
      </c>
      <c r="O1099" s="2"/>
    </row>
    <row r="1100" spans="2:15" x14ac:dyDescent="0.2">
      <c r="B1100" s="1">
        <v>1085</v>
      </c>
      <c r="C1100" s="5">
        <f ca="1">_xlfn.NORM.S.INV(RAND())</f>
        <v>-0.39254404248162306</v>
      </c>
      <c r="D1100" s="5">
        <f ca="1">S0*EXP((μ-0.5*σ*σ)*T+σ*SQRT(T)*$C1100)</f>
        <v>0.63928062654758755</v>
      </c>
      <c r="E1100" s="5">
        <f ca="1">MAX(0,CP*(D1100-K))</f>
        <v>0</v>
      </c>
      <c r="F1100" s="4">
        <f ca="1">(CP*(D1100-K)&gt;0)*1</f>
        <v>0</v>
      </c>
      <c r="H1100" s="4">
        <v>1085</v>
      </c>
      <c r="I1100" s="3">
        <v>0.66774670398822167</v>
      </c>
      <c r="J1100" s="128">
        <v>1.3558037366044613E-3</v>
      </c>
      <c r="K1100" s="128"/>
      <c r="L1100" s="128">
        <v>4.2000000000000003E-2</v>
      </c>
      <c r="O1100" s="2"/>
    </row>
    <row r="1101" spans="2:15" x14ac:dyDescent="0.2">
      <c r="B1101" s="1">
        <v>1086</v>
      </c>
      <c r="C1101" s="5">
        <f ca="1">_xlfn.NORM.S.INV(RAND())</f>
        <v>-0.10380136632287351</v>
      </c>
      <c r="D1101" s="5">
        <f ca="1">S0*EXP((μ-0.5*σ*σ)*T+σ*SQRT(T)*$C1101)</f>
        <v>0.6577401424258017</v>
      </c>
      <c r="E1101" s="5">
        <f ca="1">MAX(0,CP*(D1101-K))</f>
        <v>0</v>
      </c>
      <c r="F1101" s="4">
        <f ca="1">(CP*(D1101-K)&gt;0)*1</f>
        <v>0</v>
      </c>
      <c r="H1101" s="4">
        <v>1086</v>
      </c>
      <c r="I1101" s="3">
        <v>0.66768487799238652</v>
      </c>
      <c r="J1101" s="128">
        <v>1.3020689029463006E-3</v>
      </c>
      <c r="K1101" s="128"/>
      <c r="L1101" s="128">
        <v>3.8600000000000002E-2</v>
      </c>
      <c r="O1101" s="2"/>
    </row>
    <row r="1102" spans="2:15" x14ac:dyDescent="0.2">
      <c r="B1102" s="1">
        <v>1087</v>
      </c>
      <c r="C1102" s="5">
        <f ca="1">_xlfn.NORM.S.INV(RAND())</f>
        <v>-0.77320211775080339</v>
      </c>
      <c r="D1102" s="5">
        <f ca="1">S0*EXP((μ-0.5*σ*σ)*T+σ*SQRT(T)*$C1102)</f>
        <v>0.61573421832671871</v>
      </c>
      <c r="E1102" s="5">
        <f ca="1">MAX(0,CP*(D1102-K))</f>
        <v>0</v>
      </c>
      <c r="F1102" s="4">
        <f ca="1">(CP*(D1102-K)&gt;0)*1</f>
        <v>0</v>
      </c>
      <c r="H1102" s="4">
        <v>1087</v>
      </c>
      <c r="I1102" s="3">
        <v>0.66781483203813286</v>
      </c>
      <c r="J1102" s="128">
        <v>1.4611133471468226E-3</v>
      </c>
      <c r="K1102" s="128"/>
      <c r="L1102" s="128">
        <v>4.3200000000000002E-2</v>
      </c>
      <c r="O1102" s="2"/>
    </row>
    <row r="1103" spans="2:15" x14ac:dyDescent="0.2">
      <c r="B1103" s="1">
        <v>1088</v>
      </c>
      <c r="C1103" s="5">
        <f ca="1">_xlfn.NORM.S.INV(RAND())</f>
        <v>-0.24704035275848119</v>
      </c>
      <c r="D1103" s="5">
        <f ca="1">S0*EXP((μ-0.5*σ*σ)*T+σ*SQRT(T)*$C1103)</f>
        <v>0.64851709468562635</v>
      </c>
      <c r="E1103" s="5">
        <f ca="1">MAX(0,CP*(D1103-K))</f>
        <v>0</v>
      </c>
      <c r="F1103" s="4">
        <f ca="1">(CP*(D1103-K)&gt;0)*1</f>
        <v>0</v>
      </c>
      <c r="H1103" s="4">
        <v>1088</v>
      </c>
      <c r="I1103" s="3">
        <v>0.66775255698790914</v>
      </c>
      <c r="J1103" s="128">
        <v>1.3534458426811768E-3</v>
      </c>
      <c r="K1103" s="128"/>
      <c r="L1103" s="128">
        <v>4.2200000000000001E-2</v>
      </c>
      <c r="O1103" s="2"/>
    </row>
    <row r="1104" spans="2:15" x14ac:dyDescent="0.2">
      <c r="B1104" s="1">
        <v>1089</v>
      </c>
      <c r="C1104" s="5">
        <f ca="1">_xlfn.NORM.S.INV(RAND())</f>
        <v>-0.45422462636854016</v>
      </c>
      <c r="D1104" s="5">
        <f ca="1">S0*EXP((μ-0.5*σ*σ)*T+σ*SQRT(T)*$C1104)</f>
        <v>0.63540499973817077</v>
      </c>
      <c r="E1104" s="5">
        <f ca="1">MAX(0,CP*(D1104-K))</f>
        <v>0</v>
      </c>
      <c r="F1104" s="4">
        <f ca="1">(CP*(D1104-K)&gt;0)*1</f>
        <v>0</v>
      </c>
      <c r="H1104" s="4">
        <v>1089</v>
      </c>
      <c r="I1104" s="3">
        <v>0.66782307278087838</v>
      </c>
      <c r="J1104" s="128">
        <v>1.465740002444068E-3</v>
      </c>
      <c r="K1104" s="128"/>
      <c r="L1104" s="128">
        <v>4.2599999999999999E-2</v>
      </c>
      <c r="O1104" s="2"/>
    </row>
    <row r="1105" spans="2:15" x14ac:dyDescent="0.2">
      <c r="B1105" s="1">
        <v>1090</v>
      </c>
      <c r="C1105" s="5">
        <f ca="1">_xlfn.NORM.S.INV(RAND())</f>
        <v>-1.9968767230936992</v>
      </c>
      <c r="D1105" s="5">
        <f ca="1">S0*EXP((μ-0.5*σ*σ)*T+σ*SQRT(T)*$C1105)</f>
        <v>0.54575841995676921</v>
      </c>
      <c r="E1105" s="5">
        <f ca="1">MAX(0,CP*(D1105-K))</f>
        <v>0</v>
      </c>
      <c r="F1105" s="4">
        <f ca="1">(CP*(D1105-K)&gt;0)*1</f>
        <v>0</v>
      </c>
      <c r="H1105" s="4">
        <v>1090</v>
      </c>
      <c r="I1105" s="3">
        <v>0.6678402998355093</v>
      </c>
      <c r="J1105" s="128">
        <v>1.469050552540664E-3</v>
      </c>
      <c r="K1105" s="128"/>
      <c r="L1105" s="128">
        <v>4.1200000000000001E-2</v>
      </c>
      <c r="O1105" s="2"/>
    </row>
    <row r="1106" spans="2:15" x14ac:dyDescent="0.2">
      <c r="B1106" s="1">
        <v>1091</v>
      </c>
      <c r="C1106" s="5">
        <f ca="1">_xlfn.NORM.S.INV(RAND())</f>
        <v>0.23919193574493519</v>
      </c>
      <c r="D1106" s="5">
        <f ca="1">S0*EXP((μ-0.5*σ*σ)*T+σ*SQRT(T)*$C1106)</f>
        <v>0.68036184033680469</v>
      </c>
      <c r="E1106" s="5">
        <f ca="1">MAX(0,CP*(D1106-K))</f>
        <v>0</v>
      </c>
      <c r="F1106" s="4">
        <f ca="1">(CP*(D1106-K)&gt;0)*1</f>
        <v>0</v>
      </c>
      <c r="H1106" s="4">
        <v>1091</v>
      </c>
      <c r="I1106" s="3">
        <v>0.66786801732469103</v>
      </c>
      <c r="J1106" s="128">
        <v>1.4410090088873746E-3</v>
      </c>
      <c r="K1106" s="128"/>
      <c r="L1106" s="128">
        <v>4.36E-2</v>
      </c>
      <c r="O1106" s="2"/>
    </row>
    <row r="1107" spans="2:15" x14ac:dyDescent="0.2">
      <c r="B1107" s="1">
        <v>1092</v>
      </c>
      <c r="C1107" s="5">
        <f ca="1">_xlfn.NORM.S.INV(RAND())</f>
        <v>0.68467158864462963</v>
      </c>
      <c r="D1107" s="5">
        <f ca="1">S0*EXP((μ-0.5*σ*σ)*T+σ*SQRT(T)*$C1107)</f>
        <v>0.71090832728522813</v>
      </c>
      <c r="E1107" s="5">
        <f ca="1">MAX(0,CP*(D1107-K))</f>
        <v>0</v>
      </c>
      <c r="F1107" s="4">
        <f ca="1">(CP*(D1107-K)&gt;0)*1</f>
        <v>0</v>
      </c>
      <c r="H1107" s="4">
        <v>1092</v>
      </c>
      <c r="I1107" s="3">
        <v>0.66773557118681848</v>
      </c>
      <c r="J1107" s="128">
        <v>1.4368029707700792E-3</v>
      </c>
      <c r="K1107" s="128"/>
      <c r="L1107" s="128">
        <v>4.3799999999999999E-2</v>
      </c>
      <c r="O1107" s="2"/>
    </row>
    <row r="1108" spans="2:15" x14ac:dyDescent="0.2">
      <c r="B1108" s="1">
        <v>1093</v>
      </c>
      <c r="C1108" s="5">
        <f ca="1">_xlfn.NORM.S.INV(RAND())</f>
        <v>-0.4133452190982147</v>
      </c>
      <c r="D1108" s="5">
        <f ca="1">S0*EXP((μ-0.5*σ*σ)*T+σ*SQRT(T)*$C1108)</f>
        <v>0.63797097448905504</v>
      </c>
      <c r="E1108" s="5">
        <f ca="1">MAX(0,CP*(D1108-K))</f>
        <v>0</v>
      </c>
      <c r="F1108" s="4">
        <f ca="1">(CP*(D1108-K)&gt;0)*1</f>
        <v>0</v>
      </c>
      <c r="H1108" s="4">
        <v>1093</v>
      </c>
      <c r="I1108" s="3">
        <v>0.66762608008848345</v>
      </c>
      <c r="J1108" s="128">
        <v>1.191752933980188E-3</v>
      </c>
      <c r="K1108" s="128"/>
      <c r="L1108" s="128">
        <v>3.8800000000000001E-2</v>
      </c>
      <c r="O1108" s="2"/>
    </row>
    <row r="1109" spans="2:15" x14ac:dyDescent="0.2">
      <c r="B1109" s="1">
        <v>1094</v>
      </c>
      <c r="C1109" s="5">
        <f ca="1">_xlfn.NORM.S.INV(RAND())</f>
        <v>0.10847182596643477</v>
      </c>
      <c r="D1109" s="5">
        <f ca="1">S0*EXP((μ-0.5*σ*σ)*T+σ*SQRT(T)*$C1109)</f>
        <v>0.67165002579891941</v>
      </c>
      <c r="E1109" s="5">
        <f ca="1">MAX(0,CP*(D1109-K))</f>
        <v>0</v>
      </c>
      <c r="F1109" s="4">
        <f ca="1">(CP*(D1109-K)&gt;0)*1</f>
        <v>0</v>
      </c>
      <c r="H1109" s="4">
        <v>1094</v>
      </c>
      <c r="I1109" s="3">
        <v>0.66750240613052469</v>
      </c>
      <c r="J1109" s="128">
        <v>1.0978957830945035E-3</v>
      </c>
      <c r="K1109" s="128"/>
      <c r="L1109" s="128">
        <v>3.8800000000000001E-2</v>
      </c>
      <c r="O1109" s="2"/>
    </row>
    <row r="1110" spans="2:15" x14ac:dyDescent="0.2">
      <c r="B1110" s="1">
        <v>1095</v>
      </c>
      <c r="C1110" s="5">
        <f ca="1">_xlfn.NORM.S.INV(RAND())</f>
        <v>0.74062060083729075</v>
      </c>
      <c r="D1110" s="5">
        <f ca="1">S0*EXP((μ-0.5*σ*σ)*T+σ*SQRT(T)*$C1110)</f>
        <v>0.71484044084717502</v>
      </c>
      <c r="E1110" s="5">
        <f ca="1">MAX(0,CP*(D1110-K))</f>
        <v>0</v>
      </c>
      <c r="F1110" s="4">
        <f ca="1">(CP*(D1110-K)&gt;0)*1</f>
        <v>0</v>
      </c>
      <c r="H1110" s="4">
        <v>1095</v>
      </c>
      <c r="I1110" s="3">
        <v>0.6677629601323819</v>
      </c>
      <c r="J1110" s="128">
        <v>1.4855154531770018E-3</v>
      </c>
      <c r="K1110" s="128"/>
      <c r="L1110" s="128">
        <v>4.4200000000000003E-2</v>
      </c>
      <c r="O1110" s="2"/>
    </row>
    <row r="1111" spans="2:15" x14ac:dyDescent="0.2">
      <c r="B1111" s="1">
        <v>1096</v>
      </c>
      <c r="C1111" s="5">
        <f ca="1">_xlfn.NORM.S.INV(RAND())</f>
        <v>-0.17131936112887913</v>
      </c>
      <c r="D1111" s="5">
        <f ca="1">S0*EXP((μ-0.5*σ*σ)*T+σ*SQRT(T)*$C1111)</f>
        <v>0.65337648165696138</v>
      </c>
      <c r="E1111" s="5">
        <f ca="1">MAX(0,CP*(D1111-K))</f>
        <v>0</v>
      </c>
      <c r="F1111" s="4">
        <f ca="1">(CP*(D1111-K)&gt;0)*1</f>
        <v>0</v>
      </c>
      <c r="H1111" s="4">
        <v>1096</v>
      </c>
      <c r="I1111" s="3">
        <v>0.66781501713847424</v>
      </c>
      <c r="J1111" s="128">
        <v>1.4787630130466689E-3</v>
      </c>
      <c r="K1111" s="128"/>
      <c r="L1111" s="128">
        <v>4.2200000000000001E-2</v>
      </c>
      <c r="O1111" s="2"/>
    </row>
    <row r="1112" spans="2:15" x14ac:dyDescent="0.2">
      <c r="B1112" s="1">
        <v>1097</v>
      </c>
      <c r="C1112" s="5">
        <f ca="1">_xlfn.NORM.S.INV(RAND())</f>
        <v>-2.0676862348271183</v>
      </c>
      <c r="D1112" s="5">
        <f ca="1">S0*EXP((μ-0.5*σ*σ)*T+σ*SQRT(T)*$C1112)</f>
        <v>0.54196178574365361</v>
      </c>
      <c r="E1112" s="5">
        <f ca="1">MAX(0,CP*(D1112-K))</f>
        <v>0</v>
      </c>
      <c r="F1112" s="4">
        <f ca="1">(CP*(D1112-K)&gt;0)*1</f>
        <v>0</v>
      </c>
      <c r="H1112" s="4">
        <v>1097</v>
      </c>
      <c r="I1112" s="3">
        <v>0.66781721442810327</v>
      </c>
      <c r="J1112" s="128">
        <v>1.4534095217968667E-3</v>
      </c>
      <c r="K1112" s="128"/>
      <c r="L1112" s="128">
        <v>4.3400000000000001E-2</v>
      </c>
      <c r="O1112" s="2"/>
    </row>
    <row r="1113" spans="2:15" x14ac:dyDescent="0.2">
      <c r="B1113" s="1">
        <v>1098</v>
      </c>
      <c r="C1113" s="5">
        <f ca="1">_xlfn.NORM.S.INV(RAND())</f>
        <v>-0.69422629273755321</v>
      </c>
      <c r="D1113" s="5">
        <f ca="1">S0*EXP((μ-0.5*σ*σ)*T+σ*SQRT(T)*$C1113)</f>
        <v>0.6205470535451878</v>
      </c>
      <c r="E1113" s="5">
        <f ca="1">MAX(0,CP*(D1113-K))</f>
        <v>0</v>
      </c>
      <c r="F1113" s="4">
        <f ca="1">(CP*(D1113-K)&gt;0)*1</f>
        <v>0</v>
      </c>
      <c r="H1113" s="4">
        <v>1098</v>
      </c>
      <c r="I1113" s="3">
        <v>0.66778817392924239</v>
      </c>
      <c r="J1113" s="128">
        <v>1.3738509012423013E-3</v>
      </c>
      <c r="K1113" s="128"/>
      <c r="L1113" s="128">
        <v>4.3400000000000001E-2</v>
      </c>
      <c r="O1113" s="2"/>
    </row>
    <row r="1114" spans="2:15" x14ac:dyDescent="0.2">
      <c r="B1114" s="1">
        <v>1099</v>
      </c>
      <c r="C1114" s="5">
        <f ca="1">_xlfn.NORM.S.INV(RAND())</f>
        <v>1.4252511750291448</v>
      </c>
      <c r="D1114" s="5">
        <f ca="1">S0*EXP((μ-0.5*σ*σ)*T+σ*SQRT(T)*$C1114)</f>
        <v>0.76475487233190942</v>
      </c>
      <c r="E1114" s="5">
        <f ca="1">MAX(0,CP*(D1114-K))</f>
        <v>0</v>
      </c>
      <c r="F1114" s="4">
        <f ca="1">(CP*(D1114-K)&gt;0)*1</f>
        <v>0</v>
      </c>
      <c r="H1114" s="4">
        <v>1099</v>
      </c>
      <c r="I1114" s="3">
        <v>0.66783296419856919</v>
      </c>
      <c r="J1114" s="128">
        <v>1.4386334876393895E-3</v>
      </c>
      <c r="K1114" s="128"/>
      <c r="L1114" s="128">
        <v>4.7399999999999998E-2</v>
      </c>
      <c r="O1114" s="2"/>
    </row>
    <row r="1115" spans="2:15" x14ac:dyDescent="0.2">
      <c r="B1115" s="1">
        <v>1100</v>
      </c>
      <c r="C1115" s="5">
        <f ca="1">_xlfn.NORM.S.INV(RAND())</f>
        <v>1.0017312002098051</v>
      </c>
      <c r="D1115" s="5">
        <f ca="1">S0*EXP((μ-0.5*σ*σ)*T+σ*SQRT(T)*$C1115)</f>
        <v>0.7334809247502494</v>
      </c>
      <c r="E1115" s="5">
        <f ca="1">MAX(0,CP*(D1115-K))</f>
        <v>0</v>
      </c>
      <c r="F1115" s="4">
        <f ca="1">(CP*(D1115-K)&gt;0)*1</f>
        <v>0</v>
      </c>
      <c r="H1115" s="4">
        <v>1100</v>
      </c>
      <c r="I1115" s="3">
        <v>0.66760502765675067</v>
      </c>
      <c r="J1115" s="128">
        <v>1.283249903857772E-3</v>
      </c>
      <c r="K1115" s="128"/>
      <c r="L1115" s="128">
        <v>3.78E-2</v>
      </c>
      <c r="O1115" s="2"/>
    </row>
    <row r="1116" spans="2:15" x14ac:dyDescent="0.2">
      <c r="B1116" s="1">
        <v>1101</v>
      </c>
      <c r="C1116" s="5">
        <f ca="1">_xlfn.NORM.S.INV(RAND())</f>
        <v>0.32728644575939569</v>
      </c>
      <c r="D1116" s="5">
        <f ca="1">S0*EXP((μ-0.5*σ*σ)*T+σ*SQRT(T)*$C1116)</f>
        <v>0.68629652713439271</v>
      </c>
      <c r="E1116" s="5">
        <f ca="1">MAX(0,CP*(D1116-K))</f>
        <v>0</v>
      </c>
      <c r="F1116" s="4">
        <f ca="1">(CP*(D1116-K)&gt;0)*1</f>
        <v>0</v>
      </c>
      <c r="H1116" s="4">
        <v>1101</v>
      </c>
      <c r="I1116" s="3">
        <v>0.66760790010149917</v>
      </c>
      <c r="J1116" s="128">
        <v>1.348927527413569E-3</v>
      </c>
      <c r="K1116" s="128"/>
      <c r="L1116" s="128">
        <v>3.8600000000000002E-2</v>
      </c>
      <c r="O1116" s="2"/>
    </row>
    <row r="1117" spans="2:15" x14ac:dyDescent="0.2">
      <c r="B1117" s="1">
        <v>1102</v>
      </c>
      <c r="C1117" s="5">
        <f ca="1">_xlfn.NORM.S.INV(RAND())</f>
        <v>-0.19278149536040129</v>
      </c>
      <c r="D1117" s="5">
        <f ca="1">S0*EXP((μ-0.5*σ*σ)*T+σ*SQRT(T)*$C1117)</f>
        <v>0.65199546554638477</v>
      </c>
      <c r="E1117" s="5">
        <f ca="1">MAX(0,CP*(D1117-K))</f>
        <v>0</v>
      </c>
      <c r="F1117" s="4">
        <f ca="1">(CP*(D1117-K)&gt;0)*1</f>
        <v>0</v>
      </c>
      <c r="H1117" s="4">
        <v>1102</v>
      </c>
      <c r="I1117" s="3">
        <v>0.6676036851919912</v>
      </c>
      <c r="J1117" s="128">
        <v>1.2280540240607624E-3</v>
      </c>
      <c r="K1117" s="128"/>
      <c r="L1117" s="128">
        <v>3.44E-2</v>
      </c>
      <c r="O1117" s="2"/>
    </row>
    <row r="1118" spans="2:15" x14ac:dyDescent="0.2">
      <c r="B1118" s="1">
        <v>1103</v>
      </c>
      <c r="C1118" s="5">
        <f ca="1">_xlfn.NORM.S.INV(RAND())</f>
        <v>-3.9771160026757547E-2</v>
      </c>
      <c r="D1118" s="5">
        <f ca="1">S0*EXP((μ-0.5*σ*σ)*T+σ*SQRT(T)*$C1118)</f>
        <v>0.66190530971637351</v>
      </c>
      <c r="E1118" s="5">
        <f ca="1">MAX(0,CP*(D1118-K))</f>
        <v>0</v>
      </c>
      <c r="F1118" s="4">
        <f ca="1">(CP*(D1118-K)&gt;0)*1</f>
        <v>0</v>
      </c>
      <c r="H1118" s="4">
        <v>1103</v>
      </c>
      <c r="I1118" s="3">
        <v>0.66765129588854633</v>
      </c>
      <c r="J1118" s="128">
        <v>1.2139687161882102E-3</v>
      </c>
      <c r="K1118" s="128"/>
      <c r="L1118" s="128">
        <v>0.04</v>
      </c>
      <c r="O1118" s="2"/>
    </row>
    <row r="1119" spans="2:15" x14ac:dyDescent="0.2">
      <c r="B1119" s="1">
        <v>1104</v>
      </c>
      <c r="C1119" s="5">
        <f ca="1">_xlfn.NORM.S.INV(RAND())</f>
        <v>0.77166211908096782</v>
      </c>
      <c r="D1119" s="5">
        <f ca="1">S0*EXP((μ-0.5*σ*σ)*T+σ*SQRT(T)*$C1119)</f>
        <v>0.71703142126100006</v>
      </c>
      <c r="E1119" s="5">
        <f ca="1">MAX(0,CP*(D1119-K))</f>
        <v>0</v>
      </c>
      <c r="F1119" s="4">
        <f ca="1">(CP*(D1119-K)&gt;0)*1</f>
        <v>0</v>
      </c>
      <c r="H1119" s="4">
        <v>1104</v>
      </c>
      <c r="I1119" s="3">
        <v>0.66774224688607398</v>
      </c>
      <c r="J1119" s="128">
        <v>1.2907004135931843E-3</v>
      </c>
      <c r="K1119" s="128"/>
      <c r="L1119" s="128">
        <v>4.4400000000000002E-2</v>
      </c>
      <c r="O1119" s="2"/>
    </row>
    <row r="1120" spans="2:15" x14ac:dyDescent="0.2">
      <c r="B1120" s="1">
        <v>1105</v>
      </c>
      <c r="C1120" s="5">
        <f ca="1">_xlfn.NORM.S.INV(RAND())</f>
        <v>1.7760424444697371</v>
      </c>
      <c r="D1120" s="5">
        <f ca="1">S0*EXP((μ-0.5*σ*σ)*T+σ*SQRT(T)*$C1120)</f>
        <v>0.79166551876313129</v>
      </c>
      <c r="E1120" s="5">
        <f ca="1">MAX(0,CP*(D1120-K))</f>
        <v>3.4655187631312812E-3</v>
      </c>
      <c r="F1120" s="4">
        <f ca="1">(CP*(D1120-K)&gt;0)*1</f>
        <v>1</v>
      </c>
      <c r="H1120" s="4">
        <v>1105</v>
      </c>
      <c r="I1120" s="3">
        <v>0.6677160248511832</v>
      </c>
      <c r="J1120" s="128">
        <v>1.2636857804935616E-3</v>
      </c>
      <c r="K1120" s="128"/>
      <c r="L1120" s="128">
        <v>4.1399999999999999E-2</v>
      </c>
      <c r="O1120" s="2"/>
    </row>
    <row r="1121" spans="2:15" x14ac:dyDescent="0.2">
      <c r="B1121" s="1">
        <v>1106</v>
      </c>
      <c r="C1121" s="5">
        <f ca="1">_xlfn.NORM.S.INV(RAND())</f>
        <v>-2.0560867621683996</v>
      </c>
      <c r="D1121" s="5">
        <f ca="1">S0*EXP((μ-0.5*σ*σ)*T+σ*SQRT(T)*$C1121)</f>
        <v>0.54258190751132462</v>
      </c>
      <c r="E1121" s="5">
        <f ca="1">MAX(0,CP*(D1121-K))</f>
        <v>0</v>
      </c>
      <c r="F1121" s="4">
        <f ca="1">(CP*(D1121-K)&gt;0)*1</f>
        <v>0</v>
      </c>
      <c r="H1121" s="4">
        <v>1106</v>
      </c>
      <c r="I1121" s="3">
        <v>0.66788525569608215</v>
      </c>
      <c r="J1121" s="128">
        <v>1.5448367662108729E-3</v>
      </c>
      <c r="K1121" s="128"/>
      <c r="L1121" s="128">
        <v>4.58E-2</v>
      </c>
      <c r="O1121" s="2"/>
    </row>
    <row r="1122" spans="2:15" x14ac:dyDescent="0.2">
      <c r="B1122" s="1">
        <v>1107</v>
      </c>
      <c r="C1122" s="5">
        <f ca="1">_xlfn.NORM.S.INV(RAND())</f>
        <v>-0.52951833407524918</v>
      </c>
      <c r="D1122" s="5">
        <f ca="1">S0*EXP((μ-0.5*σ*σ)*T+σ*SQRT(T)*$C1122)</f>
        <v>0.63070584071980351</v>
      </c>
      <c r="E1122" s="5">
        <f ca="1">MAX(0,CP*(D1122-K))</f>
        <v>0</v>
      </c>
      <c r="F1122" s="4">
        <f ca="1">(CP*(D1122-K)&gt;0)*1</f>
        <v>0</v>
      </c>
      <c r="H1122" s="4">
        <v>1107</v>
      </c>
      <c r="I1122" s="3">
        <v>0.66785413717081288</v>
      </c>
      <c r="J1122" s="128">
        <v>1.5291084046579867E-3</v>
      </c>
      <c r="K1122" s="128"/>
      <c r="L1122" s="128">
        <v>4.36E-2</v>
      </c>
      <c r="O1122" s="2"/>
    </row>
    <row r="1123" spans="2:15" x14ac:dyDescent="0.2">
      <c r="B1123" s="1">
        <v>1108</v>
      </c>
      <c r="C1123" s="5">
        <f ca="1">_xlfn.NORM.S.INV(RAND())</f>
        <v>0.48167674066020427</v>
      </c>
      <c r="D1123" s="5">
        <f ca="1">S0*EXP((μ-0.5*σ*σ)*T+σ*SQRT(T)*$C1123)</f>
        <v>0.69682251579548227</v>
      </c>
      <c r="E1123" s="5">
        <f ca="1">MAX(0,CP*(D1123-K))</f>
        <v>0</v>
      </c>
      <c r="F1123" s="4">
        <f ca="1">(CP*(D1123-K)&gt;0)*1</f>
        <v>0</v>
      </c>
      <c r="H1123" s="4">
        <v>1108</v>
      </c>
      <c r="I1123" s="3">
        <v>0.6676845521955096</v>
      </c>
      <c r="J1123" s="128">
        <v>1.38620691968374E-3</v>
      </c>
      <c r="K1123" s="128"/>
      <c r="L1123" s="128">
        <v>4.1399999999999999E-2</v>
      </c>
      <c r="O1123" s="2"/>
    </row>
    <row r="1124" spans="2:15" x14ac:dyDescent="0.2">
      <c r="B1124" s="1">
        <v>1109</v>
      </c>
      <c r="C1124" s="5">
        <f ca="1">_xlfn.NORM.S.INV(RAND())</f>
        <v>1.1255872201219339</v>
      </c>
      <c r="D1124" s="5">
        <f ca="1">S0*EXP((μ-0.5*σ*σ)*T+σ*SQRT(T)*$C1124)</f>
        <v>0.74249210904135299</v>
      </c>
      <c r="E1124" s="5">
        <f ca="1">MAX(0,CP*(D1124-K))</f>
        <v>0</v>
      </c>
      <c r="F1124" s="4">
        <f ca="1">(CP*(D1124-K)&gt;0)*1</f>
        <v>0</v>
      </c>
      <c r="H1124" s="4">
        <v>1109</v>
      </c>
      <c r="I1124" s="3">
        <v>0.66770643641081484</v>
      </c>
      <c r="J1124" s="128">
        <v>1.4572266206890712E-3</v>
      </c>
      <c r="K1124" s="128"/>
      <c r="L1124" s="128">
        <v>4.2000000000000003E-2</v>
      </c>
      <c r="O1124" s="2"/>
    </row>
    <row r="1125" spans="2:15" x14ac:dyDescent="0.2">
      <c r="B1125" s="1">
        <v>1110</v>
      </c>
      <c r="C1125" s="5">
        <f ca="1">_xlfn.NORM.S.INV(RAND())</f>
        <v>-2.8418125687262454E-2</v>
      </c>
      <c r="D1125" s="5">
        <f ca="1">S0*EXP((μ-0.5*σ*σ)*T+σ*SQRT(T)*$C1125)</f>
        <v>0.66264657319842213</v>
      </c>
      <c r="E1125" s="5">
        <f ca="1">MAX(0,CP*(D1125-K))</f>
        <v>0</v>
      </c>
      <c r="F1125" s="4">
        <f ca="1">(CP*(D1125-K)&gt;0)*1</f>
        <v>0</v>
      </c>
      <c r="H1125" s="4">
        <v>1110</v>
      </c>
      <c r="I1125" s="3">
        <v>0.66769464574246518</v>
      </c>
      <c r="J1125" s="128">
        <v>1.3491056451158993E-3</v>
      </c>
      <c r="K1125" s="128"/>
      <c r="L1125" s="128">
        <v>4.2999999999999997E-2</v>
      </c>
      <c r="O1125" s="2"/>
    </row>
    <row r="1126" spans="2:15" x14ac:dyDescent="0.2">
      <c r="B1126" s="1">
        <v>1111</v>
      </c>
      <c r="C1126" s="5">
        <f ca="1">_xlfn.NORM.S.INV(RAND())</f>
        <v>0.61118538079112306</v>
      </c>
      <c r="D1126" s="5">
        <f ca="1">S0*EXP((μ-0.5*σ*σ)*T+σ*SQRT(T)*$C1126)</f>
        <v>0.70577653681344621</v>
      </c>
      <c r="E1126" s="5">
        <f ca="1">MAX(0,CP*(D1126-K))</f>
        <v>0</v>
      </c>
      <c r="F1126" s="4">
        <f ca="1">(CP*(D1126-K)&gt;0)*1</f>
        <v>0</v>
      </c>
      <c r="H1126" s="4">
        <v>1111</v>
      </c>
      <c r="I1126" s="3">
        <v>0.66768311780528355</v>
      </c>
      <c r="J1126" s="128">
        <v>1.3122090435966048E-3</v>
      </c>
      <c r="K1126" s="128"/>
      <c r="L1126" s="128">
        <v>3.8600000000000002E-2</v>
      </c>
      <c r="O1126" s="2"/>
    </row>
    <row r="1127" spans="2:15" x14ac:dyDescent="0.2">
      <c r="B1127" s="1">
        <v>1112</v>
      </c>
      <c r="C1127" s="5">
        <f ca="1">_xlfn.NORM.S.INV(RAND())</f>
        <v>-0.14192774391251423</v>
      </c>
      <c r="D1127" s="5">
        <f ca="1">S0*EXP((μ-0.5*σ*σ)*T+σ*SQRT(T)*$C1127)</f>
        <v>0.65527248050452802</v>
      </c>
      <c r="E1127" s="5">
        <f ca="1">MAX(0,CP*(D1127-K))</f>
        <v>0</v>
      </c>
      <c r="F1127" s="4">
        <f ca="1">(CP*(D1127-K)&gt;0)*1</f>
        <v>0</v>
      </c>
      <c r="H1127" s="4">
        <v>1112</v>
      </c>
      <c r="I1127" s="3">
        <v>0.66774001973829766</v>
      </c>
      <c r="J1127" s="128">
        <v>1.2994839582017245E-3</v>
      </c>
      <c r="K1127" s="128"/>
      <c r="L1127" s="128">
        <v>4.0599999999999997E-2</v>
      </c>
      <c r="O1127" s="2"/>
    </row>
    <row r="1128" spans="2:15" x14ac:dyDescent="0.2">
      <c r="B1128" s="1">
        <v>1113</v>
      </c>
      <c r="C1128" s="5">
        <f ca="1">_xlfn.NORM.S.INV(RAND())</f>
        <v>7.7783499015445789E-2</v>
      </c>
      <c r="D1128" s="5">
        <f ca="1">S0*EXP((μ-0.5*σ*σ)*T+σ*SQRT(T)*$C1128)</f>
        <v>0.66962102994871819</v>
      </c>
      <c r="E1128" s="5">
        <f ca="1">MAX(0,CP*(D1128-K))</f>
        <v>0</v>
      </c>
      <c r="F1128" s="4">
        <f ca="1">(CP*(D1128-K)&gt;0)*1</f>
        <v>0</v>
      </c>
      <c r="H1128" s="4">
        <v>1113</v>
      </c>
      <c r="I1128" s="3">
        <v>0.66778751081797771</v>
      </c>
      <c r="J1128" s="128">
        <v>1.4013682015093752E-3</v>
      </c>
      <c r="K1128" s="128"/>
      <c r="L1128" s="128">
        <v>4.2999999999999997E-2</v>
      </c>
      <c r="O1128" s="2"/>
    </row>
    <row r="1129" spans="2:15" x14ac:dyDescent="0.2">
      <c r="B1129" s="1">
        <v>1114</v>
      </c>
      <c r="C1129" s="5">
        <f ca="1">_xlfn.NORM.S.INV(RAND())</f>
        <v>-0.97081139673279704</v>
      </c>
      <c r="D1129" s="5">
        <f ca="1">S0*EXP((μ-0.5*σ*σ)*T+σ*SQRT(T)*$C1129)</f>
        <v>0.60385470107326522</v>
      </c>
      <c r="E1129" s="5">
        <f ca="1">MAX(0,CP*(D1129-K))</f>
        <v>0</v>
      </c>
      <c r="F1129" s="4">
        <f ca="1">(CP*(D1129-K)&gt;0)*1</f>
        <v>0</v>
      </c>
      <c r="H1129" s="4">
        <v>1114</v>
      </c>
      <c r="I1129" s="3">
        <v>0.66756554917994404</v>
      </c>
      <c r="J1129" s="128">
        <v>1.1749667687763192E-3</v>
      </c>
      <c r="K1129" s="128"/>
      <c r="L1129" s="128">
        <v>3.6400000000000002E-2</v>
      </c>
      <c r="O1129" s="2"/>
    </row>
    <row r="1130" spans="2:15" x14ac:dyDescent="0.2">
      <c r="B1130" s="1">
        <v>1115</v>
      </c>
      <c r="C1130" s="5">
        <f ca="1">_xlfn.NORM.S.INV(RAND())</f>
        <v>-0.94983227010352078</v>
      </c>
      <c r="D1130" s="5">
        <f ca="1">S0*EXP((μ-0.5*σ*σ)*T+σ*SQRT(T)*$C1130)</f>
        <v>0.60510493354677752</v>
      </c>
      <c r="E1130" s="5">
        <f ca="1">MAX(0,CP*(D1130-K))</f>
        <v>0</v>
      </c>
      <c r="F1130" s="4">
        <f ca="1">(CP*(D1130-K)&gt;0)*1</f>
        <v>0</v>
      </c>
      <c r="H1130" s="4">
        <v>1115</v>
      </c>
      <c r="I1130" s="3">
        <v>0.66784706678537897</v>
      </c>
      <c r="J1130" s="128">
        <v>1.5823601119290681E-3</v>
      </c>
      <c r="K1130" s="128"/>
      <c r="L1130" s="128">
        <v>4.5999999999999999E-2</v>
      </c>
      <c r="O1130" s="2"/>
    </row>
    <row r="1131" spans="2:15" x14ac:dyDescent="0.2">
      <c r="B1131" s="1">
        <v>1116</v>
      </c>
      <c r="C1131" s="5">
        <f ca="1">_xlfn.NORM.S.INV(RAND())</f>
        <v>1.461821279641371</v>
      </c>
      <c r="D1131" s="5">
        <f ca="1">S0*EXP((μ-0.5*σ*σ)*T+σ*SQRT(T)*$C1131)</f>
        <v>0.76751706077421</v>
      </c>
      <c r="E1131" s="5">
        <f ca="1">MAX(0,CP*(D1131-K))</f>
        <v>0</v>
      </c>
      <c r="F1131" s="4">
        <f ca="1">(CP*(D1131-K)&gt;0)*1</f>
        <v>0</v>
      </c>
      <c r="H1131" s="4">
        <v>1116</v>
      </c>
      <c r="I1131" s="3">
        <v>0.66781692910477564</v>
      </c>
      <c r="J1131" s="128">
        <v>1.4293523955337625E-3</v>
      </c>
      <c r="K1131" s="128"/>
      <c r="L1131" s="128">
        <v>4.1399999999999999E-2</v>
      </c>
      <c r="O1131" s="2"/>
    </row>
    <row r="1132" spans="2:15" x14ac:dyDescent="0.2">
      <c r="B1132" s="1">
        <v>1117</v>
      </c>
      <c r="C1132" s="5">
        <f ca="1">_xlfn.NORM.S.INV(RAND())</f>
        <v>-8.2685887949057027E-2</v>
      </c>
      <c r="D1132" s="5">
        <f ca="1">S0*EXP((μ-0.5*σ*σ)*T+σ*SQRT(T)*$C1132)</f>
        <v>0.65911080044700687</v>
      </c>
      <c r="E1132" s="5">
        <f ca="1">MAX(0,CP*(D1132-K))</f>
        <v>0</v>
      </c>
      <c r="F1132" s="4">
        <f ca="1">(CP*(D1132-K)&gt;0)*1</f>
        <v>0</v>
      </c>
      <c r="H1132" s="4">
        <v>1117</v>
      </c>
      <c r="I1132" s="3">
        <v>0.66773808534257251</v>
      </c>
      <c r="J1132" s="128">
        <v>1.3119359798446023E-3</v>
      </c>
      <c r="K1132" s="128"/>
      <c r="L1132" s="128">
        <v>4.3200000000000002E-2</v>
      </c>
      <c r="O1132" s="2"/>
    </row>
    <row r="1133" spans="2:15" x14ac:dyDescent="0.2">
      <c r="B1133" s="1">
        <v>1118</v>
      </c>
      <c r="C1133" s="5">
        <f ca="1">_xlfn.NORM.S.INV(RAND())</f>
        <v>-0.20405106586437935</v>
      </c>
      <c r="D1133" s="5">
        <f ca="1">S0*EXP((μ-0.5*σ*σ)*T+σ*SQRT(T)*$C1133)</f>
        <v>0.65127147578545752</v>
      </c>
      <c r="E1133" s="5">
        <f ca="1">MAX(0,CP*(D1133-K))</f>
        <v>0</v>
      </c>
      <c r="F1133" s="4">
        <f ca="1">(CP*(D1133-K)&gt;0)*1</f>
        <v>0</v>
      </c>
      <c r="H1133" s="4">
        <v>1118</v>
      </c>
      <c r="I1133" s="3">
        <v>0.667741303550905</v>
      </c>
      <c r="J1133" s="128">
        <v>1.3542260140196425E-3</v>
      </c>
      <c r="K1133" s="128"/>
      <c r="L1133" s="128">
        <v>4.6199999999999998E-2</v>
      </c>
      <c r="O1133" s="2"/>
    </row>
    <row r="1134" spans="2:15" x14ac:dyDescent="0.2">
      <c r="B1134" s="1">
        <v>1119</v>
      </c>
      <c r="C1134" s="5">
        <f ca="1">_xlfn.NORM.S.INV(RAND())</f>
        <v>-0.13894558883211289</v>
      </c>
      <c r="D1134" s="5">
        <f ca="1">S0*EXP((μ-0.5*σ*σ)*T+σ*SQRT(T)*$C1134)</f>
        <v>0.65546516098365237</v>
      </c>
      <c r="E1134" s="5">
        <f ca="1">MAX(0,CP*(D1134-K))</f>
        <v>0</v>
      </c>
      <c r="F1134" s="4">
        <f ca="1">(CP*(D1134-K)&gt;0)*1</f>
        <v>0</v>
      </c>
      <c r="H1134" s="4">
        <v>1119</v>
      </c>
      <c r="I1134" s="3">
        <v>0.667852848794111</v>
      </c>
      <c r="J1134" s="128">
        <v>1.518655684669882E-3</v>
      </c>
      <c r="K1134" s="128"/>
      <c r="L1134" s="128">
        <v>4.4400000000000002E-2</v>
      </c>
      <c r="O1134" s="2"/>
    </row>
    <row r="1135" spans="2:15" x14ac:dyDescent="0.2">
      <c r="B1135" s="1">
        <v>1120</v>
      </c>
      <c r="C1135" s="5">
        <f ca="1">_xlfn.NORM.S.INV(RAND())</f>
        <v>-0.80903315856471936</v>
      </c>
      <c r="D1135" s="5">
        <f ca="1">S0*EXP((μ-0.5*σ*σ)*T+σ*SQRT(T)*$C1135)</f>
        <v>0.6135629795398283</v>
      </c>
      <c r="E1135" s="5">
        <f ca="1">MAX(0,CP*(D1135-K))</f>
        <v>0</v>
      </c>
      <c r="F1135" s="4">
        <f ca="1">(CP*(D1135-K)&gt;0)*1</f>
        <v>0</v>
      </c>
      <c r="H1135" s="4">
        <v>1120</v>
      </c>
      <c r="I1135" s="3">
        <v>0.66777330270712876</v>
      </c>
      <c r="J1135" s="128">
        <v>1.3578083099991278E-3</v>
      </c>
      <c r="K1135" s="128"/>
      <c r="L1135" s="128">
        <v>4.4200000000000003E-2</v>
      </c>
      <c r="O1135" s="2"/>
    </row>
    <row r="1136" spans="2:15" x14ac:dyDescent="0.2">
      <c r="B1136" s="1">
        <v>1121</v>
      </c>
      <c r="C1136" s="5">
        <f ca="1">_xlfn.NORM.S.INV(RAND())</f>
        <v>-1.0782606853097212</v>
      </c>
      <c r="D1136" s="5">
        <f ca="1">S0*EXP((μ-0.5*σ*σ)*T+σ*SQRT(T)*$C1136)</f>
        <v>0.59749173697045477</v>
      </c>
      <c r="E1136" s="5">
        <f ca="1">MAX(0,CP*(D1136-K))</f>
        <v>0</v>
      </c>
      <c r="F1136" s="4">
        <f ca="1">(CP*(D1136-K)&gt;0)*1</f>
        <v>0</v>
      </c>
      <c r="H1136" s="4">
        <v>1121</v>
      </c>
      <c r="I1136" s="3">
        <v>0.66759283548008019</v>
      </c>
      <c r="J1136" s="128">
        <v>1.2436648500009329E-3</v>
      </c>
      <c r="K1136" s="128"/>
      <c r="L1136" s="128">
        <v>3.6799999999999999E-2</v>
      </c>
      <c r="O1136" s="2"/>
    </row>
    <row r="1137" spans="2:15" x14ac:dyDescent="0.2">
      <c r="B1137" s="1">
        <v>1122</v>
      </c>
      <c r="C1137" s="5">
        <f ca="1">_xlfn.NORM.S.INV(RAND())</f>
        <v>-4.4960721053466803E-2</v>
      </c>
      <c r="D1137" s="5">
        <f ca="1">S0*EXP((μ-0.5*σ*σ)*T+σ*SQRT(T)*$C1137)</f>
        <v>0.66156674857078712</v>
      </c>
      <c r="E1137" s="5">
        <f ca="1">MAX(0,CP*(D1137-K))</f>
        <v>0</v>
      </c>
      <c r="F1137" s="4">
        <f ca="1">(CP*(D1137-K)&gt;0)*1</f>
        <v>0</v>
      </c>
      <c r="H1137" s="4">
        <v>1122</v>
      </c>
      <c r="I1137" s="3">
        <v>0.6678096740882602</v>
      </c>
      <c r="J1137" s="128">
        <v>1.5226929687568082E-3</v>
      </c>
      <c r="K1137" s="128"/>
      <c r="L1137" s="128">
        <v>4.3999999999999997E-2</v>
      </c>
      <c r="O1137" s="2"/>
    </row>
    <row r="1138" spans="2:15" x14ac:dyDescent="0.2">
      <c r="B1138" s="1">
        <v>1123</v>
      </c>
      <c r="C1138" s="5">
        <f ca="1">_xlfn.NORM.S.INV(RAND())</f>
        <v>0.78941093582834898</v>
      </c>
      <c r="D1138" s="5">
        <f ca="1">S0*EXP((μ-0.5*σ*σ)*T+σ*SQRT(T)*$C1138)</f>
        <v>0.71828718903966549</v>
      </c>
      <c r="E1138" s="5">
        <f ca="1">MAX(0,CP*(D1138-K))</f>
        <v>0</v>
      </c>
      <c r="F1138" s="4">
        <f ca="1">(CP*(D1138-K)&gt;0)*1</f>
        <v>0</v>
      </c>
      <c r="H1138" s="4">
        <v>1123</v>
      </c>
      <c r="I1138" s="3">
        <v>0.66783325169000185</v>
      </c>
      <c r="J1138" s="128">
        <v>1.5303274442985463E-3</v>
      </c>
      <c r="K1138" s="128"/>
      <c r="L1138" s="128">
        <v>4.3999999999999997E-2</v>
      </c>
      <c r="O1138" s="2"/>
    </row>
    <row r="1139" spans="2:15" x14ac:dyDescent="0.2">
      <c r="B1139" s="1">
        <v>1124</v>
      </c>
      <c r="C1139" s="5">
        <f ca="1">_xlfn.NORM.S.INV(RAND())</f>
        <v>-0.74950048212712295</v>
      </c>
      <c r="D1139" s="5">
        <f ca="1">S0*EXP((μ-0.5*σ*σ)*T+σ*SQRT(T)*$C1139)</f>
        <v>0.61717467709162221</v>
      </c>
      <c r="E1139" s="5">
        <f ca="1">MAX(0,CP*(D1139-K))</f>
        <v>0</v>
      </c>
      <c r="F1139" s="4">
        <f ca="1">(CP*(D1139-K)&gt;0)*1</f>
        <v>0</v>
      </c>
      <c r="H1139" s="4">
        <v>1124</v>
      </c>
      <c r="I1139" s="3">
        <v>0.66774332773110745</v>
      </c>
      <c r="J1139" s="128">
        <v>1.3376981680348087E-3</v>
      </c>
      <c r="K1139" s="128"/>
      <c r="L1139" s="128">
        <v>4.1200000000000001E-2</v>
      </c>
      <c r="O1139" s="2"/>
    </row>
    <row r="1140" spans="2:15" x14ac:dyDescent="0.2">
      <c r="B1140" s="1">
        <v>1125</v>
      </c>
      <c r="C1140" s="5">
        <f ca="1">_xlfn.NORM.S.INV(RAND())</f>
        <v>0.4760281953867605</v>
      </c>
      <c r="D1140" s="5">
        <f ca="1">S0*EXP((μ-0.5*σ*σ)*T+σ*SQRT(T)*$C1140)</f>
        <v>0.69643458023511617</v>
      </c>
      <c r="E1140" s="5">
        <f ca="1">MAX(0,CP*(D1140-K))</f>
        <v>0</v>
      </c>
      <c r="F1140" s="4">
        <f ca="1">(CP*(D1140-K)&gt;0)*1</f>
        <v>0</v>
      </c>
      <c r="H1140" s="4">
        <v>1125</v>
      </c>
      <c r="I1140" s="3">
        <v>0.66768907485173812</v>
      </c>
      <c r="J1140" s="128">
        <v>1.2143156694364346E-3</v>
      </c>
      <c r="K1140" s="128"/>
      <c r="L1140" s="128">
        <v>4.2599999999999999E-2</v>
      </c>
      <c r="O1140" s="2"/>
    </row>
    <row r="1141" spans="2:15" x14ac:dyDescent="0.2">
      <c r="B1141" s="1">
        <v>1126</v>
      </c>
      <c r="C1141" s="5">
        <f ca="1">_xlfn.NORM.S.INV(RAND())</f>
        <v>9.4476873244685143E-3</v>
      </c>
      <c r="D1141" s="5">
        <f ca="1">S0*EXP((μ-0.5*σ*σ)*T+σ*SQRT(T)*$C1141)</f>
        <v>0.66512491867620793</v>
      </c>
      <c r="E1141" s="5">
        <f ca="1">MAX(0,CP*(D1141-K))</f>
        <v>0</v>
      </c>
      <c r="F1141" s="4">
        <f ca="1">(CP*(D1141-K)&gt;0)*1</f>
        <v>0</v>
      </c>
      <c r="H1141" s="4">
        <v>1126</v>
      </c>
      <c r="I1141" s="3">
        <v>0.66772028907357328</v>
      </c>
      <c r="J1141" s="128">
        <v>1.250960657938064E-3</v>
      </c>
      <c r="K1141" s="128"/>
      <c r="L1141" s="128">
        <v>3.8399999999999997E-2</v>
      </c>
      <c r="O1141" s="2"/>
    </row>
    <row r="1142" spans="2:15" x14ac:dyDescent="0.2">
      <c r="B1142" s="1">
        <v>1127</v>
      </c>
      <c r="C1142" s="5">
        <f ca="1">_xlfn.NORM.S.INV(RAND())</f>
        <v>-1.4901789543730213</v>
      </c>
      <c r="D1142" s="5">
        <f ca="1">S0*EXP((μ-0.5*σ*σ)*T+σ*SQRT(T)*$C1142)</f>
        <v>0.57371369029543484</v>
      </c>
      <c r="E1142" s="5">
        <f ca="1">MAX(0,CP*(D1142-K))</f>
        <v>0</v>
      </c>
      <c r="F1142" s="4">
        <f ca="1">(CP*(D1142-K)&gt;0)*1</f>
        <v>0</v>
      </c>
      <c r="H1142" s="4">
        <v>1127</v>
      </c>
      <c r="I1142" s="3">
        <v>0.66770952552092355</v>
      </c>
      <c r="J1142" s="128">
        <v>1.403216680562906E-3</v>
      </c>
      <c r="K1142" s="128"/>
      <c r="L1142" s="128">
        <v>4.1799999999999997E-2</v>
      </c>
      <c r="O1142" s="2"/>
    </row>
    <row r="1143" spans="2:15" x14ac:dyDescent="0.2">
      <c r="B1143" s="1">
        <v>1128</v>
      </c>
      <c r="C1143" s="5">
        <f ca="1">_xlfn.NORM.S.INV(RAND())</f>
        <v>0.82922483649985868</v>
      </c>
      <c r="D1143" s="5">
        <f ca="1">S0*EXP((μ-0.5*σ*σ)*T+σ*SQRT(T)*$C1143)</f>
        <v>0.72111211574682788</v>
      </c>
      <c r="E1143" s="5">
        <f ca="1">MAX(0,CP*(D1143-K))</f>
        <v>0</v>
      </c>
      <c r="F1143" s="4">
        <f ca="1">(CP*(D1143-K)&gt;0)*1</f>
        <v>0</v>
      </c>
      <c r="H1143" s="4">
        <v>1128</v>
      </c>
      <c r="I1143" s="3">
        <v>0.6677187574674609</v>
      </c>
      <c r="J1143" s="128">
        <v>1.4734806573939085E-3</v>
      </c>
      <c r="K1143" s="128"/>
      <c r="L1143" s="128">
        <v>4.4600000000000001E-2</v>
      </c>
      <c r="O1143" s="2"/>
    </row>
    <row r="1144" spans="2:15" x14ac:dyDescent="0.2">
      <c r="B1144" s="1">
        <v>1129</v>
      </c>
      <c r="C1144" s="5">
        <f ca="1">_xlfn.NORM.S.INV(RAND())</f>
        <v>1.0880715616946801</v>
      </c>
      <c r="D1144" s="5">
        <f ca="1">S0*EXP((μ-0.5*σ*σ)*T+σ*SQRT(T)*$C1144)</f>
        <v>0.73975101933643828</v>
      </c>
      <c r="E1144" s="5">
        <f ca="1">MAX(0,CP*(D1144-K))</f>
        <v>0</v>
      </c>
      <c r="F1144" s="4">
        <f ca="1">(CP*(D1144-K)&gt;0)*1</f>
        <v>0</v>
      </c>
      <c r="H1144" s="4">
        <v>1129</v>
      </c>
      <c r="I1144" s="3">
        <v>0.66769195918785196</v>
      </c>
      <c r="J1144" s="128">
        <v>1.2643147749045723E-3</v>
      </c>
      <c r="K1144" s="128"/>
      <c r="L1144" s="128">
        <v>4.0599999999999997E-2</v>
      </c>
      <c r="O1144" s="2"/>
    </row>
    <row r="1145" spans="2:15" x14ac:dyDescent="0.2">
      <c r="B1145" s="1">
        <v>1130</v>
      </c>
      <c r="C1145" s="5">
        <f ca="1">_xlfn.NORM.S.INV(RAND())</f>
        <v>-0.42887571303938532</v>
      </c>
      <c r="D1145" s="5">
        <f ca="1">S0*EXP((μ-0.5*σ*σ)*T+σ*SQRT(T)*$C1145)</f>
        <v>0.63699491682712805</v>
      </c>
      <c r="E1145" s="5">
        <f ca="1">MAX(0,CP*(D1145-K))</f>
        <v>0</v>
      </c>
      <c r="F1145" s="4">
        <f ca="1">(CP*(D1145-K)&gt;0)*1</f>
        <v>0</v>
      </c>
      <c r="H1145" s="4">
        <v>1130</v>
      </c>
      <c r="I1145" s="3">
        <v>0.66783616934518675</v>
      </c>
      <c r="J1145" s="128">
        <v>1.4282090657729085E-3</v>
      </c>
      <c r="K1145" s="128"/>
      <c r="L1145" s="128">
        <v>4.4600000000000001E-2</v>
      </c>
      <c r="O1145" s="2"/>
    </row>
    <row r="1146" spans="2:15" x14ac:dyDescent="0.2">
      <c r="B1146" s="1">
        <v>1131</v>
      </c>
      <c r="C1146" s="5">
        <f ca="1">_xlfn.NORM.S.INV(RAND())</f>
        <v>-0.75445989504557864</v>
      </c>
      <c r="D1146" s="5">
        <f ca="1">S0*EXP((μ-0.5*σ*σ)*T+σ*SQRT(T)*$C1146)</f>
        <v>0.61687299194994549</v>
      </c>
      <c r="E1146" s="5">
        <f ca="1">MAX(0,CP*(D1146-K))</f>
        <v>0</v>
      </c>
      <c r="F1146" s="4">
        <f ca="1">(CP*(D1146-K)&gt;0)*1</f>
        <v>0</v>
      </c>
      <c r="H1146" s="4">
        <v>1131</v>
      </c>
      <c r="I1146" s="3">
        <v>0.66771378880645094</v>
      </c>
      <c r="J1146" s="128">
        <v>1.3367643396124823E-3</v>
      </c>
      <c r="K1146" s="128"/>
      <c r="L1146" s="128">
        <v>3.8600000000000002E-2</v>
      </c>
      <c r="O1146" s="2"/>
    </row>
    <row r="1147" spans="2:15" x14ac:dyDescent="0.2">
      <c r="B1147" s="1">
        <v>1132</v>
      </c>
      <c r="C1147" s="5">
        <f ca="1">_xlfn.NORM.S.INV(RAND())</f>
        <v>-0.36894374893067849</v>
      </c>
      <c r="D1147" s="5">
        <f ca="1">S0*EXP((μ-0.5*σ*σ)*T+σ*SQRT(T)*$C1147)</f>
        <v>0.6407697681672011</v>
      </c>
      <c r="E1147" s="5">
        <f ca="1">MAX(0,CP*(D1147-K))</f>
        <v>0</v>
      </c>
      <c r="F1147" s="4">
        <f ca="1">(CP*(D1147-K)&gt;0)*1</f>
        <v>0</v>
      </c>
      <c r="H1147" s="4">
        <v>1132</v>
      </c>
      <c r="I1147" s="3">
        <v>0.66784284762255663</v>
      </c>
      <c r="J1147" s="128">
        <v>1.4741452667702878E-3</v>
      </c>
      <c r="K1147" s="128"/>
      <c r="L1147" s="128">
        <v>4.2799999999999998E-2</v>
      </c>
      <c r="O1147" s="2"/>
    </row>
    <row r="1148" spans="2:15" x14ac:dyDescent="0.2">
      <c r="B1148" s="1">
        <v>1133</v>
      </c>
      <c r="C1148" s="5">
        <f ca="1">_xlfn.NORM.S.INV(RAND())</f>
        <v>0.1219636357931574</v>
      </c>
      <c r="D1148" s="5">
        <f ca="1">S0*EXP((μ-0.5*σ*σ)*T+σ*SQRT(T)*$C1148)</f>
        <v>0.67254399762480599</v>
      </c>
      <c r="E1148" s="5">
        <f ca="1">MAX(0,CP*(D1148-K))</f>
        <v>0</v>
      </c>
      <c r="F1148" s="4">
        <f ca="1">(CP*(D1148-K)&gt;0)*1</f>
        <v>0</v>
      </c>
      <c r="H1148" s="4">
        <v>1133</v>
      </c>
      <c r="I1148" s="3">
        <v>0.66773382711174278</v>
      </c>
      <c r="J1148" s="128">
        <v>1.5013737350583615E-3</v>
      </c>
      <c r="K1148" s="128"/>
      <c r="L1148" s="128">
        <v>4.2799999999999998E-2</v>
      </c>
      <c r="O1148" s="2"/>
    </row>
    <row r="1149" spans="2:15" x14ac:dyDescent="0.2">
      <c r="B1149" s="1">
        <v>1134</v>
      </c>
      <c r="C1149" s="5">
        <f ca="1">_xlfn.NORM.S.INV(RAND())</f>
        <v>-0.18880476161475773</v>
      </c>
      <c r="D1149" s="5">
        <f ca="1">S0*EXP((μ-0.5*σ*σ)*T+σ*SQRT(T)*$C1149)</f>
        <v>0.65225113447245442</v>
      </c>
      <c r="E1149" s="5">
        <f ca="1">MAX(0,CP*(D1149-K))</f>
        <v>0</v>
      </c>
      <c r="F1149" s="4">
        <f ca="1">(CP*(D1149-K)&gt;0)*1</f>
        <v>0</v>
      </c>
      <c r="H1149" s="4">
        <v>1134</v>
      </c>
      <c r="I1149" s="3">
        <v>0.66789588136822009</v>
      </c>
      <c r="J1149" s="128">
        <v>1.6489884215596775E-3</v>
      </c>
      <c r="K1149" s="128"/>
      <c r="L1149" s="128">
        <v>4.4400000000000002E-2</v>
      </c>
      <c r="O1149" s="2"/>
    </row>
    <row r="1150" spans="2:15" x14ac:dyDescent="0.2">
      <c r="B1150" s="1">
        <v>1135</v>
      </c>
      <c r="C1150" s="5">
        <f ca="1">_xlfn.NORM.S.INV(RAND())</f>
        <v>0.55289034986728369</v>
      </c>
      <c r="D1150" s="5">
        <f ca="1">S0*EXP((μ-0.5*σ*σ)*T+σ*SQRT(T)*$C1150)</f>
        <v>0.70173195996327198</v>
      </c>
      <c r="E1150" s="5">
        <f ca="1">MAX(0,CP*(D1150-K))</f>
        <v>0</v>
      </c>
      <c r="F1150" s="4">
        <f ca="1">(CP*(D1150-K)&gt;0)*1</f>
        <v>0</v>
      </c>
      <c r="H1150" s="4">
        <v>1135</v>
      </c>
      <c r="I1150" s="3">
        <v>0.66777868621712366</v>
      </c>
      <c r="J1150" s="128">
        <v>1.3628714167136695E-3</v>
      </c>
      <c r="K1150" s="128"/>
      <c r="L1150" s="128">
        <v>4.2599999999999999E-2</v>
      </c>
      <c r="O1150" s="2"/>
    </row>
    <row r="1151" spans="2:15" x14ac:dyDescent="0.2">
      <c r="B1151" s="1">
        <v>1136</v>
      </c>
      <c r="C1151" s="5">
        <f ca="1">_xlfn.NORM.S.INV(RAND())</f>
        <v>-0.47464432095510378</v>
      </c>
      <c r="D1151" s="5">
        <f ca="1">S0*EXP((μ-0.5*σ*σ)*T+σ*SQRT(T)*$C1151)</f>
        <v>0.63412713608040883</v>
      </c>
      <c r="E1151" s="5">
        <f ca="1">MAX(0,CP*(D1151-K))</f>
        <v>0</v>
      </c>
      <c r="F1151" s="4">
        <f ca="1">(CP*(D1151-K)&gt;0)*1</f>
        <v>0</v>
      </c>
      <c r="H1151" s="4">
        <v>1136</v>
      </c>
      <c r="I1151" s="3">
        <v>0.66774834477575074</v>
      </c>
      <c r="J1151" s="128">
        <v>1.4447733520886218E-3</v>
      </c>
      <c r="K1151" s="128"/>
      <c r="L1151" s="128">
        <v>4.3799999999999999E-2</v>
      </c>
      <c r="O1151" s="2"/>
    </row>
    <row r="1152" spans="2:15" x14ac:dyDescent="0.2">
      <c r="B1152" s="1">
        <v>1137</v>
      </c>
      <c r="C1152" s="5">
        <f ca="1">_xlfn.NORM.S.INV(RAND())</f>
        <v>-0.25318787452415598</v>
      </c>
      <c r="D1152" s="5">
        <f ca="1">S0*EXP((μ-0.5*σ*σ)*T+σ*SQRT(T)*$C1152)</f>
        <v>0.64812416790987515</v>
      </c>
      <c r="E1152" s="5">
        <f ca="1">MAX(0,CP*(D1152-K))</f>
        <v>0</v>
      </c>
      <c r="F1152" s="4">
        <f ca="1">(CP*(D1152-K)&gt;0)*1</f>
        <v>0</v>
      </c>
      <c r="H1152" s="4">
        <v>1137</v>
      </c>
      <c r="I1152" s="3">
        <v>0.66771543718318616</v>
      </c>
      <c r="J1152" s="128">
        <v>1.3974691825153727E-3</v>
      </c>
      <c r="K1152" s="128"/>
      <c r="L1152" s="128">
        <v>4.2999999999999997E-2</v>
      </c>
      <c r="O1152" s="2"/>
    </row>
    <row r="1153" spans="2:15" x14ac:dyDescent="0.2">
      <c r="B1153" s="1">
        <v>1138</v>
      </c>
      <c r="C1153" s="5">
        <f ca="1">_xlfn.NORM.S.INV(RAND())</f>
        <v>-0.70596188296455442</v>
      </c>
      <c r="D1153" s="5">
        <f ca="1">S0*EXP((μ-0.5*σ*σ)*T+σ*SQRT(T)*$C1153)</f>
        <v>0.61982950685761862</v>
      </c>
      <c r="E1153" s="5">
        <f ca="1">MAX(0,CP*(D1153-K))</f>
        <v>0</v>
      </c>
      <c r="F1153" s="4">
        <f ca="1">(CP*(D1153-K)&gt;0)*1</f>
        <v>0</v>
      </c>
      <c r="H1153" s="4">
        <v>1138</v>
      </c>
      <c r="I1153" s="3">
        <v>0.66777786259886873</v>
      </c>
      <c r="J1153" s="128">
        <v>1.4560862551445182E-3</v>
      </c>
      <c r="K1153" s="128"/>
      <c r="L1153" s="128">
        <v>0.04</v>
      </c>
      <c r="O1153" s="2"/>
    </row>
    <row r="1154" spans="2:15" x14ac:dyDescent="0.2">
      <c r="B1154" s="1">
        <v>1139</v>
      </c>
      <c r="C1154" s="5">
        <f ca="1">_xlfn.NORM.S.INV(RAND())</f>
        <v>0.45670128655224013</v>
      </c>
      <c r="D1154" s="5">
        <f ca="1">S0*EXP((μ-0.5*σ*σ)*T+σ*SQRT(T)*$C1154)</f>
        <v>0.6951088634315723</v>
      </c>
      <c r="E1154" s="5">
        <f ca="1">MAX(0,CP*(D1154-K))</f>
        <v>0</v>
      </c>
      <c r="F1154" s="4">
        <f ca="1">(CP*(D1154-K)&gt;0)*1</f>
        <v>0</v>
      </c>
      <c r="H1154" s="4">
        <v>1139</v>
      </c>
      <c r="I1154" s="3">
        <v>0.66779075223827666</v>
      </c>
      <c r="J1154" s="128">
        <v>1.4649960325862485E-3</v>
      </c>
      <c r="K1154" s="128"/>
      <c r="L1154" s="128">
        <v>4.36E-2</v>
      </c>
      <c r="O1154" s="2"/>
    </row>
    <row r="1155" spans="2:15" x14ac:dyDescent="0.2">
      <c r="B1155" s="1">
        <v>1140</v>
      </c>
      <c r="C1155" s="5">
        <f ca="1">_xlfn.NORM.S.INV(RAND())</f>
        <v>-0.78862527615227929</v>
      </c>
      <c r="D1155" s="5">
        <f ca="1">S0*EXP((μ-0.5*σ*σ)*T+σ*SQRT(T)*$C1155)</f>
        <v>0.61479868730763876</v>
      </c>
      <c r="E1155" s="5">
        <f ca="1">MAX(0,CP*(D1155-K))</f>
        <v>0</v>
      </c>
      <c r="F1155" s="4">
        <f ca="1">(CP*(D1155-K)&gt;0)*1</f>
        <v>0</v>
      </c>
      <c r="H1155" s="4">
        <v>1140</v>
      </c>
      <c r="I1155" s="3">
        <v>0.66773018840008425</v>
      </c>
      <c r="J1155" s="128">
        <v>1.24359917814304E-3</v>
      </c>
      <c r="K1155" s="128"/>
      <c r="L1155" s="128">
        <v>3.9399999999999998E-2</v>
      </c>
      <c r="O1155" s="2"/>
    </row>
    <row r="1156" spans="2:15" x14ac:dyDescent="0.2">
      <c r="B1156" s="1">
        <v>1141</v>
      </c>
      <c r="C1156" s="5">
        <f ca="1">_xlfn.NORM.S.INV(RAND())</f>
        <v>1.104682519505662</v>
      </c>
      <c r="D1156" s="5">
        <f ca="1">S0*EXP((μ-0.5*σ*σ)*T+σ*SQRT(T)*$C1156)</f>
        <v>0.74096345198857316</v>
      </c>
      <c r="E1156" s="5">
        <f ca="1">MAX(0,CP*(D1156-K))</f>
        <v>0</v>
      </c>
      <c r="F1156" s="4">
        <f ca="1">(CP*(D1156-K)&gt;0)*1</f>
        <v>0</v>
      </c>
      <c r="H1156" s="4">
        <v>1141</v>
      </c>
      <c r="I1156" s="3">
        <v>0.66761049983757526</v>
      </c>
      <c r="J1156" s="128">
        <v>1.1458955962930055E-3</v>
      </c>
      <c r="K1156" s="128"/>
      <c r="L1156" s="128">
        <v>3.6400000000000002E-2</v>
      </c>
      <c r="O1156" s="2"/>
    </row>
    <row r="1157" spans="2:15" x14ac:dyDescent="0.2">
      <c r="B1157" s="1">
        <v>1142</v>
      </c>
      <c r="C1157" s="5">
        <f ca="1">_xlfn.NORM.S.INV(RAND())</f>
        <v>-0.48968831660943912</v>
      </c>
      <c r="D1157" s="5">
        <f ca="1">S0*EXP((μ-0.5*σ*σ)*T+σ*SQRT(T)*$C1157)</f>
        <v>0.63318732786721332</v>
      </c>
      <c r="E1157" s="5">
        <f ca="1">MAX(0,CP*(D1157-K))</f>
        <v>0</v>
      </c>
      <c r="F1157" s="4">
        <f ca="1">(CP*(D1157-K)&gt;0)*1</f>
        <v>0</v>
      </c>
      <c r="H1157" s="4">
        <v>1142</v>
      </c>
      <c r="I1157" s="3">
        <v>0.6677803718543277</v>
      </c>
      <c r="J1157" s="128">
        <v>1.2847743241404645E-3</v>
      </c>
      <c r="K1157" s="128"/>
      <c r="L1157" s="128">
        <v>4.2200000000000001E-2</v>
      </c>
      <c r="O1157" s="2"/>
    </row>
    <row r="1158" spans="2:15" x14ac:dyDescent="0.2">
      <c r="B1158" s="1">
        <v>1143</v>
      </c>
      <c r="C1158" s="5">
        <f ca="1">_xlfn.NORM.S.INV(RAND())</f>
        <v>0.20973438036744291</v>
      </c>
      <c r="D1158" s="5">
        <f ca="1">S0*EXP((μ-0.5*σ*σ)*T+σ*SQRT(T)*$C1158)</f>
        <v>0.67838883665397787</v>
      </c>
      <c r="E1158" s="5">
        <f ca="1">MAX(0,CP*(D1158-K))</f>
        <v>0</v>
      </c>
      <c r="F1158" s="4">
        <f ca="1">(CP*(D1158-K)&gt;0)*1</f>
        <v>0</v>
      </c>
      <c r="H1158" s="4">
        <v>1143</v>
      </c>
      <c r="I1158" s="3">
        <v>0.66777890644660909</v>
      </c>
      <c r="J1158" s="128">
        <v>1.4236704450603767E-3</v>
      </c>
      <c r="K1158" s="128"/>
      <c r="L1158" s="128">
        <v>4.2799999999999998E-2</v>
      </c>
      <c r="O1158" s="2"/>
    </row>
    <row r="1159" spans="2:15" x14ac:dyDescent="0.2">
      <c r="B1159" s="1">
        <v>1144</v>
      </c>
      <c r="C1159" s="5">
        <f ca="1">_xlfn.NORM.S.INV(RAND())</f>
        <v>1.2810528767837839</v>
      </c>
      <c r="D1159" s="5">
        <f ca="1">S0*EXP((μ-0.5*σ*σ)*T+σ*SQRT(T)*$C1159)</f>
        <v>0.75395991901415049</v>
      </c>
      <c r="E1159" s="5">
        <f ca="1">MAX(0,CP*(D1159-K))</f>
        <v>0</v>
      </c>
      <c r="F1159" s="4">
        <f ca="1">(CP*(D1159-K)&gt;0)*1</f>
        <v>0</v>
      </c>
      <c r="H1159" s="4">
        <v>1144</v>
      </c>
      <c r="I1159" s="3">
        <v>0.66764196766610606</v>
      </c>
      <c r="J1159" s="128">
        <v>1.1380435530951758E-3</v>
      </c>
      <c r="K1159" s="128"/>
      <c r="L1159" s="128">
        <v>4.02E-2</v>
      </c>
      <c r="O1159" s="2"/>
    </row>
    <row r="1160" spans="2:15" x14ac:dyDescent="0.2">
      <c r="B1160" s="1">
        <v>1145</v>
      </c>
      <c r="C1160" s="5">
        <f ca="1">_xlfn.NORM.S.INV(RAND())</f>
        <v>-0.37031003885113073</v>
      </c>
      <c r="D1160" s="5">
        <f ca="1">S0*EXP((μ-0.5*σ*σ)*T+σ*SQRT(T)*$C1160)</f>
        <v>0.64068346289053513</v>
      </c>
      <c r="E1160" s="5">
        <f ca="1">MAX(0,CP*(D1160-K))</f>
        <v>0</v>
      </c>
      <c r="F1160" s="4">
        <f ca="1">(CP*(D1160-K)&gt;0)*1</f>
        <v>0</v>
      </c>
      <c r="H1160" s="4">
        <v>1145</v>
      </c>
      <c r="I1160" s="3">
        <v>0.6677080798067313</v>
      </c>
      <c r="J1160" s="128">
        <v>1.3240887222935799E-3</v>
      </c>
      <c r="K1160" s="128"/>
      <c r="L1160" s="128">
        <v>4.0599999999999997E-2</v>
      </c>
      <c r="O1160" s="2"/>
    </row>
    <row r="1161" spans="2:15" x14ac:dyDescent="0.2">
      <c r="B1161" s="1">
        <v>1146</v>
      </c>
      <c r="C1161" s="5">
        <f ca="1">_xlfn.NORM.S.INV(RAND())</f>
        <v>1.286627464792542</v>
      </c>
      <c r="D1161" s="5">
        <f ca="1">S0*EXP((μ-0.5*σ*σ)*T+σ*SQRT(T)*$C1161)</f>
        <v>0.75437439760442682</v>
      </c>
      <c r="E1161" s="5">
        <f ca="1">MAX(0,CP*(D1161-K))</f>
        <v>0</v>
      </c>
      <c r="F1161" s="4">
        <f ca="1">(CP*(D1161-K)&gt;0)*1</f>
        <v>0</v>
      </c>
      <c r="H1161" s="4">
        <v>1146</v>
      </c>
      <c r="I1161" s="3">
        <v>0.66772012398942293</v>
      </c>
      <c r="J1161" s="128">
        <v>1.3343583505338937E-3</v>
      </c>
      <c r="K1161" s="128"/>
      <c r="L1161" s="128">
        <v>4.1599999999999998E-2</v>
      </c>
      <c r="O1161" s="2"/>
    </row>
    <row r="1162" spans="2:15" x14ac:dyDescent="0.2">
      <c r="B1162" s="1">
        <v>1147</v>
      </c>
      <c r="C1162" s="5">
        <f ca="1">_xlfn.NORM.S.INV(RAND())</f>
        <v>1.8747443210957884</v>
      </c>
      <c r="D1162" s="5">
        <f ca="1">S0*EXP((μ-0.5*σ*σ)*T+σ*SQRT(T)*$C1162)</f>
        <v>0.79940663489915398</v>
      </c>
      <c r="E1162" s="5">
        <f ca="1">MAX(0,CP*(D1162-K))</f>
        <v>1.1206634899153967E-2</v>
      </c>
      <c r="F1162" s="4">
        <f ca="1">(CP*(D1162-K)&gt;0)*1</f>
        <v>1</v>
      </c>
      <c r="H1162" s="4">
        <v>1147</v>
      </c>
      <c r="I1162" s="3">
        <v>0.66777430783554292</v>
      </c>
      <c r="J1162" s="128">
        <v>1.3616620458498842E-3</v>
      </c>
      <c r="K1162" s="128"/>
      <c r="L1162" s="128">
        <v>4.0399999999999998E-2</v>
      </c>
      <c r="O1162" s="2"/>
    </row>
    <row r="1163" spans="2:15" x14ac:dyDescent="0.2">
      <c r="B1163" s="1">
        <v>1148</v>
      </c>
      <c r="C1163" s="5">
        <f ca="1">_xlfn.NORM.S.INV(RAND())</f>
        <v>0.28190809695219149</v>
      </c>
      <c r="D1163" s="5">
        <f ca="1">S0*EXP((μ-0.5*σ*σ)*T+σ*SQRT(T)*$C1163)</f>
        <v>0.68323307489794038</v>
      </c>
      <c r="E1163" s="5">
        <f ca="1">MAX(0,CP*(D1163-K))</f>
        <v>0</v>
      </c>
      <c r="F1163" s="4">
        <f ca="1">(CP*(D1163-K)&gt;0)*1</f>
        <v>0</v>
      </c>
      <c r="H1163" s="4">
        <v>1148</v>
      </c>
      <c r="I1163" s="3">
        <v>0.66770541500825953</v>
      </c>
      <c r="J1163" s="128">
        <v>1.3339038741162984E-3</v>
      </c>
      <c r="K1163" s="128"/>
      <c r="L1163" s="128">
        <v>4.2599999999999999E-2</v>
      </c>
      <c r="O1163" s="2"/>
    </row>
    <row r="1164" spans="2:15" x14ac:dyDescent="0.2">
      <c r="B1164" s="1">
        <v>1149</v>
      </c>
      <c r="C1164" s="5">
        <f ca="1">_xlfn.NORM.S.INV(RAND())</f>
        <v>0.27818708900938294</v>
      </c>
      <c r="D1164" s="5">
        <f ca="1">S0*EXP((μ-0.5*σ*σ)*T+σ*SQRT(T)*$C1164)</f>
        <v>0.68298248039338949</v>
      </c>
      <c r="E1164" s="5">
        <f ca="1">MAX(0,CP*(D1164-K))</f>
        <v>0</v>
      </c>
      <c r="F1164" s="4">
        <f ca="1">(CP*(D1164-K)&gt;0)*1</f>
        <v>0</v>
      </c>
      <c r="H1164" s="4">
        <v>1149</v>
      </c>
      <c r="I1164" s="3">
        <v>0.6677318245117152</v>
      </c>
      <c r="J1164" s="128">
        <v>1.3243580313890206E-3</v>
      </c>
      <c r="K1164" s="128"/>
      <c r="L1164" s="128">
        <v>4.1399999999999999E-2</v>
      </c>
      <c r="O1164" s="2"/>
    </row>
    <row r="1165" spans="2:15" x14ac:dyDescent="0.2">
      <c r="B1165" s="1">
        <v>1150</v>
      </c>
      <c r="C1165" s="5">
        <f ca="1">_xlfn.NORM.S.INV(RAND())</f>
        <v>-0.97220429544826237</v>
      </c>
      <c r="D1165" s="5">
        <f ca="1">S0*EXP((μ-0.5*σ*σ)*T+σ*SQRT(T)*$C1165)</f>
        <v>0.60377178401395071</v>
      </c>
      <c r="E1165" s="5">
        <f ca="1">MAX(0,CP*(D1165-K))</f>
        <v>0</v>
      </c>
      <c r="F1165" s="4">
        <f ca="1">(CP*(D1165-K)&gt;0)*1</f>
        <v>0</v>
      </c>
      <c r="H1165" s="4">
        <v>1150</v>
      </c>
      <c r="I1165" s="3">
        <v>0.6676996504991829</v>
      </c>
      <c r="J1165" s="128">
        <v>1.3556747917224644E-3</v>
      </c>
      <c r="K1165" s="128"/>
      <c r="L1165" s="128">
        <v>4.1399999999999999E-2</v>
      </c>
      <c r="O1165" s="2"/>
    </row>
    <row r="1166" spans="2:15" x14ac:dyDescent="0.2">
      <c r="B1166" s="1">
        <v>1151</v>
      </c>
      <c r="C1166" s="5">
        <f ca="1">_xlfn.NORM.S.INV(RAND())</f>
        <v>-0.49275795351927631</v>
      </c>
      <c r="D1166" s="5">
        <f ca="1">S0*EXP((μ-0.5*σ*σ)*T+σ*SQRT(T)*$C1166)</f>
        <v>0.63299573681158172</v>
      </c>
      <c r="E1166" s="5">
        <f ca="1">MAX(0,CP*(D1166-K))</f>
        <v>0</v>
      </c>
      <c r="F1166" s="4">
        <f ca="1">(CP*(D1166-K)&gt;0)*1</f>
        <v>0</v>
      </c>
      <c r="H1166" s="4">
        <v>1151</v>
      </c>
      <c r="I1166" s="3">
        <v>0.66773792342870419</v>
      </c>
      <c r="J1166" s="128">
        <v>1.4130493705194847E-3</v>
      </c>
      <c r="K1166" s="128"/>
      <c r="L1166" s="128">
        <v>3.8399999999999997E-2</v>
      </c>
      <c r="O1166" s="2"/>
    </row>
    <row r="1167" spans="2:15" x14ac:dyDescent="0.2">
      <c r="B1167" s="1">
        <v>1152</v>
      </c>
      <c r="C1167" s="5">
        <f ca="1">_xlfn.NORM.S.INV(RAND())</f>
        <v>-0.88913799837166996</v>
      </c>
      <c r="D1167" s="5">
        <f ca="1">S0*EXP((μ-0.5*σ*σ)*T+σ*SQRT(T)*$C1167)</f>
        <v>0.60873655112691361</v>
      </c>
      <c r="E1167" s="5">
        <f ca="1">MAX(0,CP*(D1167-K))</f>
        <v>0</v>
      </c>
      <c r="F1167" s="4">
        <f ca="1">(CP*(D1167-K)&gt;0)*1</f>
        <v>0</v>
      </c>
      <c r="H1167" s="4">
        <v>1152</v>
      </c>
      <c r="I1167" s="3">
        <v>0.6676862127999208</v>
      </c>
      <c r="J1167" s="128">
        <v>1.2459852038770934E-3</v>
      </c>
      <c r="K1167" s="128"/>
      <c r="L1167" s="128">
        <v>3.9800000000000002E-2</v>
      </c>
      <c r="O1167" s="2"/>
    </row>
    <row r="1168" spans="2:15" x14ac:dyDescent="0.2">
      <c r="B1168" s="1">
        <v>1153</v>
      </c>
      <c r="C1168" s="5">
        <f ca="1">_xlfn.NORM.S.INV(RAND())</f>
        <v>0.33934250794558074</v>
      </c>
      <c r="D1168" s="5">
        <f ca="1">S0*EXP((μ-0.5*σ*σ)*T+σ*SQRT(T)*$C1168)</f>
        <v>0.6871127281351449</v>
      </c>
      <c r="E1168" s="5">
        <f ca="1">MAX(0,CP*(D1168-K))</f>
        <v>0</v>
      </c>
      <c r="F1168" s="4">
        <f ca="1">(CP*(D1168-K)&gt;0)*1</f>
        <v>0</v>
      </c>
      <c r="H1168" s="4">
        <v>1153</v>
      </c>
      <c r="I1168" s="3">
        <v>0.66768507892901541</v>
      </c>
      <c r="J1168" s="128">
        <v>1.3883182992418639E-3</v>
      </c>
      <c r="K1168" s="128"/>
      <c r="L1168" s="128">
        <v>4.2000000000000003E-2</v>
      </c>
      <c r="O1168" s="2"/>
    </row>
    <row r="1169" spans="2:15" x14ac:dyDescent="0.2">
      <c r="B1169" s="1">
        <v>1154</v>
      </c>
      <c r="C1169" s="5">
        <f ca="1">_xlfn.NORM.S.INV(RAND())</f>
        <v>0.16359718762286229</v>
      </c>
      <c r="D1169" s="5">
        <f ca="1">S0*EXP((μ-0.5*σ*σ)*T+σ*SQRT(T)*$C1169)</f>
        <v>0.67531015879248923</v>
      </c>
      <c r="E1169" s="5">
        <f ca="1">MAX(0,CP*(D1169-K))</f>
        <v>0</v>
      </c>
      <c r="F1169" s="4">
        <f ca="1">(CP*(D1169-K)&gt;0)*1</f>
        <v>0</v>
      </c>
      <c r="H1169" s="4">
        <v>1154</v>
      </c>
      <c r="I1169" s="3">
        <v>0.6677074553970207</v>
      </c>
      <c r="J1169" s="128">
        <v>1.3412997967922726E-3</v>
      </c>
      <c r="K1169" s="128"/>
      <c r="L1169" s="128">
        <v>3.9199999999999999E-2</v>
      </c>
      <c r="O1169" s="2"/>
    </row>
    <row r="1170" spans="2:15" x14ac:dyDescent="0.2">
      <c r="B1170" s="1">
        <v>1155</v>
      </c>
      <c r="C1170" s="5">
        <f ca="1">_xlfn.NORM.S.INV(RAND())</f>
        <v>-1.2975244904099934</v>
      </c>
      <c r="D1170" s="5">
        <f ca="1">S0*EXP((μ-0.5*σ*σ)*T+σ*SQRT(T)*$C1170)</f>
        <v>0.58471455654450766</v>
      </c>
      <c r="E1170" s="5">
        <f ca="1">MAX(0,CP*(D1170-K))</f>
        <v>0</v>
      </c>
      <c r="F1170" s="4">
        <f ca="1">(CP*(D1170-K)&gt;0)*1</f>
        <v>0</v>
      </c>
      <c r="H1170" s="4">
        <v>1155</v>
      </c>
      <c r="I1170" s="3">
        <v>0.66772068623165592</v>
      </c>
      <c r="J1170" s="128">
        <v>1.4152795208888342E-3</v>
      </c>
      <c r="K1170" s="128"/>
      <c r="L1170" s="128">
        <v>4.2000000000000003E-2</v>
      </c>
      <c r="O1170" s="2"/>
    </row>
    <row r="1171" spans="2:15" x14ac:dyDescent="0.2">
      <c r="B1171" s="1">
        <v>1156</v>
      </c>
      <c r="C1171" s="5">
        <f ca="1">_xlfn.NORM.S.INV(RAND())</f>
        <v>-2.5923004418567004</v>
      </c>
      <c r="D1171" s="5">
        <f ca="1">S0*EXP((μ-0.5*σ*σ)*T+σ*SQRT(T)*$C1171)</f>
        <v>0.51464384879130576</v>
      </c>
      <c r="E1171" s="5">
        <f ca="1">MAX(0,CP*(D1171-K))</f>
        <v>0</v>
      </c>
      <c r="F1171" s="4">
        <f ca="1">(CP*(D1171-K)&gt;0)*1</f>
        <v>0</v>
      </c>
      <c r="H1171" s="4">
        <v>1156</v>
      </c>
      <c r="I1171" s="3">
        <v>0.66765908600098822</v>
      </c>
      <c r="J1171" s="128">
        <v>1.3086016174942796E-3</v>
      </c>
      <c r="K1171" s="128"/>
      <c r="L1171" s="128">
        <v>3.9399999999999998E-2</v>
      </c>
      <c r="O1171" s="2"/>
    </row>
    <row r="1172" spans="2:15" x14ac:dyDescent="0.2">
      <c r="B1172" s="1">
        <v>1157</v>
      </c>
      <c r="C1172" s="5">
        <f ca="1">_xlfn.NORM.S.INV(RAND())</f>
        <v>-1.2882759335887786</v>
      </c>
      <c r="D1172" s="5">
        <f ca="1">S0*EXP((μ-0.5*σ*σ)*T+σ*SQRT(T)*$C1172)</f>
        <v>0.58524793762102811</v>
      </c>
      <c r="E1172" s="5">
        <f ca="1">MAX(0,CP*(D1172-K))</f>
        <v>0</v>
      </c>
      <c r="F1172" s="4">
        <f ca="1">(CP*(D1172-K)&gt;0)*1</f>
        <v>0</v>
      </c>
      <c r="H1172" s="4">
        <v>1157</v>
      </c>
      <c r="I1172" s="3">
        <v>0.6677560246123162</v>
      </c>
      <c r="J1172" s="128">
        <v>1.48719700135863E-3</v>
      </c>
      <c r="K1172" s="128"/>
      <c r="L1172" s="128">
        <v>4.4200000000000003E-2</v>
      </c>
      <c r="O1172" s="2"/>
    </row>
    <row r="1173" spans="2:15" x14ac:dyDescent="0.2">
      <c r="B1173" s="1">
        <v>1158</v>
      </c>
      <c r="C1173" s="5">
        <f ca="1">_xlfn.NORM.S.INV(RAND())</f>
        <v>-0.28153983028125251</v>
      </c>
      <c r="D1173" s="5">
        <f ca="1">S0*EXP((μ-0.5*σ*σ)*T+σ*SQRT(T)*$C1173)</f>
        <v>0.64631509470130732</v>
      </c>
      <c r="E1173" s="5">
        <f ca="1">MAX(0,CP*(D1173-K))</f>
        <v>0</v>
      </c>
      <c r="F1173" s="4">
        <f ca="1">(CP*(D1173-K)&gt;0)*1</f>
        <v>0</v>
      </c>
      <c r="H1173" s="4">
        <v>1158</v>
      </c>
      <c r="I1173" s="3">
        <v>0.66785303869190682</v>
      </c>
      <c r="J1173" s="128">
        <v>1.3732857077024937E-3</v>
      </c>
      <c r="K1173" s="128"/>
      <c r="L1173" s="128">
        <v>4.1200000000000001E-2</v>
      </c>
      <c r="O1173" s="2"/>
    </row>
    <row r="1174" spans="2:15" x14ac:dyDescent="0.2">
      <c r="B1174" s="1">
        <v>1159</v>
      </c>
      <c r="C1174" s="5">
        <f ca="1">_xlfn.NORM.S.INV(RAND())</f>
        <v>0.1940326070774176</v>
      </c>
      <c r="D1174" s="5">
        <f ca="1">S0*EXP((μ-0.5*σ*σ)*T+σ*SQRT(T)*$C1174)</f>
        <v>0.67733950441605673</v>
      </c>
      <c r="E1174" s="5">
        <f ca="1">MAX(0,CP*(D1174-K))</f>
        <v>0</v>
      </c>
      <c r="F1174" s="4">
        <f ca="1">(CP*(D1174-K)&gt;0)*1</f>
        <v>0</v>
      </c>
      <c r="H1174" s="4">
        <v>1159</v>
      </c>
      <c r="I1174" s="3">
        <v>0.66786065001740524</v>
      </c>
      <c r="J1174" s="128">
        <v>1.5862395800832873E-3</v>
      </c>
      <c r="K1174" s="128"/>
      <c r="L1174" s="128">
        <v>4.36E-2</v>
      </c>
      <c r="O1174" s="2"/>
    </row>
    <row r="1175" spans="2:15" x14ac:dyDescent="0.2">
      <c r="B1175" s="1">
        <v>1160</v>
      </c>
      <c r="C1175" s="5">
        <f ca="1">_xlfn.NORM.S.INV(RAND())</f>
        <v>0.23620212825476444</v>
      </c>
      <c r="D1175" s="5">
        <f ca="1">S0*EXP((μ-0.5*σ*σ)*T+σ*SQRT(T)*$C1175)</f>
        <v>0.68016132809660967</v>
      </c>
      <c r="E1175" s="5">
        <f ca="1">MAX(0,CP*(D1175-K))</f>
        <v>0</v>
      </c>
      <c r="F1175" s="4">
        <f ca="1">(CP*(D1175-K)&gt;0)*1</f>
        <v>0</v>
      </c>
      <c r="H1175" s="4">
        <v>1160</v>
      </c>
      <c r="I1175" s="3">
        <v>0.66774555788020373</v>
      </c>
      <c r="J1175" s="128">
        <v>1.2988596230772362E-3</v>
      </c>
      <c r="K1175" s="128"/>
      <c r="L1175" s="128">
        <v>3.9600000000000003E-2</v>
      </c>
      <c r="O1175" s="2"/>
    </row>
    <row r="1176" spans="2:15" x14ac:dyDescent="0.2">
      <c r="B1176" s="1">
        <v>1161</v>
      </c>
      <c r="C1176" s="5">
        <f ca="1">_xlfn.NORM.S.INV(RAND())</f>
        <v>-0.44162088539872785</v>
      </c>
      <c r="D1176" s="5">
        <f ca="1">S0*EXP((μ-0.5*σ*σ)*T+σ*SQRT(T)*$C1176)</f>
        <v>0.63619502625092184</v>
      </c>
      <c r="E1176" s="5">
        <f ca="1">MAX(0,CP*(D1176-K))</f>
        <v>0</v>
      </c>
      <c r="F1176" s="4">
        <f ca="1">(CP*(D1176-K)&gt;0)*1</f>
        <v>0</v>
      </c>
      <c r="H1176" s="4">
        <v>1161</v>
      </c>
      <c r="I1176" s="3">
        <v>0.66768138336564276</v>
      </c>
      <c r="J1176" s="128">
        <v>1.3407216653416104E-3</v>
      </c>
      <c r="K1176" s="128"/>
      <c r="L1176" s="128">
        <v>4.1000000000000002E-2</v>
      </c>
      <c r="O1176" s="2"/>
    </row>
    <row r="1177" spans="2:15" x14ac:dyDescent="0.2">
      <c r="B1177" s="1">
        <v>1162</v>
      </c>
      <c r="C1177" s="5">
        <f ca="1">_xlfn.NORM.S.INV(RAND())</f>
        <v>0.39409235615154409</v>
      </c>
      <c r="D1177" s="5">
        <f ca="1">S0*EXP((μ-0.5*σ*σ)*T+σ*SQRT(T)*$C1177)</f>
        <v>0.69083154888310039</v>
      </c>
      <c r="E1177" s="5">
        <f ca="1">MAX(0,CP*(D1177-K))</f>
        <v>0</v>
      </c>
      <c r="F1177" s="4">
        <f ca="1">(CP*(D1177-K)&gt;0)*1</f>
        <v>0</v>
      </c>
      <c r="H1177" s="4">
        <v>1162</v>
      </c>
      <c r="I1177" s="3">
        <v>0.66787876582330907</v>
      </c>
      <c r="J1177" s="128">
        <v>1.4248343346265667E-3</v>
      </c>
      <c r="K1177" s="128"/>
      <c r="L1177" s="128">
        <v>4.1399999999999999E-2</v>
      </c>
      <c r="O1177" s="2"/>
    </row>
    <row r="1178" spans="2:15" x14ac:dyDescent="0.2">
      <c r="B1178" s="1">
        <v>1163</v>
      </c>
      <c r="C1178" s="5">
        <f ca="1">_xlfn.NORM.S.INV(RAND())</f>
        <v>-1.1396211501315798</v>
      </c>
      <c r="D1178" s="5">
        <f ca="1">S0*EXP((μ-0.5*σ*σ)*T+σ*SQRT(T)*$C1178)</f>
        <v>0.59388819717498065</v>
      </c>
      <c r="E1178" s="5">
        <f ca="1">MAX(0,CP*(D1178-K))</f>
        <v>0</v>
      </c>
      <c r="F1178" s="4">
        <f ca="1">(CP*(D1178-K)&gt;0)*1</f>
        <v>0</v>
      </c>
      <c r="H1178" s="4">
        <v>1163</v>
      </c>
      <c r="I1178" s="3">
        <v>0.66766751169599259</v>
      </c>
      <c r="J1178" s="128">
        <v>1.3969770089307697E-3</v>
      </c>
      <c r="K1178" s="128"/>
      <c r="L1178" s="128">
        <v>4.2599999999999999E-2</v>
      </c>
      <c r="O1178" s="2"/>
    </row>
    <row r="1179" spans="2:15" x14ac:dyDescent="0.2">
      <c r="B1179" s="1">
        <v>1164</v>
      </c>
      <c r="C1179" s="5">
        <f ca="1">_xlfn.NORM.S.INV(RAND())</f>
        <v>-1.8177924350581047</v>
      </c>
      <c r="D1179" s="5">
        <f ca="1">S0*EXP((μ-0.5*σ*σ)*T+σ*SQRT(T)*$C1179)</f>
        <v>0.55547960313104283</v>
      </c>
      <c r="E1179" s="5">
        <f ca="1">MAX(0,CP*(D1179-K))</f>
        <v>0</v>
      </c>
      <c r="F1179" s="4">
        <f ca="1">(CP*(D1179-K)&gt;0)*1</f>
        <v>0</v>
      </c>
      <c r="H1179" s="4">
        <v>1164</v>
      </c>
      <c r="I1179" s="3">
        <v>0.66781961526611411</v>
      </c>
      <c r="J1179" s="128">
        <v>1.4665038436733938E-3</v>
      </c>
      <c r="K1179" s="128"/>
      <c r="L1179" s="128">
        <v>4.1200000000000001E-2</v>
      </c>
      <c r="O1179" s="2"/>
    </row>
    <row r="1180" spans="2:15" x14ac:dyDescent="0.2">
      <c r="B1180" s="1">
        <v>1165</v>
      </c>
      <c r="C1180" s="5">
        <f ca="1">_xlfn.NORM.S.INV(RAND())</f>
        <v>-1.2047968236827704</v>
      </c>
      <c r="D1180" s="5">
        <f ca="1">S0*EXP((μ-0.5*σ*σ)*T+σ*SQRT(T)*$C1180)</f>
        <v>0.59008439949383895</v>
      </c>
      <c r="E1180" s="5">
        <f ca="1">MAX(0,CP*(D1180-K))</f>
        <v>0</v>
      </c>
      <c r="F1180" s="4">
        <f ca="1">(CP*(D1180-K)&gt;0)*1</f>
        <v>0</v>
      </c>
      <c r="H1180" s="4">
        <v>1165</v>
      </c>
      <c r="I1180" s="3">
        <v>0.66757802226227059</v>
      </c>
      <c r="J1180" s="128">
        <v>1.020993712860848E-3</v>
      </c>
      <c r="K1180" s="128"/>
      <c r="L1180" s="128">
        <v>3.6400000000000002E-2</v>
      </c>
      <c r="O1180" s="2"/>
    </row>
    <row r="1181" spans="2:15" x14ac:dyDescent="0.2">
      <c r="B1181" s="1">
        <v>1166</v>
      </c>
      <c r="C1181" s="5">
        <f ca="1">_xlfn.NORM.S.INV(RAND())</f>
        <v>-1.4659444593584128</v>
      </c>
      <c r="D1181" s="5">
        <f ca="1">S0*EXP((μ-0.5*σ*σ)*T+σ*SQRT(T)*$C1181)</f>
        <v>0.57508605589667061</v>
      </c>
      <c r="E1181" s="5">
        <f ca="1">MAX(0,CP*(D1181-K))</f>
        <v>0</v>
      </c>
      <c r="F1181" s="4">
        <f ca="1">(CP*(D1181-K)&gt;0)*1</f>
        <v>0</v>
      </c>
      <c r="H1181" s="4">
        <v>1166</v>
      </c>
      <c r="I1181" s="3">
        <v>0.66785454752105422</v>
      </c>
      <c r="J1181" s="128">
        <v>1.3566015683150999E-3</v>
      </c>
      <c r="K1181" s="128"/>
      <c r="L1181" s="128">
        <v>4.3799999999999999E-2</v>
      </c>
      <c r="O1181" s="2"/>
    </row>
    <row r="1182" spans="2:15" x14ac:dyDescent="0.2">
      <c r="B1182" s="1">
        <v>1167</v>
      </c>
      <c r="C1182" s="5">
        <f ca="1">_xlfn.NORM.S.INV(RAND())</f>
        <v>-0.20427400591067951</v>
      </c>
      <c r="D1182" s="5">
        <f ca="1">S0*EXP((μ-0.5*σ*σ)*T+σ*SQRT(T)*$C1182)</f>
        <v>0.65125716158508251</v>
      </c>
      <c r="E1182" s="5">
        <f ca="1">MAX(0,CP*(D1182-K))</f>
        <v>0</v>
      </c>
      <c r="F1182" s="4">
        <f ca="1">(CP*(D1182-K)&gt;0)*1</f>
        <v>0</v>
      </c>
      <c r="H1182" s="4">
        <v>1167</v>
      </c>
      <c r="I1182" s="3">
        <v>0.66786566610102405</v>
      </c>
      <c r="J1182" s="128">
        <v>1.583318541394624E-3</v>
      </c>
      <c r="K1182" s="128"/>
      <c r="L1182" s="128">
        <v>4.7E-2</v>
      </c>
      <c r="O1182" s="2"/>
    </row>
    <row r="1183" spans="2:15" x14ac:dyDescent="0.2">
      <c r="B1183" s="1">
        <v>1168</v>
      </c>
      <c r="C1183" s="5">
        <f ca="1">_xlfn.NORM.S.INV(RAND())</f>
        <v>1.7045818353867823</v>
      </c>
      <c r="D1183" s="5">
        <f ca="1">S0*EXP((μ-0.5*σ*σ)*T+σ*SQRT(T)*$C1183)</f>
        <v>0.78610774027795915</v>
      </c>
      <c r="E1183" s="5">
        <f ca="1">MAX(0,CP*(D1183-K))</f>
        <v>0</v>
      </c>
      <c r="F1183" s="4">
        <f ca="1">(CP*(D1183-K)&gt;0)*1</f>
        <v>0</v>
      </c>
      <c r="H1183" s="4">
        <v>1168</v>
      </c>
      <c r="I1183" s="3">
        <v>0.66775728201935491</v>
      </c>
      <c r="J1183" s="128">
        <v>1.3973348438092469E-3</v>
      </c>
      <c r="K1183" s="128"/>
      <c r="L1183" s="128">
        <v>3.9199999999999999E-2</v>
      </c>
      <c r="O1183" s="2"/>
    </row>
    <row r="1184" spans="2:15" x14ac:dyDescent="0.2">
      <c r="B1184" s="1">
        <v>1169</v>
      </c>
      <c r="C1184" s="5">
        <f ca="1">_xlfn.NORM.S.INV(RAND())</f>
        <v>-0.84507005672207647</v>
      </c>
      <c r="D1184" s="5">
        <f ca="1">S0*EXP((μ-0.5*σ*σ)*T+σ*SQRT(T)*$C1184)</f>
        <v>0.61138698890776055</v>
      </c>
      <c r="E1184" s="5">
        <f ca="1">MAX(0,CP*(D1184-K))</f>
        <v>0</v>
      </c>
      <c r="F1184" s="4">
        <f ca="1">(CP*(D1184-K)&gt;0)*1</f>
        <v>0</v>
      </c>
      <c r="H1184" s="4">
        <v>1169</v>
      </c>
      <c r="I1184" s="3">
        <v>0.66774739816094575</v>
      </c>
      <c r="J1184" s="128">
        <v>1.4781663999494962E-3</v>
      </c>
      <c r="K1184" s="128"/>
      <c r="L1184" s="128">
        <v>4.4200000000000003E-2</v>
      </c>
      <c r="O1184" s="2"/>
    </row>
    <row r="1185" spans="2:15" x14ac:dyDescent="0.2">
      <c r="B1185" s="1">
        <v>1170</v>
      </c>
      <c r="C1185" s="5">
        <f ca="1">_xlfn.NORM.S.INV(RAND())</f>
        <v>0.36548870057641264</v>
      </c>
      <c r="D1185" s="5">
        <f ca="1">S0*EXP((μ-0.5*σ*σ)*T+σ*SQRT(T)*$C1185)</f>
        <v>0.68888617437740884</v>
      </c>
      <c r="E1185" s="5">
        <f ca="1">MAX(0,CP*(D1185-K))</f>
        <v>0</v>
      </c>
      <c r="F1185" s="4">
        <f ca="1">(CP*(D1185-K)&gt;0)*1</f>
        <v>0</v>
      </c>
      <c r="H1185" s="4">
        <v>1170</v>
      </c>
      <c r="I1185" s="3">
        <v>0.6676791503368561</v>
      </c>
      <c r="J1185" s="128">
        <v>1.3420047825281939E-3</v>
      </c>
      <c r="K1185" s="128"/>
      <c r="L1185" s="128">
        <v>3.9E-2</v>
      </c>
      <c r="O1185" s="2"/>
    </row>
    <row r="1186" spans="2:15" x14ac:dyDescent="0.2">
      <c r="B1186" s="1">
        <v>1171</v>
      </c>
      <c r="C1186" s="5">
        <f ca="1">_xlfn.NORM.S.INV(RAND())</f>
        <v>-1.1350778730086295</v>
      </c>
      <c r="D1186" s="5">
        <f ca="1">S0*EXP((μ-0.5*σ*σ)*T+σ*SQRT(T)*$C1186)</f>
        <v>0.59415426533658855</v>
      </c>
      <c r="E1186" s="5">
        <f ca="1">MAX(0,CP*(D1186-K))</f>
        <v>0</v>
      </c>
      <c r="F1186" s="4">
        <f ca="1">(CP*(D1186-K)&gt;0)*1</f>
        <v>0</v>
      </c>
      <c r="H1186" s="4">
        <v>1171</v>
      </c>
      <c r="I1186" s="3">
        <v>0.66756994226516531</v>
      </c>
      <c r="J1186" s="128">
        <v>1.0500689091724118E-3</v>
      </c>
      <c r="K1186" s="128"/>
      <c r="L1186" s="128">
        <v>3.8800000000000001E-2</v>
      </c>
      <c r="O1186" s="2"/>
    </row>
    <row r="1187" spans="2:15" x14ac:dyDescent="0.2">
      <c r="B1187" s="1">
        <v>1172</v>
      </c>
      <c r="C1187" s="5">
        <f ca="1">_xlfn.NORM.S.INV(RAND())</f>
        <v>-0.41711578450330883</v>
      </c>
      <c r="D1187" s="5">
        <f ca="1">S0*EXP((μ-0.5*σ*σ)*T+σ*SQRT(T)*$C1187)</f>
        <v>0.63773386529103493</v>
      </c>
      <c r="E1187" s="5">
        <f ca="1">MAX(0,CP*(D1187-K))</f>
        <v>0</v>
      </c>
      <c r="F1187" s="4">
        <f ca="1">(CP*(D1187-K)&gt;0)*1</f>
        <v>0</v>
      </c>
      <c r="H1187" s="4">
        <v>1172</v>
      </c>
      <c r="I1187" s="3">
        <v>0.66778751513865331</v>
      </c>
      <c r="J1187" s="128">
        <v>1.4922616227338891E-3</v>
      </c>
      <c r="K1187" s="128"/>
      <c r="L1187" s="128">
        <v>4.2200000000000001E-2</v>
      </c>
      <c r="O1187" s="2"/>
    </row>
    <row r="1188" spans="2:15" x14ac:dyDescent="0.2">
      <c r="B1188" s="1">
        <v>1173</v>
      </c>
      <c r="C1188" s="5">
        <f ca="1">_xlfn.NORM.S.INV(RAND())</f>
        <v>0.31637347438635982</v>
      </c>
      <c r="D1188" s="5">
        <f ca="1">S0*EXP((μ-0.5*σ*σ)*T+σ*SQRT(T)*$C1188)</f>
        <v>0.68555854995233145</v>
      </c>
      <c r="E1188" s="5">
        <f ca="1">MAX(0,CP*(D1188-K))</f>
        <v>0</v>
      </c>
      <c r="F1188" s="4">
        <f ca="1">(CP*(D1188-K)&gt;0)*1</f>
        <v>0</v>
      </c>
      <c r="H1188" s="4">
        <v>1173</v>
      </c>
      <c r="I1188" s="3">
        <v>0.66781181340678442</v>
      </c>
      <c r="J1188" s="128">
        <v>1.4755889257955391E-3</v>
      </c>
      <c r="K1188" s="128"/>
      <c r="L1188" s="128">
        <v>4.2999999999999997E-2</v>
      </c>
      <c r="O1188" s="2"/>
    </row>
    <row r="1189" spans="2:15" x14ac:dyDescent="0.2">
      <c r="B1189" s="1">
        <v>1174</v>
      </c>
      <c r="C1189" s="5">
        <f ca="1">_xlfn.NORM.S.INV(RAND())</f>
        <v>0.6190887766503167</v>
      </c>
      <c r="D1189" s="5">
        <f ca="1">S0*EXP((μ-0.5*σ*σ)*T+σ*SQRT(T)*$C1189)</f>
        <v>0.70632667511062486</v>
      </c>
      <c r="E1189" s="5">
        <f ca="1">MAX(0,CP*(D1189-K))</f>
        <v>0</v>
      </c>
      <c r="F1189" s="4">
        <f ca="1">(CP*(D1189-K)&gt;0)*1</f>
        <v>0</v>
      </c>
      <c r="H1189" s="4">
        <v>1174</v>
      </c>
      <c r="I1189" s="3">
        <v>0.66781646248326232</v>
      </c>
      <c r="J1189" s="128">
        <v>1.3739767608481599E-3</v>
      </c>
      <c r="K1189" s="128"/>
      <c r="L1189" s="128">
        <v>4.3799999999999999E-2</v>
      </c>
      <c r="O1189" s="2"/>
    </row>
    <row r="1190" spans="2:15" x14ac:dyDescent="0.2">
      <c r="B1190" s="1">
        <v>1175</v>
      </c>
      <c r="C1190" s="5">
        <f ca="1">_xlfn.NORM.S.INV(RAND())</f>
        <v>-0.65251643728842412</v>
      </c>
      <c r="D1190" s="5">
        <f ca="1">S0*EXP((μ-0.5*σ*σ)*T+σ*SQRT(T)*$C1190)</f>
        <v>0.62310403956524596</v>
      </c>
      <c r="E1190" s="5">
        <f ca="1">MAX(0,CP*(D1190-K))</f>
        <v>0</v>
      </c>
      <c r="F1190" s="4">
        <f ca="1">(CP*(D1190-K)&gt;0)*1</f>
        <v>0</v>
      </c>
      <c r="H1190" s="4">
        <v>1175</v>
      </c>
      <c r="I1190" s="3">
        <v>0.66778315289475454</v>
      </c>
      <c r="J1190" s="128">
        <v>1.3657618206163935E-3</v>
      </c>
      <c r="K1190" s="128"/>
      <c r="L1190" s="128">
        <v>4.0599999999999997E-2</v>
      </c>
      <c r="O1190" s="2"/>
    </row>
    <row r="1191" spans="2:15" x14ac:dyDescent="0.2">
      <c r="B1191" s="1">
        <v>1176</v>
      </c>
      <c r="C1191" s="5">
        <f ca="1">_xlfn.NORM.S.INV(RAND())</f>
        <v>0.74382874934015197</v>
      </c>
      <c r="D1191" s="5">
        <f ca="1">S0*EXP((μ-0.5*σ*σ)*T+σ*SQRT(T)*$C1191)</f>
        <v>0.715066568658694</v>
      </c>
      <c r="E1191" s="5">
        <f ca="1">MAX(0,CP*(D1191-K))</f>
        <v>0</v>
      </c>
      <c r="F1191" s="4">
        <f ca="1">(CP*(D1191-K)&gt;0)*1</f>
        <v>0</v>
      </c>
      <c r="H1191" s="4">
        <v>1176</v>
      </c>
      <c r="I1191" s="3">
        <v>0.66778370264248821</v>
      </c>
      <c r="J1191" s="128">
        <v>1.4193965215261826E-3</v>
      </c>
      <c r="K1191" s="128"/>
      <c r="L1191" s="128">
        <v>4.4999999999999998E-2</v>
      </c>
      <c r="O1191" s="2"/>
    </row>
    <row r="1192" spans="2:15" x14ac:dyDescent="0.2">
      <c r="B1192" s="1">
        <v>1177</v>
      </c>
      <c r="C1192" s="5">
        <f ca="1">_xlfn.NORM.S.INV(RAND())</f>
        <v>0.24456278650283828</v>
      </c>
      <c r="D1192" s="5">
        <f ca="1">S0*EXP((μ-0.5*σ*σ)*T+σ*SQRT(T)*$C1192)</f>
        <v>0.68072218636256832</v>
      </c>
      <c r="E1192" s="5">
        <f ca="1">MAX(0,CP*(D1192-K))</f>
        <v>0</v>
      </c>
      <c r="F1192" s="4">
        <f ca="1">(CP*(D1192-K)&gt;0)*1</f>
        <v>0</v>
      </c>
      <c r="H1192" s="4">
        <v>1177</v>
      </c>
      <c r="I1192" s="3">
        <v>0.66792152318861708</v>
      </c>
      <c r="J1192" s="128">
        <v>1.4310648468516987E-3</v>
      </c>
      <c r="K1192" s="128"/>
      <c r="L1192" s="128">
        <v>4.1599999999999998E-2</v>
      </c>
      <c r="O1192" s="2"/>
    </row>
    <row r="1193" spans="2:15" x14ac:dyDescent="0.2">
      <c r="B1193" s="1">
        <v>1178</v>
      </c>
      <c r="C1193" s="5">
        <f ca="1">_xlfn.NORM.S.INV(RAND())</f>
        <v>0.77392552262919423</v>
      </c>
      <c r="D1193" s="5">
        <f ca="1">S0*EXP((μ-0.5*σ*σ)*T+σ*SQRT(T)*$C1193)</f>
        <v>0.71719143982037559</v>
      </c>
      <c r="E1193" s="5">
        <f ca="1">MAX(0,CP*(D1193-K))</f>
        <v>0</v>
      </c>
      <c r="F1193" s="4">
        <f ca="1">(CP*(D1193-K)&gt;0)*1</f>
        <v>0</v>
      </c>
      <c r="H1193" s="4">
        <v>1178</v>
      </c>
      <c r="I1193" s="3">
        <v>0.66767662917289061</v>
      </c>
      <c r="J1193" s="128">
        <v>1.2457798982437741E-3</v>
      </c>
      <c r="K1193" s="128"/>
      <c r="L1193" s="128">
        <v>3.9399999999999998E-2</v>
      </c>
      <c r="O1193" s="2"/>
    </row>
    <row r="1194" spans="2:15" x14ac:dyDescent="0.2">
      <c r="B1194" s="1">
        <v>1179</v>
      </c>
      <c r="C1194" s="5">
        <f ca="1">_xlfn.NORM.S.INV(RAND())</f>
        <v>-1.0729321504743226</v>
      </c>
      <c r="D1194" s="5">
        <f ca="1">S0*EXP((μ-0.5*σ*σ)*T+σ*SQRT(T)*$C1194)</f>
        <v>0.59780569783166415</v>
      </c>
      <c r="E1194" s="5">
        <f ca="1">MAX(0,CP*(D1194-K))</f>
        <v>0</v>
      </c>
      <c r="F1194" s="4">
        <f ca="1">(CP*(D1194-K)&gt;0)*1</f>
        <v>0</v>
      </c>
      <c r="H1194" s="4">
        <v>1179</v>
      </c>
      <c r="I1194" s="3">
        <v>0.66788245894415998</v>
      </c>
      <c r="J1194" s="128">
        <v>1.4545506765163011E-3</v>
      </c>
      <c r="K1194" s="128"/>
      <c r="L1194" s="128">
        <v>4.5999999999999999E-2</v>
      </c>
      <c r="O1194" s="2"/>
    </row>
    <row r="1195" spans="2:15" x14ac:dyDescent="0.2">
      <c r="B1195" s="1">
        <v>1180</v>
      </c>
      <c r="C1195" s="5">
        <f ca="1">_xlfn.NORM.S.INV(RAND())</f>
        <v>-0.63831330424305976</v>
      </c>
      <c r="D1195" s="5">
        <f ca="1">S0*EXP((μ-0.5*σ*σ)*T+σ*SQRT(T)*$C1195)</f>
        <v>0.62397715273431253</v>
      </c>
      <c r="E1195" s="5">
        <f ca="1">MAX(0,CP*(D1195-K))</f>
        <v>0</v>
      </c>
      <c r="F1195" s="4">
        <f ca="1">(CP*(D1195-K)&gt;0)*1</f>
        <v>0</v>
      </c>
      <c r="H1195" s="4">
        <v>1180</v>
      </c>
      <c r="I1195" s="3">
        <v>0.6676452680557392</v>
      </c>
      <c r="J1195" s="128">
        <v>1.2571547898395218E-3</v>
      </c>
      <c r="K1195" s="128"/>
      <c r="L1195" s="128">
        <v>3.8199999999999998E-2</v>
      </c>
      <c r="O1195" s="2"/>
    </row>
    <row r="1196" spans="2:15" x14ac:dyDescent="0.2">
      <c r="B1196" s="1">
        <v>1181</v>
      </c>
      <c r="C1196" s="5">
        <f ca="1">_xlfn.NORM.S.INV(RAND())</f>
        <v>-0.92813263810062641</v>
      </c>
      <c r="D1196" s="5">
        <f ca="1">S0*EXP((μ-0.5*σ*σ)*T+σ*SQRT(T)*$C1196)</f>
        <v>0.60640082734575063</v>
      </c>
      <c r="E1196" s="5">
        <f ca="1">MAX(0,CP*(D1196-K))</f>
        <v>0</v>
      </c>
      <c r="F1196" s="4">
        <f ca="1">(CP*(D1196-K)&gt;0)*1</f>
        <v>0</v>
      </c>
      <c r="H1196" s="4">
        <v>1181</v>
      </c>
      <c r="I1196" s="3">
        <v>0.66775799881915876</v>
      </c>
      <c r="J1196" s="128">
        <v>1.4341880041447411E-3</v>
      </c>
      <c r="K1196" s="128"/>
      <c r="L1196" s="128">
        <v>4.3999999999999997E-2</v>
      </c>
      <c r="O1196" s="2"/>
    </row>
    <row r="1197" spans="2:15" x14ac:dyDescent="0.2">
      <c r="B1197" s="1">
        <v>1182</v>
      </c>
      <c r="C1197" s="5">
        <f ca="1">_xlfn.NORM.S.INV(RAND())</f>
        <v>-1.9797836504717061</v>
      </c>
      <c r="D1197" s="5">
        <f ca="1">S0*EXP((μ-0.5*σ*σ)*T+σ*SQRT(T)*$C1197)</f>
        <v>0.54667888708356083</v>
      </c>
      <c r="E1197" s="5">
        <f ca="1">MAX(0,CP*(D1197-K))</f>
        <v>0</v>
      </c>
      <c r="F1197" s="4">
        <f ca="1">(CP*(D1197-K)&gt;0)*1</f>
        <v>0</v>
      </c>
      <c r="H1197" s="4">
        <v>1182</v>
      </c>
      <c r="I1197" s="3">
        <v>0.66773243010793681</v>
      </c>
      <c r="J1197" s="128">
        <v>1.3163681965996407E-3</v>
      </c>
      <c r="K1197" s="128"/>
      <c r="L1197" s="128">
        <v>4.0800000000000003E-2</v>
      </c>
      <c r="O1197" s="2"/>
    </row>
    <row r="1198" spans="2:15" x14ac:dyDescent="0.2">
      <c r="B1198" s="1">
        <v>1183</v>
      </c>
      <c r="C1198" s="5">
        <f ca="1">_xlfn.NORM.S.INV(RAND())</f>
        <v>-0.34752699910424384</v>
      </c>
      <c r="D1198" s="5">
        <f ca="1">S0*EXP((μ-0.5*σ*σ)*T+σ*SQRT(T)*$C1198)</f>
        <v>0.64212413362201848</v>
      </c>
      <c r="E1198" s="5">
        <f ca="1">MAX(0,CP*(D1198-K))</f>
        <v>0</v>
      </c>
      <c r="F1198" s="4">
        <f ca="1">(CP*(D1198-K)&gt;0)*1</f>
        <v>0</v>
      </c>
      <c r="H1198" s="4">
        <v>1183</v>
      </c>
      <c r="I1198" s="3">
        <v>0.66781682653240548</v>
      </c>
      <c r="J1198" s="128">
        <v>1.4034532683779644E-3</v>
      </c>
      <c r="K1198" s="128"/>
      <c r="L1198" s="128">
        <v>3.9399999999999998E-2</v>
      </c>
      <c r="O1198" s="2"/>
    </row>
    <row r="1199" spans="2:15" x14ac:dyDescent="0.2">
      <c r="B1199" s="1">
        <v>1184</v>
      </c>
      <c r="C1199" s="5">
        <f ca="1">_xlfn.NORM.S.INV(RAND())</f>
        <v>-1.4992644132410773</v>
      </c>
      <c r="D1199" s="5">
        <f ca="1">S0*EXP((μ-0.5*σ*σ)*T+σ*SQRT(T)*$C1199)</f>
        <v>0.57320003790501739</v>
      </c>
      <c r="E1199" s="5">
        <f ca="1">MAX(0,CP*(D1199-K))</f>
        <v>0</v>
      </c>
      <c r="F1199" s="4">
        <f ca="1">(CP*(D1199-K)&gt;0)*1</f>
        <v>0</v>
      </c>
      <c r="H1199" s="4">
        <v>1184</v>
      </c>
      <c r="I1199" s="3">
        <v>0.6676465472843659</v>
      </c>
      <c r="J1199" s="128">
        <v>1.260324220322724E-3</v>
      </c>
      <c r="K1199" s="128"/>
      <c r="L1199" s="128">
        <v>0.04</v>
      </c>
      <c r="O1199" s="2"/>
    </row>
    <row r="1200" spans="2:15" x14ac:dyDescent="0.2">
      <c r="B1200" s="1">
        <v>1185</v>
      </c>
      <c r="C1200" s="5">
        <f ca="1">_xlfn.NORM.S.INV(RAND())</f>
        <v>-0.32363205526882277</v>
      </c>
      <c r="D1200" s="5">
        <f ca="1">S0*EXP((μ-0.5*σ*σ)*T+σ*SQRT(T)*$C1200)</f>
        <v>0.64363859558693282</v>
      </c>
      <c r="E1200" s="5">
        <f ca="1">MAX(0,CP*(D1200-K))</f>
        <v>0</v>
      </c>
      <c r="F1200" s="4">
        <f ca="1">(CP*(D1200-K)&gt;0)*1</f>
        <v>0</v>
      </c>
      <c r="H1200" s="4">
        <v>1185</v>
      </c>
      <c r="I1200" s="3">
        <v>0.66791079777104478</v>
      </c>
      <c r="J1200" s="128">
        <v>1.4530606196695621E-3</v>
      </c>
      <c r="K1200" s="128"/>
      <c r="L1200" s="128">
        <v>4.3400000000000001E-2</v>
      </c>
      <c r="O1200" s="2"/>
    </row>
    <row r="1201" spans="2:15" x14ac:dyDescent="0.2">
      <c r="B1201" s="1">
        <v>1186</v>
      </c>
      <c r="C1201" s="5">
        <f ca="1">_xlfn.NORM.S.INV(RAND())</f>
        <v>-0.75995615318515819</v>
      </c>
      <c r="D1201" s="5">
        <f ca="1">S0*EXP((μ-0.5*σ*σ)*T+σ*SQRT(T)*$C1201)</f>
        <v>0.61653882234898327</v>
      </c>
      <c r="E1201" s="5">
        <f ca="1">MAX(0,CP*(D1201-K))</f>
        <v>0</v>
      </c>
      <c r="F1201" s="4">
        <f ca="1">(CP*(D1201-K)&gt;0)*1</f>
        <v>0</v>
      </c>
      <c r="H1201" s="4">
        <v>1186</v>
      </c>
      <c r="I1201" s="3">
        <v>0.6676528693339524</v>
      </c>
      <c r="J1201" s="128">
        <v>1.2860293298630956E-3</v>
      </c>
      <c r="K1201" s="128"/>
      <c r="L1201" s="128">
        <v>4.0800000000000003E-2</v>
      </c>
      <c r="O1201" s="2"/>
    </row>
    <row r="1202" spans="2:15" x14ac:dyDescent="0.2">
      <c r="B1202" s="1">
        <v>1187</v>
      </c>
      <c r="C1202" s="5">
        <f ca="1">_xlfn.NORM.S.INV(RAND())</f>
        <v>0.32759715326982658</v>
      </c>
      <c r="D1202" s="5">
        <f ca="1">S0*EXP((μ-0.5*σ*σ)*T+σ*SQRT(T)*$C1202)</f>
        <v>0.6863175500005122</v>
      </c>
      <c r="E1202" s="5">
        <f ca="1">MAX(0,CP*(D1202-K))</f>
        <v>0</v>
      </c>
      <c r="F1202" s="4">
        <f ca="1">(CP*(D1202-K)&gt;0)*1</f>
        <v>0</v>
      </c>
      <c r="H1202" s="4">
        <v>1187</v>
      </c>
      <c r="I1202" s="3">
        <v>0.66766843087619465</v>
      </c>
      <c r="J1202" s="128">
        <v>1.2433609624805922E-3</v>
      </c>
      <c r="K1202" s="128"/>
      <c r="L1202" s="128">
        <v>3.8399999999999997E-2</v>
      </c>
      <c r="O1202" s="2"/>
    </row>
    <row r="1203" spans="2:15" x14ac:dyDescent="0.2">
      <c r="B1203" s="1">
        <v>1188</v>
      </c>
      <c r="C1203" s="5">
        <f ca="1">_xlfn.NORM.S.INV(RAND())</f>
        <v>-1.4355923578405607</v>
      </c>
      <c r="D1203" s="5">
        <f ca="1">S0*EXP((μ-0.5*σ*σ)*T+σ*SQRT(T)*$C1203)</f>
        <v>0.57680948436999235</v>
      </c>
      <c r="E1203" s="5">
        <f ca="1">MAX(0,CP*(D1203-K))</f>
        <v>0</v>
      </c>
      <c r="F1203" s="4">
        <f ca="1">(CP*(D1203-K)&gt;0)*1</f>
        <v>0</v>
      </c>
      <c r="H1203" s="4">
        <v>1188</v>
      </c>
      <c r="I1203" s="3">
        <v>0.66778173218319281</v>
      </c>
      <c r="J1203" s="128">
        <v>1.4253670335024641E-3</v>
      </c>
      <c r="K1203" s="128"/>
      <c r="L1203" s="128">
        <v>4.4200000000000003E-2</v>
      </c>
      <c r="O1203" s="2"/>
    </row>
    <row r="1204" spans="2:15" x14ac:dyDescent="0.2">
      <c r="B1204" s="1">
        <v>1189</v>
      </c>
      <c r="C1204" s="5">
        <f ca="1">_xlfn.NORM.S.INV(RAND())</f>
        <v>0.299201975287258</v>
      </c>
      <c r="D1204" s="5">
        <f ca="1">S0*EXP((μ-0.5*σ*σ)*T+σ*SQRT(T)*$C1204)</f>
        <v>0.68439895336668</v>
      </c>
      <c r="E1204" s="5">
        <f ca="1">MAX(0,CP*(D1204-K))</f>
        <v>0</v>
      </c>
      <c r="F1204" s="4">
        <f ca="1">(CP*(D1204-K)&gt;0)*1</f>
        <v>0</v>
      </c>
      <c r="H1204" s="4">
        <v>1189</v>
      </c>
      <c r="I1204" s="3">
        <v>0.66785112316507034</v>
      </c>
      <c r="J1204" s="128">
        <v>1.4399299133236764E-3</v>
      </c>
      <c r="K1204" s="128"/>
      <c r="L1204" s="128">
        <v>4.3799999999999999E-2</v>
      </c>
      <c r="O1204" s="2"/>
    </row>
    <row r="1205" spans="2:15" x14ac:dyDescent="0.2">
      <c r="B1205" s="1">
        <v>1190</v>
      </c>
      <c r="C1205" s="5">
        <f ca="1">_xlfn.NORM.S.INV(RAND())</f>
        <v>1.1108598014038233</v>
      </c>
      <c r="D1205" s="5">
        <f ca="1">S0*EXP((μ-0.5*σ*σ)*T+σ*SQRT(T)*$C1205)</f>
        <v>0.7414148380852813</v>
      </c>
      <c r="E1205" s="5">
        <f ca="1">MAX(0,CP*(D1205-K))</f>
        <v>0</v>
      </c>
      <c r="F1205" s="4">
        <f ca="1">(CP*(D1205-K)&gt;0)*1</f>
        <v>0</v>
      </c>
      <c r="H1205" s="4">
        <v>1190</v>
      </c>
      <c r="I1205" s="3">
        <v>0.6677899820382166</v>
      </c>
      <c r="J1205" s="128">
        <v>1.4877703108750796E-3</v>
      </c>
      <c r="K1205" s="128"/>
      <c r="L1205" s="128">
        <v>4.2799999999999998E-2</v>
      </c>
      <c r="O1205" s="2"/>
    </row>
    <row r="1206" spans="2:15" x14ac:dyDescent="0.2">
      <c r="B1206" s="1">
        <v>1191</v>
      </c>
      <c r="C1206" s="5">
        <f ca="1">_xlfn.NORM.S.INV(RAND())</f>
        <v>0.36424257890883521</v>
      </c>
      <c r="D1206" s="5">
        <f ca="1">S0*EXP((μ-0.5*σ*σ)*T+σ*SQRT(T)*$C1206)</f>
        <v>0.68880154854370967</v>
      </c>
      <c r="E1206" s="5">
        <f ca="1">MAX(0,CP*(D1206-K))</f>
        <v>0</v>
      </c>
      <c r="F1206" s="4">
        <f ca="1">(CP*(D1206-K)&gt;0)*1</f>
        <v>0</v>
      </c>
      <c r="H1206" s="4">
        <v>1191</v>
      </c>
      <c r="I1206" s="3">
        <v>0.66770221210533054</v>
      </c>
      <c r="J1206" s="128">
        <v>1.421535461845106E-3</v>
      </c>
      <c r="K1206" s="128"/>
      <c r="L1206" s="128">
        <v>3.9199999999999999E-2</v>
      </c>
      <c r="O1206" s="2"/>
    </row>
    <row r="1207" spans="2:15" x14ac:dyDescent="0.2">
      <c r="B1207" s="1">
        <v>1192</v>
      </c>
      <c r="C1207" s="5">
        <f ca="1">_xlfn.NORM.S.INV(RAND())</f>
        <v>0.73263033625792107</v>
      </c>
      <c r="D1207" s="5">
        <f ca="1">S0*EXP((μ-0.5*σ*σ)*T+σ*SQRT(T)*$C1207)</f>
        <v>0.71427755419482963</v>
      </c>
      <c r="E1207" s="5">
        <f ca="1">MAX(0,CP*(D1207-K))</f>
        <v>0</v>
      </c>
      <c r="F1207" s="4">
        <f ca="1">(CP*(D1207-K)&gt;0)*1</f>
        <v>0</v>
      </c>
      <c r="H1207" s="4">
        <v>1192</v>
      </c>
      <c r="I1207" s="3">
        <v>0.66768811422021601</v>
      </c>
      <c r="J1207" s="128">
        <v>1.2697742449379755E-3</v>
      </c>
      <c r="K1207" s="128"/>
      <c r="L1207" s="128">
        <v>3.9800000000000002E-2</v>
      </c>
      <c r="O1207" s="2"/>
    </row>
    <row r="1208" spans="2:15" x14ac:dyDescent="0.2">
      <c r="B1208" s="1">
        <v>1193</v>
      </c>
      <c r="C1208" s="5">
        <f ca="1">_xlfn.NORM.S.INV(RAND())</f>
        <v>0.90016463329654028</v>
      </c>
      <c r="D1208" s="5">
        <f ca="1">S0*EXP((μ-0.5*σ*σ)*T+σ*SQRT(T)*$C1208)</f>
        <v>0.72617308870918573</v>
      </c>
      <c r="E1208" s="5">
        <f ca="1">MAX(0,CP*(D1208-K))</f>
        <v>0</v>
      </c>
      <c r="F1208" s="4">
        <f ca="1">(CP*(D1208-K)&gt;0)*1</f>
        <v>0</v>
      </c>
      <c r="H1208" s="4">
        <v>1193</v>
      </c>
      <c r="I1208" s="3">
        <v>0.66756086008223658</v>
      </c>
      <c r="J1208" s="128">
        <v>1.1844316320977029E-3</v>
      </c>
      <c r="K1208" s="128"/>
      <c r="L1208" s="128">
        <v>3.7400000000000003E-2</v>
      </c>
      <c r="O1208" s="2"/>
    </row>
    <row r="1209" spans="2:15" x14ac:dyDescent="0.2">
      <c r="B1209" s="1">
        <v>1194</v>
      </c>
      <c r="C1209" s="5">
        <f ca="1">_xlfn.NORM.S.INV(RAND())</f>
        <v>0.47834205927258949</v>
      </c>
      <c r="D1209" s="5">
        <f ca="1">S0*EXP((μ-0.5*σ*σ)*T+σ*SQRT(T)*$C1209)</f>
        <v>0.6965934676106692</v>
      </c>
      <c r="E1209" s="5">
        <f ca="1">MAX(0,CP*(D1209-K))</f>
        <v>0</v>
      </c>
      <c r="F1209" s="4">
        <f ca="1">(CP*(D1209-K)&gt;0)*1</f>
        <v>0</v>
      </c>
      <c r="H1209" s="4">
        <v>1194</v>
      </c>
      <c r="I1209" s="3">
        <v>0.66775881270615778</v>
      </c>
      <c r="J1209" s="128">
        <v>1.4430461163739586E-3</v>
      </c>
      <c r="K1209" s="128"/>
      <c r="L1209" s="128">
        <v>4.5400000000000003E-2</v>
      </c>
      <c r="O1209" s="2"/>
    </row>
    <row r="1210" spans="2:15" x14ac:dyDescent="0.2">
      <c r="B1210" s="1">
        <v>1195</v>
      </c>
      <c r="C1210" s="5">
        <f ca="1">_xlfn.NORM.S.INV(RAND())</f>
        <v>-0.99652644523241285</v>
      </c>
      <c r="D1210" s="5">
        <f ca="1">S0*EXP((μ-0.5*σ*σ)*T+σ*SQRT(T)*$C1210)</f>
        <v>0.60232575865883264</v>
      </c>
      <c r="E1210" s="5">
        <f ca="1">MAX(0,CP*(D1210-K))</f>
        <v>0</v>
      </c>
      <c r="F1210" s="4">
        <f ca="1">(CP*(D1210-K)&gt;0)*1</f>
        <v>0</v>
      </c>
      <c r="H1210" s="4">
        <v>1195</v>
      </c>
      <c r="I1210" s="3">
        <v>0.66776520789375871</v>
      </c>
      <c r="J1210" s="128">
        <v>1.352937809650084E-3</v>
      </c>
      <c r="K1210" s="128"/>
      <c r="L1210" s="128">
        <v>0.04</v>
      </c>
      <c r="O1210" s="2"/>
    </row>
    <row r="1211" spans="2:15" x14ac:dyDescent="0.2">
      <c r="B1211" s="1">
        <v>1196</v>
      </c>
      <c r="C1211" s="5">
        <f ca="1">_xlfn.NORM.S.INV(RAND())</f>
        <v>-1.3263974639046014</v>
      </c>
      <c r="D1211" s="5">
        <f ca="1">S0*EXP((μ-0.5*σ*σ)*T+σ*SQRT(T)*$C1211)</f>
        <v>0.58305252534294805</v>
      </c>
      <c r="E1211" s="5">
        <f ca="1">MAX(0,CP*(D1211-K))</f>
        <v>0</v>
      </c>
      <c r="F1211" s="4">
        <f ca="1">(CP*(D1211-K)&gt;0)*1</f>
        <v>0</v>
      </c>
      <c r="H1211" s="4">
        <v>1196</v>
      </c>
      <c r="I1211" s="3">
        <v>0.6679392378175868</v>
      </c>
      <c r="J1211" s="128">
        <v>1.5570198279260352E-3</v>
      </c>
      <c r="K1211" s="128"/>
      <c r="L1211" s="128">
        <v>4.7E-2</v>
      </c>
      <c r="O1211" s="2"/>
    </row>
    <row r="1212" spans="2:15" x14ac:dyDescent="0.2">
      <c r="B1212" s="1">
        <v>1197</v>
      </c>
      <c r="C1212" s="5">
        <f ca="1">_xlfn.NORM.S.INV(RAND())</f>
        <v>0.46284556706146018</v>
      </c>
      <c r="D1212" s="5">
        <f ca="1">S0*EXP((μ-0.5*σ*σ)*T+σ*SQRT(T)*$C1212)</f>
        <v>0.69553005253288092</v>
      </c>
      <c r="E1212" s="5">
        <f ca="1">MAX(0,CP*(D1212-K))</f>
        <v>0</v>
      </c>
      <c r="F1212" s="4">
        <f ca="1">(CP*(D1212-K)&gt;0)*1</f>
        <v>0</v>
      </c>
      <c r="H1212" s="4">
        <v>1197</v>
      </c>
      <c r="I1212" s="3">
        <v>0.66788902638161129</v>
      </c>
      <c r="J1212" s="128">
        <v>1.5780565804434106E-3</v>
      </c>
      <c r="K1212" s="128"/>
      <c r="L1212" s="128">
        <v>4.2000000000000003E-2</v>
      </c>
      <c r="O1212" s="2"/>
    </row>
    <row r="1213" spans="2:15" x14ac:dyDescent="0.2">
      <c r="B1213" s="1">
        <v>1198</v>
      </c>
      <c r="C1213" s="5">
        <f ca="1">_xlfn.NORM.S.INV(RAND())</f>
        <v>0.53137225370407426</v>
      </c>
      <c r="D1213" s="5">
        <f ca="1">S0*EXP((μ-0.5*σ*σ)*T+σ*SQRT(T)*$C1213)</f>
        <v>0.70024487342123221</v>
      </c>
      <c r="E1213" s="5">
        <f ca="1">MAX(0,CP*(D1213-K))</f>
        <v>0</v>
      </c>
      <c r="F1213" s="4">
        <f ca="1">(CP*(D1213-K)&gt;0)*1</f>
        <v>0</v>
      </c>
      <c r="H1213" s="4">
        <v>1198</v>
      </c>
      <c r="I1213" s="3">
        <v>0.66770645926897376</v>
      </c>
      <c r="J1213" s="128">
        <v>1.4198090074328954E-3</v>
      </c>
      <c r="K1213" s="128"/>
      <c r="L1213" s="128">
        <v>4.1599999999999998E-2</v>
      </c>
      <c r="O1213" s="2"/>
    </row>
    <row r="1214" spans="2:15" x14ac:dyDescent="0.2">
      <c r="B1214" s="1">
        <v>1199</v>
      </c>
      <c r="C1214" s="5">
        <f ca="1">_xlfn.NORM.S.INV(RAND())</f>
        <v>0.94776682270306734</v>
      </c>
      <c r="D1214" s="5">
        <f ca="1">S0*EXP((μ-0.5*σ*σ)*T+σ*SQRT(T)*$C1214)</f>
        <v>0.72958901322333403</v>
      </c>
      <c r="E1214" s="5">
        <f ca="1">MAX(0,CP*(D1214-K))</f>
        <v>0</v>
      </c>
      <c r="F1214" s="4">
        <f ca="1">(CP*(D1214-K)&gt;0)*1</f>
        <v>0</v>
      </c>
      <c r="H1214" s="4">
        <v>1199</v>
      </c>
      <c r="I1214" s="3">
        <v>0.667783615438167</v>
      </c>
      <c r="J1214" s="128">
        <v>1.443116239247564E-3</v>
      </c>
      <c r="K1214" s="128"/>
      <c r="L1214" s="128">
        <v>4.2000000000000003E-2</v>
      </c>
      <c r="O1214" s="2"/>
    </row>
    <row r="1215" spans="2:15" x14ac:dyDescent="0.2">
      <c r="B1215" s="1">
        <v>1200</v>
      </c>
      <c r="C1215" s="5">
        <f ca="1">_xlfn.NORM.S.INV(RAND())</f>
        <v>8.9401368530030778E-2</v>
      </c>
      <c r="D1215" s="5">
        <f ca="1">S0*EXP((μ-0.5*σ*σ)*T+σ*SQRT(T)*$C1215)</f>
        <v>0.67038843744738319</v>
      </c>
      <c r="E1215" s="5">
        <f ca="1">MAX(0,CP*(D1215-K))</f>
        <v>0</v>
      </c>
      <c r="F1215" s="4">
        <f ca="1">(CP*(D1215-K)&gt;0)*1</f>
        <v>0</v>
      </c>
      <c r="H1215" s="4">
        <v>1200</v>
      </c>
      <c r="I1215" s="3">
        <v>0.66780707780574389</v>
      </c>
      <c r="J1215" s="128">
        <v>1.4263504443630844E-3</v>
      </c>
      <c r="K1215" s="128"/>
      <c r="L1215" s="128">
        <v>4.0399999999999998E-2</v>
      </c>
      <c r="O1215" s="2"/>
    </row>
    <row r="1216" spans="2:15" x14ac:dyDescent="0.2">
      <c r="B1216" s="1">
        <v>1201</v>
      </c>
      <c r="C1216" s="5">
        <f ca="1">_xlfn.NORM.S.INV(RAND())</f>
        <v>0.18475389561769937</v>
      </c>
      <c r="D1216" s="5">
        <f ca="1">S0*EXP((μ-0.5*σ*σ)*T+σ*SQRT(T)*$C1216)</f>
        <v>0.67672018146803425</v>
      </c>
      <c r="E1216" s="5">
        <f ca="1">MAX(0,CP*(D1216-K))</f>
        <v>0</v>
      </c>
      <c r="F1216" s="4">
        <f ca="1">(CP*(D1216-K)&gt;0)*1</f>
        <v>0</v>
      </c>
      <c r="H1216" s="4">
        <v>1201</v>
      </c>
      <c r="I1216" s="3">
        <v>0.6678477680718754</v>
      </c>
      <c r="J1216" s="128">
        <v>1.5090389166636754E-3</v>
      </c>
      <c r="K1216" s="128"/>
      <c r="L1216" s="128">
        <v>4.7800000000000002E-2</v>
      </c>
      <c r="O1216" s="2"/>
    </row>
    <row r="1217" spans="2:15" x14ac:dyDescent="0.2">
      <c r="B1217" s="1">
        <v>1202</v>
      </c>
      <c r="C1217" s="5">
        <f ca="1">_xlfn.NORM.S.INV(RAND())</f>
        <v>0.47436805953394412</v>
      </c>
      <c r="D1217" s="5">
        <f ca="1">S0*EXP((μ-0.5*σ*σ)*T+σ*SQRT(T)*$C1217)</f>
        <v>0.69632060509447191</v>
      </c>
      <c r="E1217" s="5">
        <f ca="1">MAX(0,CP*(D1217-K))</f>
        <v>0</v>
      </c>
      <c r="F1217" s="4">
        <f ca="1">(CP*(D1217-K)&gt;0)*1</f>
        <v>0</v>
      </c>
      <c r="H1217" s="4">
        <v>1202</v>
      </c>
      <c r="I1217" s="3">
        <v>0.66769445073093581</v>
      </c>
      <c r="J1217" s="128">
        <v>1.2856567651269792E-3</v>
      </c>
      <c r="K1217" s="128"/>
      <c r="L1217" s="128">
        <v>4.3400000000000001E-2</v>
      </c>
      <c r="O1217" s="2"/>
    </row>
    <row r="1218" spans="2:15" x14ac:dyDescent="0.2">
      <c r="B1218" s="1">
        <v>1203</v>
      </c>
      <c r="C1218" s="5">
        <f ca="1">_xlfn.NORM.S.INV(RAND())</f>
        <v>-0.10034902602371459</v>
      </c>
      <c r="D1218" s="5">
        <f ca="1">S0*EXP((μ-0.5*σ*σ)*T+σ*SQRT(T)*$C1218)</f>
        <v>0.65796404731458979</v>
      </c>
      <c r="E1218" s="5">
        <f ca="1">MAX(0,CP*(D1218-K))</f>
        <v>0</v>
      </c>
      <c r="F1218" s="4">
        <f ca="1">(CP*(D1218-K)&gt;0)*1</f>
        <v>0</v>
      </c>
      <c r="H1218" s="4">
        <v>1203</v>
      </c>
      <c r="I1218" s="3">
        <v>0.66769712610548781</v>
      </c>
      <c r="J1218" s="128">
        <v>1.3045560875960334E-3</v>
      </c>
      <c r="K1218" s="128"/>
      <c r="L1218" s="128">
        <v>3.7400000000000003E-2</v>
      </c>
      <c r="O1218" s="2"/>
    </row>
    <row r="1219" spans="2:15" x14ac:dyDescent="0.2">
      <c r="B1219" s="1">
        <v>1204</v>
      </c>
      <c r="C1219" s="5">
        <f ca="1">_xlfn.NORM.S.INV(RAND())</f>
        <v>1.1171450773354517</v>
      </c>
      <c r="D1219" s="5">
        <f ca="1">S0*EXP((μ-0.5*σ*σ)*T+σ*SQRT(T)*$C1219)</f>
        <v>0.74187439775071051</v>
      </c>
      <c r="E1219" s="5">
        <f ca="1">MAX(0,CP*(D1219-K))</f>
        <v>0</v>
      </c>
      <c r="F1219" s="4">
        <f ca="1">(CP*(D1219-K)&gt;0)*1</f>
        <v>0</v>
      </c>
      <c r="H1219" s="4">
        <v>1204</v>
      </c>
      <c r="I1219" s="3">
        <v>0.66771027114730563</v>
      </c>
      <c r="J1219" s="128">
        <v>1.1934099089926104E-3</v>
      </c>
      <c r="K1219" s="128"/>
      <c r="L1219" s="128">
        <v>4.2200000000000001E-2</v>
      </c>
      <c r="O1219" s="2"/>
    </row>
    <row r="1220" spans="2:15" x14ac:dyDescent="0.2">
      <c r="B1220" s="1">
        <v>1205</v>
      </c>
      <c r="C1220" s="5">
        <f ca="1">_xlfn.NORM.S.INV(RAND())</f>
        <v>-1.3196182190106358</v>
      </c>
      <c r="D1220" s="5">
        <f ca="1">S0*EXP((μ-0.5*σ*σ)*T+σ*SQRT(T)*$C1220)</f>
        <v>0.58344233793333033</v>
      </c>
      <c r="E1220" s="5">
        <f ca="1">MAX(0,CP*(D1220-K))</f>
        <v>0</v>
      </c>
      <c r="F1220" s="4">
        <f ca="1">(CP*(D1220-K)&gt;0)*1</f>
        <v>0</v>
      </c>
      <c r="H1220" s="4">
        <v>1205</v>
      </c>
      <c r="I1220" s="3">
        <v>0.66778063069226989</v>
      </c>
      <c r="J1220" s="128">
        <v>1.3488612049603027E-3</v>
      </c>
      <c r="K1220" s="128"/>
      <c r="L1220" s="128">
        <v>4.36E-2</v>
      </c>
      <c r="O1220" s="2"/>
    </row>
    <row r="1221" spans="2:15" x14ac:dyDescent="0.2">
      <c r="B1221" s="1">
        <v>1206</v>
      </c>
      <c r="C1221" s="5">
        <f ca="1">_xlfn.NORM.S.INV(RAND())</f>
        <v>0.33476694267923307</v>
      </c>
      <c r="D1221" s="5">
        <f ca="1">S0*EXP((μ-0.5*σ*σ)*T+σ*SQRT(T)*$C1221)</f>
        <v>0.68680284601502395</v>
      </c>
      <c r="E1221" s="5">
        <f ca="1">MAX(0,CP*(D1221-K))</f>
        <v>0</v>
      </c>
      <c r="F1221" s="4">
        <f ca="1">(CP*(D1221-K)&gt;0)*1</f>
        <v>0</v>
      </c>
      <c r="H1221" s="4">
        <v>1206</v>
      </c>
      <c r="I1221" s="3">
        <v>0.66778090626512321</v>
      </c>
      <c r="J1221" s="128">
        <v>1.3742060811191574E-3</v>
      </c>
      <c r="K1221" s="128"/>
      <c r="L1221" s="128">
        <v>4.24E-2</v>
      </c>
      <c r="O1221" s="2"/>
    </row>
    <row r="1222" spans="2:15" x14ac:dyDescent="0.2">
      <c r="B1222" s="1">
        <v>1207</v>
      </c>
      <c r="C1222" s="5">
        <f ca="1">_xlfn.NORM.S.INV(RAND())</f>
        <v>-1.0309097577816941</v>
      </c>
      <c r="D1222" s="5">
        <f ca="1">S0*EXP((μ-0.5*σ*σ)*T+σ*SQRT(T)*$C1222)</f>
        <v>0.60028747321981402</v>
      </c>
      <c r="E1222" s="5">
        <f ca="1">MAX(0,CP*(D1222-K))</f>
        <v>0</v>
      </c>
      <c r="F1222" s="4">
        <f ca="1">(CP*(D1222-K)&gt;0)*1</f>
        <v>0</v>
      </c>
      <c r="H1222" s="4">
        <v>1207</v>
      </c>
      <c r="I1222" s="3">
        <v>0.66786324055191426</v>
      </c>
      <c r="J1222" s="128">
        <v>1.5319991193116821E-3</v>
      </c>
      <c r="K1222" s="128"/>
      <c r="L1222" s="128">
        <v>4.4999999999999998E-2</v>
      </c>
      <c r="O1222" s="2"/>
    </row>
    <row r="1223" spans="2:15" x14ac:dyDescent="0.2">
      <c r="B1223" s="1">
        <v>1208</v>
      </c>
      <c r="C1223" s="5">
        <f ca="1">_xlfn.NORM.S.INV(RAND())</f>
        <v>0.38654861054765288</v>
      </c>
      <c r="D1223" s="5">
        <f ca="1">S0*EXP((μ-0.5*σ*σ)*T+σ*SQRT(T)*$C1223)</f>
        <v>0.69031795548665753</v>
      </c>
      <c r="E1223" s="5">
        <f ca="1">MAX(0,CP*(D1223-K))</f>
        <v>0</v>
      </c>
      <c r="F1223" s="4">
        <f ca="1">(CP*(D1223-K)&gt;0)*1</f>
        <v>0</v>
      </c>
      <c r="H1223" s="4">
        <v>1208</v>
      </c>
      <c r="I1223" s="3">
        <v>0.66777098229656828</v>
      </c>
      <c r="J1223" s="128">
        <v>1.46390437786343E-3</v>
      </c>
      <c r="K1223" s="128"/>
      <c r="L1223" s="128">
        <v>4.24E-2</v>
      </c>
      <c r="O1223" s="2"/>
    </row>
    <row r="1224" spans="2:15" x14ac:dyDescent="0.2">
      <c r="B1224" s="1">
        <v>1209</v>
      </c>
      <c r="C1224" s="5">
        <f ca="1">_xlfn.NORM.S.INV(RAND())</f>
        <v>0.39781941378662883</v>
      </c>
      <c r="D1224" s="5">
        <f ca="1">S0*EXP((μ-0.5*σ*σ)*T+σ*SQRT(T)*$C1224)</f>
        <v>0.69108543548520684</v>
      </c>
      <c r="E1224" s="5">
        <f ca="1">MAX(0,CP*(D1224-K))</f>
        <v>0</v>
      </c>
      <c r="F1224" s="4">
        <f ca="1">(CP*(D1224-K)&gt;0)*1</f>
        <v>0</v>
      </c>
      <c r="H1224" s="4">
        <v>1209</v>
      </c>
      <c r="I1224" s="3">
        <v>0.66769592860166671</v>
      </c>
      <c r="J1224" s="128">
        <v>1.3117242594251665E-3</v>
      </c>
      <c r="K1224" s="128"/>
      <c r="L1224" s="128">
        <v>4.1200000000000001E-2</v>
      </c>
      <c r="O1224" s="2"/>
    </row>
    <row r="1225" spans="2:15" x14ac:dyDescent="0.2">
      <c r="B1225" s="1">
        <v>1210</v>
      </c>
      <c r="C1225" s="5">
        <f ca="1">_xlfn.NORM.S.INV(RAND())</f>
        <v>-0.86382158564505107</v>
      </c>
      <c r="D1225" s="5">
        <f ca="1">S0*EXP((μ-0.5*σ*σ)*T+σ*SQRT(T)*$C1225)</f>
        <v>0.61025778278067877</v>
      </c>
      <c r="E1225" s="5">
        <f ca="1">MAX(0,CP*(D1225-K))</f>
        <v>0</v>
      </c>
      <c r="F1225" s="4">
        <f ca="1">(CP*(D1225-K)&gt;0)*1</f>
        <v>0</v>
      </c>
      <c r="H1225" s="4">
        <v>1210</v>
      </c>
      <c r="I1225" s="3">
        <v>0.6677315651745751</v>
      </c>
      <c r="J1225" s="128">
        <v>1.4137329301816379E-3</v>
      </c>
      <c r="K1225" s="128"/>
      <c r="L1225" s="128">
        <v>4.0599999999999997E-2</v>
      </c>
      <c r="O1225" s="2"/>
    </row>
    <row r="1226" spans="2:15" x14ac:dyDescent="0.2">
      <c r="B1226" s="1">
        <v>1211</v>
      </c>
      <c r="C1226" s="5">
        <f ca="1">_xlfn.NORM.S.INV(RAND())</f>
        <v>1.3808587324855477</v>
      </c>
      <c r="D1226" s="5">
        <f ca="1">S0*EXP((μ-0.5*σ*σ)*T+σ*SQRT(T)*$C1226)</f>
        <v>0.76141520654303618</v>
      </c>
      <c r="E1226" s="5">
        <f ca="1">MAX(0,CP*(D1226-K))</f>
        <v>0</v>
      </c>
      <c r="F1226" s="4">
        <f ca="1">(CP*(D1226-K)&gt;0)*1</f>
        <v>0</v>
      </c>
      <c r="H1226" s="4">
        <v>1211</v>
      </c>
      <c r="I1226" s="3">
        <v>0.66777800644785945</v>
      </c>
      <c r="J1226" s="128">
        <v>1.4842005792550007E-3</v>
      </c>
      <c r="K1226" s="128"/>
      <c r="L1226" s="128">
        <v>4.58E-2</v>
      </c>
      <c r="O1226" s="2"/>
    </row>
    <row r="1227" spans="2:15" x14ac:dyDescent="0.2">
      <c r="B1227" s="1">
        <v>1212</v>
      </c>
      <c r="C1227" s="5">
        <f ca="1">_xlfn.NORM.S.INV(RAND())</f>
        <v>-0.18423574971970791</v>
      </c>
      <c r="D1227" s="5">
        <f ca="1">S0*EXP((μ-0.5*σ*σ)*T+σ*SQRT(T)*$C1227)</f>
        <v>0.65254500543094596</v>
      </c>
      <c r="E1227" s="5">
        <f ca="1">MAX(0,CP*(D1227-K))</f>
        <v>0</v>
      </c>
      <c r="F1227" s="4">
        <f ca="1">(CP*(D1227-K)&gt;0)*1</f>
        <v>0</v>
      </c>
      <c r="H1227" s="4">
        <v>1212</v>
      </c>
      <c r="I1227" s="3">
        <v>0.66772518980587015</v>
      </c>
      <c r="J1227" s="128">
        <v>1.3369050333011162E-3</v>
      </c>
      <c r="K1227" s="128"/>
      <c r="L1227" s="128">
        <v>4.1599999999999998E-2</v>
      </c>
      <c r="O1227" s="2"/>
    </row>
    <row r="1228" spans="2:15" x14ac:dyDescent="0.2">
      <c r="B1228" s="1">
        <v>1213</v>
      </c>
      <c r="C1228" s="5">
        <f ca="1">_xlfn.NORM.S.INV(RAND())</f>
        <v>0.69826160036382723</v>
      </c>
      <c r="D1228" s="5">
        <f ca="1">S0*EXP((μ-0.5*σ*σ)*T+σ*SQRT(T)*$C1228)</f>
        <v>0.71186144407634233</v>
      </c>
      <c r="E1228" s="5">
        <f ca="1">MAX(0,CP*(D1228-K))</f>
        <v>0</v>
      </c>
      <c r="F1228" s="4">
        <f ca="1">(CP*(D1228-K)&gt;0)*1</f>
        <v>0</v>
      </c>
      <c r="H1228" s="4">
        <v>1213</v>
      </c>
      <c r="I1228" s="3">
        <v>0.6677031751253909</v>
      </c>
      <c r="J1228" s="128">
        <v>1.197926637759666E-3</v>
      </c>
      <c r="K1228" s="128"/>
      <c r="L1228" s="128">
        <v>4.1200000000000001E-2</v>
      </c>
      <c r="O1228" s="2"/>
    </row>
    <row r="1229" spans="2:15" x14ac:dyDescent="0.2">
      <c r="B1229" s="1">
        <v>1214</v>
      </c>
      <c r="C1229" s="5">
        <f ca="1">_xlfn.NORM.S.INV(RAND())</f>
        <v>-0.46238423882417595</v>
      </c>
      <c r="D1229" s="5">
        <f ca="1">S0*EXP((μ-0.5*σ*σ)*T+σ*SQRT(T)*$C1229)</f>
        <v>0.63489406290564976</v>
      </c>
      <c r="E1229" s="5">
        <f ca="1">MAX(0,CP*(D1229-K))</f>
        <v>0</v>
      </c>
      <c r="F1229" s="4">
        <f ca="1">(CP*(D1229-K)&gt;0)*1</f>
        <v>0</v>
      </c>
      <c r="H1229" s="4">
        <v>1214</v>
      </c>
      <c r="I1229" s="3">
        <v>0.66776019456755342</v>
      </c>
      <c r="J1229" s="128">
        <v>1.3628249504162638E-3</v>
      </c>
      <c r="K1229" s="128"/>
      <c r="L1229" s="128">
        <v>4.24E-2</v>
      </c>
      <c r="O1229" s="2"/>
    </row>
    <row r="1230" spans="2:15" x14ac:dyDescent="0.2">
      <c r="B1230" s="1">
        <v>1215</v>
      </c>
      <c r="C1230" s="5">
        <f ca="1">_xlfn.NORM.S.INV(RAND())</f>
        <v>0.45649346463006668</v>
      </c>
      <c r="D1230" s="5">
        <f ca="1">S0*EXP((μ-0.5*σ*σ)*T+σ*SQRT(T)*$C1230)</f>
        <v>0.69509462174396808</v>
      </c>
      <c r="E1230" s="5">
        <f ca="1">MAX(0,CP*(D1230-K))</f>
        <v>0</v>
      </c>
      <c r="F1230" s="4">
        <f ca="1">(CP*(D1230-K)&gt;0)*1</f>
        <v>0</v>
      </c>
      <c r="H1230" s="4">
        <v>1215</v>
      </c>
      <c r="I1230" s="3">
        <v>0.66771715926442055</v>
      </c>
      <c r="J1230" s="128">
        <v>1.340986727713102E-3</v>
      </c>
      <c r="K1230" s="128"/>
      <c r="L1230" s="128">
        <v>3.9800000000000002E-2</v>
      </c>
      <c r="O1230" s="2"/>
    </row>
    <row r="1231" spans="2:15" x14ac:dyDescent="0.2">
      <c r="B1231" s="1">
        <v>1216</v>
      </c>
      <c r="C1231" s="5">
        <f ca="1">_xlfn.NORM.S.INV(RAND())</f>
        <v>-0.61023865228807683</v>
      </c>
      <c r="D1231" s="5">
        <f ca="1">S0*EXP((μ-0.5*σ*σ)*T+σ*SQRT(T)*$C1231)</f>
        <v>0.62570659452926958</v>
      </c>
      <c r="E1231" s="5">
        <f ca="1">MAX(0,CP*(D1231-K))</f>
        <v>0</v>
      </c>
      <c r="F1231" s="4">
        <f ca="1">(CP*(D1231-K)&gt;0)*1</f>
        <v>0</v>
      </c>
      <c r="H1231" s="4">
        <v>1216</v>
      </c>
      <c r="I1231" s="3">
        <v>0.66779063141305373</v>
      </c>
      <c r="J1231" s="128">
        <v>1.3426365231506143E-3</v>
      </c>
      <c r="K1231" s="128"/>
      <c r="L1231" s="128">
        <v>4.2799999999999998E-2</v>
      </c>
      <c r="O1231" s="2"/>
    </row>
    <row r="1232" spans="2:15" x14ac:dyDescent="0.2">
      <c r="B1232" s="1">
        <v>1217</v>
      </c>
      <c r="C1232" s="5">
        <f ca="1">_xlfn.NORM.S.INV(RAND())</f>
        <v>-0.67315413303379801</v>
      </c>
      <c r="D1232" s="5">
        <f ca="1">S0*EXP((μ-0.5*σ*σ)*T+σ*SQRT(T)*$C1232)</f>
        <v>0.62183754959150694</v>
      </c>
      <c r="E1232" s="5">
        <f ca="1">MAX(0,CP*(D1232-K))</f>
        <v>0</v>
      </c>
      <c r="F1232" s="4">
        <f ca="1">(CP*(D1232-K)&gt;0)*1</f>
        <v>0</v>
      </c>
      <c r="H1232" s="4">
        <v>1217</v>
      </c>
      <c r="I1232" s="3">
        <v>0.6676446374188254</v>
      </c>
      <c r="J1232" s="128">
        <v>1.3752971947638929E-3</v>
      </c>
      <c r="K1232" s="128"/>
      <c r="L1232" s="128">
        <v>3.9399999999999998E-2</v>
      </c>
      <c r="O1232" s="2"/>
    </row>
    <row r="1233" spans="2:15" x14ac:dyDescent="0.2">
      <c r="B1233" s="1">
        <v>1218</v>
      </c>
      <c r="C1233" s="5">
        <f ca="1">_xlfn.NORM.S.INV(RAND())</f>
        <v>0.82912206344470374</v>
      </c>
      <c r="D1233" s="5">
        <f ca="1">S0*EXP((μ-0.5*σ*σ)*T+σ*SQRT(T)*$C1233)</f>
        <v>0.72110480937819998</v>
      </c>
      <c r="E1233" s="5">
        <f ca="1">MAX(0,CP*(D1233-K))</f>
        <v>0</v>
      </c>
      <c r="F1233" s="4">
        <f ca="1">(CP*(D1233-K)&gt;0)*1</f>
        <v>0</v>
      </c>
      <c r="H1233" s="4">
        <v>1218</v>
      </c>
      <c r="I1233" s="3">
        <v>0.66772622846944274</v>
      </c>
      <c r="J1233" s="128">
        <v>1.3477458363755762E-3</v>
      </c>
      <c r="K1233" s="128"/>
      <c r="L1233" s="128">
        <v>4.02E-2</v>
      </c>
      <c r="O1233" s="2"/>
    </row>
    <row r="1234" spans="2:15" x14ac:dyDescent="0.2">
      <c r="B1234" s="1">
        <v>1219</v>
      </c>
      <c r="C1234" s="5">
        <f ca="1">_xlfn.NORM.S.INV(RAND())</f>
        <v>0.52494787353823857</v>
      </c>
      <c r="D1234" s="5">
        <f ca="1">S0*EXP((μ-0.5*σ*σ)*T+σ*SQRT(T)*$C1234)</f>
        <v>0.69980150437940192</v>
      </c>
      <c r="E1234" s="5">
        <f ca="1">MAX(0,CP*(D1234-K))</f>
        <v>0</v>
      </c>
      <c r="F1234" s="4">
        <f ca="1">(CP*(D1234-K)&gt;0)*1</f>
        <v>0</v>
      </c>
      <c r="H1234" s="4">
        <v>1219</v>
      </c>
      <c r="I1234" s="3">
        <v>0.66778241733343791</v>
      </c>
      <c r="J1234" s="128">
        <v>1.3784918573300328E-3</v>
      </c>
      <c r="K1234" s="128"/>
      <c r="L1234" s="128">
        <v>4.36E-2</v>
      </c>
      <c r="O1234" s="2"/>
    </row>
    <row r="1235" spans="2:15" x14ac:dyDescent="0.2">
      <c r="B1235" s="1">
        <v>1220</v>
      </c>
      <c r="C1235" s="5">
        <f ca="1">_xlfn.NORM.S.INV(RAND())</f>
        <v>0.23476131797214667</v>
      </c>
      <c r="D1235" s="5">
        <f ca="1">S0*EXP((μ-0.5*σ*σ)*T+σ*SQRT(T)*$C1235)</f>
        <v>0.68006472087081715</v>
      </c>
      <c r="E1235" s="5">
        <f ca="1">MAX(0,CP*(D1235-K))</f>
        <v>0</v>
      </c>
      <c r="F1235" s="4">
        <f ca="1">(CP*(D1235-K)&gt;0)*1</f>
        <v>0</v>
      </c>
      <c r="H1235" s="4">
        <v>1220</v>
      </c>
      <c r="I1235" s="3">
        <v>0.66777313465074617</v>
      </c>
      <c r="J1235" s="128">
        <v>1.4716337441355019E-3</v>
      </c>
      <c r="K1235" s="128"/>
      <c r="L1235" s="128">
        <v>4.1799999999999997E-2</v>
      </c>
      <c r="O1235" s="2"/>
    </row>
    <row r="1236" spans="2:15" x14ac:dyDescent="0.2">
      <c r="B1236" s="1">
        <v>1221</v>
      </c>
      <c r="C1236" s="5">
        <f ca="1">_xlfn.NORM.S.INV(RAND())</f>
        <v>-1.252897695828646</v>
      </c>
      <c r="D1236" s="5">
        <f ca="1">S0*EXP((μ-0.5*σ*σ)*T+σ*SQRT(T)*$C1236)</f>
        <v>0.58729275913653611</v>
      </c>
      <c r="E1236" s="5">
        <f ca="1">MAX(0,CP*(D1236-K))</f>
        <v>0</v>
      </c>
      <c r="F1236" s="4">
        <f ca="1">(CP*(D1236-K)&gt;0)*1</f>
        <v>0</v>
      </c>
      <c r="H1236" s="4">
        <v>1221</v>
      </c>
      <c r="I1236" s="3">
        <v>0.66766060691581275</v>
      </c>
      <c r="J1236" s="128">
        <v>1.3814321169911398E-3</v>
      </c>
      <c r="K1236" s="128"/>
      <c r="L1236" s="128">
        <v>3.8199999999999998E-2</v>
      </c>
      <c r="O1236" s="2"/>
    </row>
    <row r="1237" spans="2:15" x14ac:dyDescent="0.2">
      <c r="B1237" s="1">
        <v>1222</v>
      </c>
      <c r="C1237" s="5">
        <f ca="1">_xlfn.NORM.S.INV(RAND())</f>
        <v>0.47213708435066548</v>
      </c>
      <c r="D1237" s="5">
        <f ca="1">S0*EXP((μ-0.5*σ*σ)*T+σ*SQRT(T)*$C1237)</f>
        <v>0.69616746886601166</v>
      </c>
      <c r="E1237" s="5">
        <f ca="1">MAX(0,CP*(D1237-K))</f>
        <v>0</v>
      </c>
      <c r="F1237" s="4">
        <f ca="1">(CP*(D1237-K)&gt;0)*1</f>
        <v>0</v>
      </c>
      <c r="H1237" s="4">
        <v>1222</v>
      </c>
      <c r="I1237" s="3">
        <v>0.66772770280869553</v>
      </c>
      <c r="J1237" s="128">
        <v>1.3685709443814955E-3</v>
      </c>
      <c r="K1237" s="128"/>
      <c r="L1237" s="128">
        <v>4.1799999999999997E-2</v>
      </c>
      <c r="O1237" s="2"/>
    </row>
    <row r="1238" spans="2:15" x14ac:dyDescent="0.2">
      <c r="B1238" s="1">
        <v>1223</v>
      </c>
      <c r="C1238" s="5">
        <f ca="1">_xlfn.NORM.S.INV(RAND())</f>
        <v>0.51427931857129205</v>
      </c>
      <c r="D1238" s="5">
        <f ca="1">S0*EXP((μ-0.5*σ*σ)*T+σ*SQRT(T)*$C1238)</f>
        <v>0.6990658500095247</v>
      </c>
      <c r="E1238" s="5">
        <f ca="1">MAX(0,CP*(D1238-K))</f>
        <v>0</v>
      </c>
      <c r="F1238" s="4">
        <f ca="1">(CP*(D1238-K)&gt;0)*1</f>
        <v>0</v>
      </c>
      <c r="H1238" s="4">
        <v>1223</v>
      </c>
      <c r="I1238" s="3">
        <v>0.66781721014819839</v>
      </c>
      <c r="J1238" s="128">
        <v>1.2886792534586974E-3</v>
      </c>
      <c r="K1238" s="128"/>
      <c r="L1238" s="128">
        <v>4.1200000000000001E-2</v>
      </c>
      <c r="O1238" s="2"/>
    </row>
    <row r="1239" spans="2:15" x14ac:dyDescent="0.2">
      <c r="B1239" s="1">
        <v>1224</v>
      </c>
      <c r="C1239" s="5">
        <f ca="1">_xlfn.NORM.S.INV(RAND())</f>
        <v>-1.4587766589314315</v>
      </c>
      <c r="D1239" s="5">
        <f ca="1">S0*EXP((μ-0.5*σ*σ)*T+σ*SQRT(T)*$C1239)</f>
        <v>0.57549258713227525</v>
      </c>
      <c r="E1239" s="5">
        <f ca="1">MAX(0,CP*(D1239-K))</f>
        <v>0</v>
      </c>
      <c r="F1239" s="4">
        <f ca="1">(CP*(D1239-K)&gt;0)*1</f>
        <v>0</v>
      </c>
      <c r="H1239" s="4">
        <v>1224</v>
      </c>
      <c r="I1239" s="3">
        <v>0.66789346217947909</v>
      </c>
      <c r="J1239" s="128">
        <v>1.3411528876053425E-3</v>
      </c>
      <c r="K1239" s="128"/>
      <c r="L1239" s="128">
        <v>4.36E-2</v>
      </c>
      <c r="O1239" s="2"/>
    </row>
    <row r="1240" spans="2:15" x14ac:dyDescent="0.2">
      <c r="B1240" s="1">
        <v>1225</v>
      </c>
      <c r="C1240" s="5">
        <f ca="1">_xlfn.NORM.S.INV(RAND())</f>
        <v>-0.62856349330236938</v>
      </c>
      <c r="D1240" s="5">
        <f ca="1">S0*EXP((μ-0.5*σ*σ)*T+σ*SQRT(T)*$C1240)</f>
        <v>0.62457721365440122</v>
      </c>
      <c r="E1240" s="5">
        <f ca="1">MAX(0,CP*(D1240-K))</f>
        <v>0</v>
      </c>
      <c r="F1240" s="4">
        <f ca="1">(CP*(D1240-K)&gt;0)*1</f>
        <v>0</v>
      </c>
      <c r="H1240" s="4">
        <v>1225</v>
      </c>
      <c r="I1240" s="3">
        <v>0.66786585841198842</v>
      </c>
      <c r="J1240" s="128">
        <v>1.3445261849496213E-3</v>
      </c>
      <c r="K1240" s="128"/>
      <c r="L1240" s="128">
        <v>4.3799999999999999E-2</v>
      </c>
      <c r="O1240" s="2"/>
    </row>
    <row r="1241" spans="2:15" x14ac:dyDescent="0.2">
      <c r="B1241" s="1">
        <v>1226</v>
      </c>
      <c r="C1241" s="5">
        <f ca="1">_xlfn.NORM.S.INV(RAND())</f>
        <v>1.495222372538223</v>
      </c>
      <c r="D1241" s="5">
        <f ca="1">S0*EXP((μ-0.5*σ*σ)*T+σ*SQRT(T)*$C1241)</f>
        <v>0.77004860595428726</v>
      </c>
      <c r="E1241" s="5">
        <f ca="1">MAX(0,CP*(D1241-K))</f>
        <v>0</v>
      </c>
      <c r="F1241" s="4">
        <f ca="1">(CP*(D1241-K)&gt;0)*1</f>
        <v>0</v>
      </c>
      <c r="H1241" s="4">
        <v>1226</v>
      </c>
      <c r="I1241" s="3">
        <v>0.66762146084416574</v>
      </c>
      <c r="J1241" s="128">
        <v>1.2869370516416095E-3</v>
      </c>
      <c r="K1241" s="128"/>
      <c r="L1241" s="128">
        <v>3.9600000000000003E-2</v>
      </c>
      <c r="O1241" s="2"/>
    </row>
    <row r="1242" spans="2:15" x14ac:dyDescent="0.2">
      <c r="B1242" s="1">
        <v>1227</v>
      </c>
      <c r="C1242" s="5">
        <f ca="1">_xlfn.NORM.S.INV(RAND())</f>
        <v>0.33798953582932234</v>
      </c>
      <c r="D1242" s="5">
        <f ca="1">S0*EXP((μ-0.5*σ*σ)*T+σ*SQRT(T)*$C1242)</f>
        <v>0.68702108296197695</v>
      </c>
      <c r="E1242" s="5">
        <f ca="1">MAX(0,CP*(D1242-K))</f>
        <v>0</v>
      </c>
      <c r="F1242" s="4">
        <f ca="1">(CP*(D1242-K)&gt;0)*1</f>
        <v>0</v>
      </c>
      <c r="H1242" s="4">
        <v>1227</v>
      </c>
      <c r="I1242" s="3">
        <v>0.66777825311958983</v>
      </c>
      <c r="J1242" s="128">
        <v>1.3632234497491155E-3</v>
      </c>
      <c r="K1242" s="128"/>
      <c r="L1242" s="128">
        <v>3.9399999999999998E-2</v>
      </c>
      <c r="O1242" s="2"/>
    </row>
    <row r="1243" spans="2:15" x14ac:dyDescent="0.2">
      <c r="B1243" s="1">
        <v>1228</v>
      </c>
      <c r="C1243" s="5">
        <f ca="1">_xlfn.NORM.S.INV(RAND())</f>
        <v>-1.5881611313142103</v>
      </c>
      <c r="D1243" s="5">
        <f ca="1">S0*EXP((μ-0.5*σ*σ)*T+σ*SQRT(T)*$C1243)</f>
        <v>0.56819840345082973</v>
      </c>
      <c r="E1243" s="5">
        <f ca="1">MAX(0,CP*(D1243-K))</f>
        <v>0</v>
      </c>
      <c r="F1243" s="4">
        <f ca="1">(CP*(D1243-K)&gt;0)*1</f>
        <v>0</v>
      </c>
      <c r="H1243" s="4">
        <v>1228</v>
      </c>
      <c r="I1243" s="3">
        <v>0.66788141245685217</v>
      </c>
      <c r="J1243" s="128">
        <v>1.5135488995127477E-3</v>
      </c>
      <c r="K1243" s="128"/>
      <c r="L1243" s="128">
        <v>4.4600000000000001E-2</v>
      </c>
      <c r="O1243" s="2"/>
    </row>
    <row r="1244" spans="2:15" x14ac:dyDescent="0.2">
      <c r="B1244" s="1">
        <v>1229</v>
      </c>
      <c r="C1244" s="5">
        <f ca="1">_xlfn.NORM.S.INV(RAND())</f>
        <v>0.53361633873948566</v>
      </c>
      <c r="D1244" s="5">
        <f ca="1">S0*EXP((μ-0.5*σ*σ)*T+σ*SQRT(T)*$C1244)</f>
        <v>0.70039981180111988</v>
      </c>
      <c r="E1244" s="5">
        <f ca="1">MAX(0,CP*(D1244-K))</f>
        <v>0</v>
      </c>
      <c r="F1244" s="4">
        <f ca="1">(CP*(D1244-K)&gt;0)*1</f>
        <v>0</v>
      </c>
      <c r="H1244" s="4">
        <v>1229</v>
      </c>
      <c r="I1244" s="3">
        <v>0.66784883944181272</v>
      </c>
      <c r="J1244" s="128">
        <v>1.6203409162239702E-3</v>
      </c>
      <c r="K1244" s="128"/>
      <c r="L1244" s="128">
        <v>4.2799999999999998E-2</v>
      </c>
      <c r="O1244" s="2"/>
    </row>
    <row r="1245" spans="2:15" x14ac:dyDescent="0.2">
      <c r="B1245" s="1">
        <v>1230</v>
      </c>
      <c r="C1245" s="5">
        <f ca="1">_xlfn.NORM.S.INV(RAND())</f>
        <v>-0.41121377696100486</v>
      </c>
      <c r="D1245" s="5">
        <f ca="1">S0*EXP((μ-0.5*σ*σ)*T+σ*SQRT(T)*$C1245)</f>
        <v>0.6381050476408</v>
      </c>
      <c r="E1245" s="5">
        <f ca="1">MAX(0,CP*(D1245-K))</f>
        <v>0</v>
      </c>
      <c r="F1245" s="4">
        <f ca="1">(CP*(D1245-K)&gt;0)*1</f>
        <v>0</v>
      </c>
      <c r="H1245" s="4">
        <v>1230</v>
      </c>
      <c r="I1245" s="3">
        <v>0.66756627279986147</v>
      </c>
      <c r="J1245" s="128">
        <v>1.2523060178955719E-3</v>
      </c>
      <c r="K1245" s="128"/>
      <c r="L1245" s="128">
        <v>3.9199999999999999E-2</v>
      </c>
      <c r="O1245" s="2"/>
    </row>
    <row r="1246" spans="2:15" x14ac:dyDescent="0.2">
      <c r="B1246" s="1">
        <v>1231</v>
      </c>
      <c r="C1246" s="5">
        <f ca="1">_xlfn.NORM.S.INV(RAND())</f>
        <v>0.35065116166434762</v>
      </c>
      <c r="D1246" s="5">
        <f ca="1">S0*EXP((μ-0.5*σ*σ)*T+σ*SQRT(T)*$C1246)</f>
        <v>0.68787921150751741</v>
      </c>
      <c r="E1246" s="5">
        <f ca="1">MAX(0,CP*(D1246-K))</f>
        <v>0</v>
      </c>
      <c r="F1246" s="4">
        <f ca="1">(CP*(D1246-K)&gt;0)*1</f>
        <v>0</v>
      </c>
      <c r="H1246" s="4">
        <v>1231</v>
      </c>
      <c r="I1246" s="3">
        <v>0.66758355363458111</v>
      </c>
      <c r="J1246" s="128">
        <v>1.2035773636657804E-3</v>
      </c>
      <c r="K1246" s="128"/>
      <c r="L1246" s="128">
        <v>3.7600000000000001E-2</v>
      </c>
      <c r="O1246" s="2"/>
    </row>
    <row r="1247" spans="2:15" x14ac:dyDescent="0.2">
      <c r="B1247" s="1">
        <v>1232</v>
      </c>
      <c r="C1247" s="5">
        <f ca="1">_xlfn.NORM.S.INV(RAND())</f>
        <v>-0.57663293118547965</v>
      </c>
      <c r="D1247" s="5">
        <f ca="1">S0*EXP((μ-0.5*σ*σ)*T+σ*SQRT(T)*$C1247)</f>
        <v>0.62778306280974672</v>
      </c>
      <c r="E1247" s="5">
        <f ca="1">MAX(0,CP*(D1247-K))</f>
        <v>0</v>
      </c>
      <c r="F1247" s="4">
        <f ca="1">(CP*(D1247-K)&gt;0)*1</f>
        <v>0</v>
      </c>
      <c r="H1247" s="4">
        <v>1232</v>
      </c>
      <c r="I1247" s="3">
        <v>0.66771221688744431</v>
      </c>
      <c r="J1247" s="128">
        <v>1.203707155817201E-3</v>
      </c>
      <c r="K1247" s="128"/>
      <c r="L1247" s="128">
        <v>4.02E-2</v>
      </c>
      <c r="O1247" s="2"/>
    </row>
    <row r="1248" spans="2:15" x14ac:dyDescent="0.2">
      <c r="B1248" s="1">
        <v>1233</v>
      </c>
      <c r="C1248" s="5">
        <f ca="1">_xlfn.NORM.S.INV(RAND())</f>
        <v>-0.67526639980322145</v>
      </c>
      <c r="D1248" s="5">
        <f ca="1">S0*EXP((μ-0.5*σ*σ)*T+σ*SQRT(T)*$C1248)</f>
        <v>0.62170806973425197</v>
      </c>
      <c r="E1248" s="5">
        <f ca="1">MAX(0,CP*(D1248-K))</f>
        <v>0</v>
      </c>
      <c r="F1248" s="4">
        <f ca="1">(CP*(D1248-K)&gt;0)*1</f>
        <v>0</v>
      </c>
      <c r="H1248" s="4">
        <v>1233</v>
      </c>
      <c r="I1248" s="3">
        <v>0.667871087317775</v>
      </c>
      <c r="J1248" s="128">
        <v>1.5634645301041354E-3</v>
      </c>
      <c r="K1248" s="128"/>
      <c r="L1248" s="128">
        <v>4.5999999999999999E-2</v>
      </c>
      <c r="O1248" s="2"/>
    </row>
    <row r="1249" spans="2:15" x14ac:dyDescent="0.2">
      <c r="B1249" s="1">
        <v>1234</v>
      </c>
      <c r="C1249" s="5">
        <f ca="1">_xlfn.NORM.S.INV(RAND())</f>
        <v>-1.6933108577278029</v>
      </c>
      <c r="D1249" s="5">
        <f ca="1">S0*EXP((μ-0.5*σ*σ)*T+σ*SQRT(T)*$C1249)</f>
        <v>0.56233863066783429</v>
      </c>
      <c r="E1249" s="5">
        <f ca="1">MAX(0,CP*(D1249-K))</f>
        <v>0</v>
      </c>
      <c r="F1249" s="4">
        <f ca="1">(CP*(D1249-K)&gt;0)*1</f>
        <v>0</v>
      </c>
      <c r="H1249" s="4">
        <v>1234</v>
      </c>
      <c r="I1249" s="3">
        <v>0.66781220715999334</v>
      </c>
      <c r="J1249" s="128">
        <v>1.3303103520703147E-3</v>
      </c>
      <c r="K1249" s="128"/>
      <c r="L1249" s="128">
        <v>4.1200000000000001E-2</v>
      </c>
      <c r="O1249" s="2"/>
    </row>
    <row r="1250" spans="2:15" x14ac:dyDescent="0.2">
      <c r="B1250" s="1">
        <v>1235</v>
      </c>
      <c r="C1250" s="5">
        <f ca="1">_xlfn.NORM.S.INV(RAND())</f>
        <v>-1.3098946134451148</v>
      </c>
      <c r="D1250" s="5">
        <f ca="1">S0*EXP((μ-0.5*σ*σ)*T+σ*SQRT(T)*$C1250)</f>
        <v>0.58400190890183146</v>
      </c>
      <c r="E1250" s="5">
        <f ca="1">MAX(0,CP*(D1250-K))</f>
        <v>0</v>
      </c>
      <c r="F1250" s="4">
        <f ca="1">(CP*(D1250-K)&gt;0)*1</f>
        <v>0</v>
      </c>
      <c r="H1250" s="4">
        <v>1235</v>
      </c>
      <c r="I1250" s="3">
        <v>0.66778273523530529</v>
      </c>
      <c r="J1250" s="128">
        <v>1.3114532463867944E-3</v>
      </c>
      <c r="K1250" s="128"/>
      <c r="L1250" s="128">
        <v>4.1000000000000002E-2</v>
      </c>
      <c r="O1250" s="2"/>
    </row>
    <row r="1251" spans="2:15" x14ac:dyDescent="0.2">
      <c r="B1251" s="1">
        <v>1236</v>
      </c>
      <c r="C1251" s="5">
        <f ca="1">_xlfn.NORM.S.INV(RAND())</f>
        <v>-0.72311022260494007</v>
      </c>
      <c r="D1251" s="5">
        <f ca="1">S0*EXP((μ-0.5*σ*σ)*T+σ*SQRT(T)*$C1251)</f>
        <v>0.61878250130684431</v>
      </c>
      <c r="E1251" s="5">
        <f ca="1">MAX(0,CP*(D1251-K))</f>
        <v>0</v>
      </c>
      <c r="F1251" s="4">
        <f ca="1">(CP*(D1251-K)&gt;0)*1</f>
        <v>0</v>
      </c>
      <c r="H1251" s="4">
        <v>1236</v>
      </c>
      <c r="I1251" s="3">
        <v>0.66764972463003902</v>
      </c>
      <c r="J1251" s="128">
        <v>1.2344029531696453E-3</v>
      </c>
      <c r="K1251" s="128"/>
      <c r="L1251" s="128">
        <v>3.9199999999999999E-2</v>
      </c>
      <c r="O1251" s="2"/>
    </row>
    <row r="1252" spans="2:15" x14ac:dyDescent="0.2">
      <c r="B1252" s="1">
        <v>1237</v>
      </c>
      <c r="C1252" s="5">
        <f ca="1">_xlfn.NORM.S.INV(RAND())</f>
        <v>6.5044586981640409E-2</v>
      </c>
      <c r="D1252" s="5">
        <f ca="1">S0*EXP((μ-0.5*σ*σ)*T+σ*SQRT(T)*$C1252)</f>
        <v>0.66878058270406449</v>
      </c>
      <c r="E1252" s="5">
        <f ca="1">MAX(0,CP*(D1252-K))</f>
        <v>0</v>
      </c>
      <c r="F1252" s="4">
        <f ca="1">(CP*(D1252-K)&gt;0)*1</f>
        <v>0</v>
      </c>
      <c r="H1252" s="4">
        <v>1237</v>
      </c>
      <c r="I1252" s="3">
        <v>0.66770279666088461</v>
      </c>
      <c r="J1252" s="128">
        <v>1.2482509077070463E-3</v>
      </c>
      <c r="K1252" s="128"/>
      <c r="L1252" s="128">
        <v>4.0399999999999998E-2</v>
      </c>
      <c r="O1252" s="2"/>
    </row>
    <row r="1253" spans="2:15" x14ac:dyDescent="0.2">
      <c r="B1253" s="1">
        <v>1238</v>
      </c>
      <c r="C1253" s="5">
        <f ca="1">_xlfn.NORM.S.INV(RAND())</f>
        <v>-0.2402871424374021</v>
      </c>
      <c r="D1253" s="5">
        <f ca="1">S0*EXP((μ-0.5*σ*σ)*T+σ*SQRT(T)*$C1253)</f>
        <v>0.64894900940546063</v>
      </c>
      <c r="E1253" s="5">
        <f ca="1">MAX(0,CP*(D1253-K))</f>
        <v>0</v>
      </c>
      <c r="F1253" s="4">
        <f ca="1">(CP*(D1253-K)&gt;0)*1</f>
        <v>0</v>
      </c>
      <c r="H1253" s="4">
        <v>1238</v>
      </c>
      <c r="I1253" s="3">
        <v>0.66780525647052313</v>
      </c>
      <c r="J1253" s="128">
        <v>1.5121093005470482E-3</v>
      </c>
      <c r="K1253" s="128"/>
      <c r="L1253" s="128">
        <v>4.2200000000000001E-2</v>
      </c>
      <c r="O1253" s="2"/>
    </row>
    <row r="1254" spans="2:15" x14ac:dyDescent="0.2">
      <c r="B1254" s="1">
        <v>1239</v>
      </c>
      <c r="C1254" s="5">
        <f ca="1">_xlfn.NORM.S.INV(RAND())</f>
        <v>0.4297443219274652</v>
      </c>
      <c r="D1254" s="5">
        <f ca="1">S0*EXP((μ-0.5*σ*σ)*T+σ*SQRT(T)*$C1254)</f>
        <v>0.69326398153709667</v>
      </c>
      <c r="E1254" s="5">
        <f ca="1">MAX(0,CP*(D1254-K))</f>
        <v>0</v>
      </c>
      <c r="F1254" s="4">
        <f ca="1">(CP*(D1254-K)&gt;0)*1</f>
        <v>0</v>
      </c>
      <c r="H1254" s="4">
        <v>1239</v>
      </c>
      <c r="I1254" s="3">
        <v>0.66773467271970155</v>
      </c>
      <c r="J1254" s="128">
        <v>1.3818183842437919E-3</v>
      </c>
      <c r="K1254" s="128"/>
      <c r="L1254" s="128">
        <v>4.0800000000000003E-2</v>
      </c>
      <c r="O1254" s="2"/>
    </row>
    <row r="1255" spans="2:15" x14ac:dyDescent="0.2">
      <c r="B1255" s="1">
        <v>1240</v>
      </c>
      <c r="C1255" s="5">
        <f ca="1">_xlfn.NORM.S.INV(RAND())</f>
        <v>0.6099781976993055</v>
      </c>
      <c r="D1255" s="5">
        <f ca="1">S0*EXP((μ-0.5*σ*σ)*T+σ*SQRT(T)*$C1255)</f>
        <v>0.70569254513931734</v>
      </c>
      <c r="E1255" s="5">
        <f ca="1">MAX(0,CP*(D1255-K))</f>
        <v>0</v>
      </c>
      <c r="F1255" s="4">
        <f ca="1">(CP*(D1255-K)&gt;0)*1</f>
        <v>0</v>
      </c>
      <c r="H1255" s="4">
        <v>1240</v>
      </c>
      <c r="I1255" s="3">
        <v>0.66793120115228843</v>
      </c>
      <c r="J1255" s="128">
        <v>1.5506376589051562E-3</v>
      </c>
      <c r="K1255" s="128"/>
      <c r="L1255" s="128">
        <v>4.7399999999999998E-2</v>
      </c>
      <c r="O1255" s="2"/>
    </row>
    <row r="1256" spans="2:15" x14ac:dyDescent="0.2">
      <c r="B1256" s="1">
        <v>1241</v>
      </c>
      <c r="C1256" s="5">
        <f ca="1">_xlfn.NORM.S.INV(RAND())</f>
        <v>-0.21394474417269496</v>
      </c>
      <c r="D1256" s="5">
        <f ca="1">S0*EXP((μ-0.5*σ*σ)*T+σ*SQRT(T)*$C1256)</f>
        <v>0.65063654004136817</v>
      </c>
      <c r="E1256" s="5">
        <f ca="1">MAX(0,CP*(D1256-K))</f>
        <v>0</v>
      </c>
      <c r="F1256" s="4">
        <f ca="1">(CP*(D1256-K)&gt;0)*1</f>
        <v>0</v>
      </c>
      <c r="H1256" s="4">
        <v>1241</v>
      </c>
      <c r="I1256" s="3">
        <v>0.6677217602123523</v>
      </c>
      <c r="J1256" s="128">
        <v>1.360915360531163E-3</v>
      </c>
      <c r="K1256" s="128"/>
      <c r="L1256" s="128">
        <v>3.8800000000000001E-2</v>
      </c>
      <c r="O1256" s="2"/>
    </row>
    <row r="1257" spans="2:15" x14ac:dyDescent="0.2">
      <c r="B1257" s="1">
        <v>1242</v>
      </c>
      <c r="C1257" s="5">
        <f ca="1">_xlfn.NORM.S.INV(RAND())</f>
        <v>-1.732063665053581</v>
      </c>
      <c r="D1257" s="5">
        <f ca="1">S0*EXP((μ-0.5*σ*σ)*T+σ*SQRT(T)*$C1257)</f>
        <v>0.56019429162612222</v>
      </c>
      <c r="E1257" s="5">
        <f ca="1">MAX(0,CP*(D1257-K))</f>
        <v>0</v>
      </c>
      <c r="F1257" s="4">
        <f ca="1">(CP*(D1257-K)&gt;0)*1</f>
        <v>0</v>
      </c>
      <c r="H1257" s="4">
        <v>1242</v>
      </c>
      <c r="I1257" s="3">
        <v>0.66763146625113567</v>
      </c>
      <c r="J1257" s="128">
        <v>1.2153054384266163E-3</v>
      </c>
      <c r="K1257" s="128"/>
      <c r="L1257" s="128">
        <v>3.8199999999999998E-2</v>
      </c>
      <c r="O1257" s="2"/>
    </row>
    <row r="1258" spans="2:15" x14ac:dyDescent="0.2">
      <c r="B1258" s="1">
        <v>1243</v>
      </c>
      <c r="C1258" s="5">
        <f ca="1">_xlfn.NORM.S.INV(RAND())</f>
        <v>-0.22116437429316332</v>
      </c>
      <c r="D1258" s="5">
        <f ca="1">S0*EXP((μ-0.5*σ*σ)*T+σ*SQRT(T)*$C1258)</f>
        <v>0.65017360445170091</v>
      </c>
      <c r="E1258" s="5">
        <f ca="1">MAX(0,CP*(D1258-K))</f>
        <v>0</v>
      </c>
      <c r="F1258" s="4">
        <f ca="1">(CP*(D1258-K)&gt;0)*1</f>
        <v>0</v>
      </c>
      <c r="H1258" s="4">
        <v>1243</v>
      </c>
      <c r="I1258" s="3">
        <v>0.66772237396715606</v>
      </c>
      <c r="J1258" s="128">
        <v>1.3148100206418431E-3</v>
      </c>
      <c r="K1258" s="128"/>
      <c r="L1258" s="128">
        <v>4.1399999999999999E-2</v>
      </c>
      <c r="O1258" s="2"/>
    </row>
    <row r="1259" spans="2:15" x14ac:dyDescent="0.2">
      <c r="B1259" s="1">
        <v>1244</v>
      </c>
      <c r="C1259" s="5">
        <f ca="1">_xlfn.NORM.S.INV(RAND())</f>
        <v>-1.7300550962967829</v>
      </c>
      <c r="D1259" s="5">
        <f ca="1">S0*EXP((μ-0.5*σ*σ)*T+σ*SQRT(T)*$C1259)</f>
        <v>0.56030523212199501</v>
      </c>
      <c r="E1259" s="5">
        <f ca="1">MAX(0,CP*(D1259-K))</f>
        <v>0</v>
      </c>
      <c r="F1259" s="4">
        <f ca="1">(CP*(D1259-K)&gt;0)*1</f>
        <v>0</v>
      </c>
      <c r="H1259" s="4">
        <v>1244</v>
      </c>
      <c r="I1259" s="3">
        <v>0.66793138939548258</v>
      </c>
      <c r="J1259" s="128">
        <v>1.7346564128723056E-3</v>
      </c>
      <c r="K1259" s="128"/>
      <c r="L1259" s="128">
        <v>4.5999999999999999E-2</v>
      </c>
      <c r="O1259" s="2"/>
    </row>
    <row r="1260" spans="2:15" x14ac:dyDescent="0.2">
      <c r="B1260" s="1">
        <v>1245</v>
      </c>
      <c r="C1260" s="5">
        <f ca="1">_xlfn.NORM.S.INV(RAND())</f>
        <v>1.8777400084135554</v>
      </c>
      <c r="D1260" s="5">
        <f ca="1">S0*EXP((μ-0.5*σ*σ)*T+σ*SQRT(T)*$C1260)</f>
        <v>0.79964276430977377</v>
      </c>
      <c r="E1260" s="5">
        <f ca="1">MAX(0,CP*(D1260-K))</f>
        <v>1.1442764309773756E-2</v>
      </c>
      <c r="F1260" s="4">
        <f ca="1">(CP*(D1260-K)&gt;0)*1</f>
        <v>1</v>
      </c>
      <c r="H1260" s="4">
        <v>1245</v>
      </c>
      <c r="I1260" s="3">
        <v>0.66781860188021269</v>
      </c>
      <c r="J1260" s="128">
        <v>1.2679399297781146E-3</v>
      </c>
      <c r="K1260" s="128"/>
      <c r="L1260" s="128">
        <v>4.3200000000000002E-2</v>
      </c>
      <c r="O1260" s="2"/>
    </row>
    <row r="1261" spans="2:15" x14ac:dyDescent="0.2">
      <c r="B1261" s="1">
        <v>1246</v>
      </c>
      <c r="C1261" s="5">
        <f ca="1">_xlfn.NORM.S.INV(RAND())</f>
        <v>1.070719342320704</v>
      </c>
      <c r="D1261" s="5">
        <f ca="1">S0*EXP((μ-0.5*σ*σ)*T+σ*SQRT(T)*$C1261)</f>
        <v>0.73848660066872496</v>
      </c>
      <c r="E1261" s="5">
        <f ca="1">MAX(0,CP*(D1261-K))</f>
        <v>0</v>
      </c>
      <c r="F1261" s="4">
        <f ca="1">(CP*(D1261-K)&gt;0)*1</f>
        <v>0</v>
      </c>
      <c r="H1261" s="4">
        <v>1246</v>
      </c>
      <c r="I1261" s="3">
        <v>0.66789340034532163</v>
      </c>
      <c r="J1261" s="128">
        <v>1.5238042842300999E-3</v>
      </c>
      <c r="K1261" s="128"/>
      <c r="L1261" s="128">
        <v>4.6800000000000001E-2</v>
      </c>
      <c r="O1261" s="2"/>
    </row>
    <row r="1262" spans="2:15" x14ac:dyDescent="0.2">
      <c r="B1262" s="1">
        <v>1247</v>
      </c>
      <c r="C1262" s="5">
        <f ca="1">_xlfn.NORM.S.INV(RAND())</f>
        <v>-2.4702097336839945</v>
      </c>
      <c r="D1262" s="5">
        <f ca="1">S0*EXP((μ-0.5*σ*σ)*T+σ*SQRT(T)*$C1262)</f>
        <v>0.52087584899515493</v>
      </c>
      <c r="E1262" s="5">
        <f ca="1">MAX(0,CP*(D1262-K))</f>
        <v>0</v>
      </c>
      <c r="F1262" s="4">
        <f ca="1">(CP*(D1262-K)&gt;0)*1</f>
        <v>0</v>
      </c>
      <c r="H1262" s="4">
        <v>1247</v>
      </c>
      <c r="I1262" s="3">
        <v>0.66786424272096179</v>
      </c>
      <c r="J1262" s="128">
        <v>1.6078454733596519E-3</v>
      </c>
      <c r="K1262" s="128"/>
      <c r="L1262" s="128">
        <v>4.5199999999999997E-2</v>
      </c>
      <c r="O1262" s="2"/>
    </row>
    <row r="1263" spans="2:15" x14ac:dyDescent="0.2">
      <c r="B1263" s="1">
        <v>1248</v>
      </c>
      <c r="C1263" s="5">
        <f ca="1">_xlfn.NORM.S.INV(RAND())</f>
        <v>-0.44154387559629787</v>
      </c>
      <c r="D1263" s="5">
        <f ca="1">S0*EXP((μ-0.5*σ*σ)*T+σ*SQRT(T)*$C1263)</f>
        <v>0.63619985639013277</v>
      </c>
      <c r="E1263" s="5">
        <f ca="1">MAX(0,CP*(D1263-K))</f>
        <v>0</v>
      </c>
      <c r="F1263" s="4">
        <f ca="1">(CP*(D1263-K)&gt;0)*1</f>
        <v>0</v>
      </c>
      <c r="H1263" s="4">
        <v>1248</v>
      </c>
      <c r="I1263" s="3">
        <v>0.66769554030963885</v>
      </c>
      <c r="J1263" s="128">
        <v>1.125930663943783E-3</v>
      </c>
      <c r="K1263" s="128"/>
      <c r="L1263" s="128">
        <v>4.1799999999999997E-2</v>
      </c>
      <c r="O1263" s="2"/>
    </row>
    <row r="1264" spans="2:15" x14ac:dyDescent="0.2">
      <c r="B1264" s="1">
        <v>1249</v>
      </c>
      <c r="C1264" s="5">
        <f ca="1">_xlfn.NORM.S.INV(RAND())</f>
        <v>0.75757260113449487</v>
      </c>
      <c r="D1264" s="5">
        <f ca="1">S0*EXP((μ-0.5*σ*σ)*T+σ*SQRT(T)*$C1264)</f>
        <v>0.71603612024105534</v>
      </c>
      <c r="E1264" s="5">
        <f ca="1">MAX(0,CP*(D1264-K))</f>
        <v>0</v>
      </c>
      <c r="F1264" s="4">
        <f ca="1">(CP*(D1264-K)&gt;0)*1</f>
        <v>0</v>
      </c>
      <c r="H1264" s="4">
        <v>1249</v>
      </c>
      <c r="I1264" s="3">
        <v>0.66789586476703811</v>
      </c>
      <c r="J1264" s="128">
        <v>1.4828905381979686E-3</v>
      </c>
      <c r="K1264" s="128"/>
      <c r="L1264" s="128">
        <v>4.6399999999999997E-2</v>
      </c>
      <c r="O1264" s="2"/>
    </row>
    <row r="1265" spans="2:15" x14ac:dyDescent="0.2">
      <c r="B1265" s="1">
        <v>1250</v>
      </c>
      <c r="C1265" s="5">
        <f ca="1">_xlfn.NORM.S.INV(RAND())</f>
        <v>-0.79910511501800841</v>
      </c>
      <c r="D1265" s="5">
        <f ca="1">S0*EXP((μ-0.5*σ*σ)*T+σ*SQRT(T)*$C1265)</f>
        <v>0.61416381713414991</v>
      </c>
      <c r="E1265" s="5">
        <f ca="1">MAX(0,CP*(D1265-K))</f>
        <v>0</v>
      </c>
      <c r="F1265" s="4">
        <f ca="1">(CP*(D1265-K)&gt;0)*1</f>
        <v>0</v>
      </c>
      <c r="H1265" s="4">
        <v>1250</v>
      </c>
      <c r="I1265" s="3">
        <v>0.6676365102703945</v>
      </c>
      <c r="J1265" s="128">
        <v>1.2559401590261996E-3</v>
      </c>
      <c r="K1265" s="128"/>
      <c r="L1265" s="128">
        <v>0.04</v>
      </c>
      <c r="O1265" s="2"/>
    </row>
    <row r="1266" spans="2:15" x14ac:dyDescent="0.2">
      <c r="B1266" s="1">
        <v>1251</v>
      </c>
      <c r="C1266" s="5">
        <f ca="1">_xlfn.NORM.S.INV(RAND())</f>
        <v>1.3722043460254512</v>
      </c>
      <c r="D1266" s="5">
        <f ca="1">S0*EXP((μ-0.5*σ*σ)*T+σ*SQRT(T)*$C1266)</f>
        <v>0.7607658334473425</v>
      </c>
      <c r="E1266" s="5">
        <f ca="1">MAX(0,CP*(D1266-K))</f>
        <v>0</v>
      </c>
      <c r="F1266" s="4">
        <f ca="1">(CP*(D1266-K)&gt;0)*1</f>
        <v>0</v>
      </c>
      <c r="H1266" s="4">
        <v>1251</v>
      </c>
      <c r="I1266" s="3">
        <v>0.66774939153474566</v>
      </c>
      <c r="J1266" s="128">
        <v>1.3519008204529665E-3</v>
      </c>
      <c r="K1266" s="128"/>
      <c r="L1266" s="128">
        <v>4.36E-2</v>
      </c>
      <c r="O1266" s="2"/>
    </row>
    <row r="1267" spans="2:15" x14ac:dyDescent="0.2">
      <c r="B1267" s="1">
        <v>1252</v>
      </c>
      <c r="C1267" s="5">
        <f ca="1">_xlfn.NORM.S.INV(RAND())</f>
        <v>1.1511126250686776</v>
      </c>
      <c r="D1267" s="5">
        <f ca="1">S0*EXP((μ-0.5*σ*σ)*T+σ*SQRT(T)*$C1267)</f>
        <v>0.74436293232377815</v>
      </c>
      <c r="E1267" s="5">
        <f ca="1">MAX(0,CP*(D1267-K))</f>
        <v>0</v>
      </c>
      <c r="F1267" s="4">
        <f ca="1">(CP*(D1267-K)&gt;0)*1</f>
        <v>0</v>
      </c>
      <c r="H1267" s="4">
        <v>1252</v>
      </c>
      <c r="I1267" s="3">
        <v>0.66775358846121657</v>
      </c>
      <c r="J1267" s="128">
        <v>1.4112466356542212E-3</v>
      </c>
      <c r="K1267" s="128"/>
      <c r="L1267" s="128">
        <v>4.36E-2</v>
      </c>
      <c r="O1267" s="2"/>
    </row>
    <row r="1268" spans="2:15" x14ac:dyDescent="0.2">
      <c r="B1268" s="1">
        <v>1253</v>
      </c>
      <c r="C1268" s="5">
        <f ca="1">_xlfn.NORM.S.INV(RAND())</f>
        <v>-8.0697482979513652E-2</v>
      </c>
      <c r="D1268" s="5">
        <f ca="1">S0*EXP((μ-0.5*σ*σ)*T+σ*SQRT(T)*$C1268)</f>
        <v>0.65924001979849223</v>
      </c>
      <c r="E1268" s="5">
        <f ca="1">MAX(0,CP*(D1268-K))</f>
        <v>0</v>
      </c>
      <c r="F1268" s="4">
        <f ca="1">(CP*(D1268-K)&gt;0)*1</f>
        <v>0</v>
      </c>
      <c r="H1268" s="4">
        <v>1253</v>
      </c>
      <c r="I1268" s="3">
        <v>0.66778912498100751</v>
      </c>
      <c r="J1268" s="128">
        <v>1.4243344112831421E-3</v>
      </c>
      <c r="K1268" s="128"/>
      <c r="L1268" s="128">
        <v>4.4600000000000001E-2</v>
      </c>
      <c r="O1268" s="2"/>
    </row>
    <row r="1269" spans="2:15" x14ac:dyDescent="0.2">
      <c r="B1269" s="1">
        <v>1254</v>
      </c>
      <c r="C1269" s="5">
        <f ca="1">_xlfn.NORM.S.INV(RAND())</f>
        <v>5.6469642850117581E-2</v>
      </c>
      <c r="D1269" s="5">
        <f ca="1">S0*EXP((μ-0.5*σ*σ)*T+σ*SQRT(T)*$C1269)</f>
        <v>0.66821544651897491</v>
      </c>
      <c r="E1269" s="5">
        <f ca="1">MAX(0,CP*(D1269-K))</f>
        <v>0</v>
      </c>
      <c r="F1269" s="4">
        <f ca="1">(CP*(D1269-K)&gt;0)*1</f>
        <v>0</v>
      </c>
      <c r="H1269" s="4">
        <v>1254</v>
      </c>
      <c r="I1269" s="3">
        <v>0.66786204331635535</v>
      </c>
      <c r="J1269" s="128">
        <v>1.5013515243043781E-3</v>
      </c>
      <c r="K1269" s="128"/>
      <c r="L1269" s="128">
        <v>4.5600000000000002E-2</v>
      </c>
      <c r="O1269" s="2"/>
    </row>
    <row r="1270" spans="2:15" x14ac:dyDescent="0.2">
      <c r="B1270" s="1">
        <v>1255</v>
      </c>
      <c r="C1270" s="5">
        <f ca="1">_xlfn.NORM.S.INV(RAND())</f>
        <v>-0.58419587291253028</v>
      </c>
      <c r="D1270" s="5">
        <f ca="1">S0*EXP((μ-0.5*σ*σ)*T+σ*SQRT(T)*$C1270)</f>
        <v>0.62731515513157232</v>
      </c>
      <c r="E1270" s="5">
        <f ca="1">MAX(0,CP*(D1270-K))</f>
        <v>0</v>
      </c>
      <c r="F1270" s="4">
        <f ca="1">(CP*(D1270-K)&gt;0)*1</f>
        <v>0</v>
      </c>
      <c r="H1270" s="4">
        <v>1255</v>
      </c>
      <c r="I1270" s="3">
        <v>0.66802495240663928</v>
      </c>
      <c r="J1270" s="128">
        <v>1.5472588171034157E-3</v>
      </c>
      <c r="K1270" s="128"/>
      <c r="L1270" s="128">
        <v>4.6800000000000001E-2</v>
      </c>
      <c r="O1270" s="2"/>
    </row>
    <row r="1271" spans="2:15" x14ac:dyDescent="0.2">
      <c r="B1271" s="1">
        <v>1256</v>
      </c>
      <c r="C1271" s="5">
        <f ca="1">_xlfn.NORM.S.INV(RAND())</f>
        <v>-0.15002671981023638</v>
      </c>
      <c r="D1271" s="5">
        <f ca="1">S0*EXP((μ-0.5*σ*σ)*T+σ*SQRT(T)*$C1271)</f>
        <v>0.65474948207469152</v>
      </c>
      <c r="E1271" s="5">
        <f ca="1">MAX(0,CP*(D1271-K))</f>
        <v>0</v>
      </c>
      <c r="F1271" s="4">
        <f ca="1">(CP*(D1271-K)&gt;0)*1</f>
        <v>0</v>
      </c>
      <c r="H1271" s="4">
        <v>1256</v>
      </c>
      <c r="I1271" s="3">
        <v>0.66769324315877698</v>
      </c>
      <c r="J1271" s="128">
        <v>1.3058807860220937E-3</v>
      </c>
      <c r="K1271" s="128"/>
      <c r="L1271" s="128">
        <v>4.1000000000000002E-2</v>
      </c>
      <c r="O1271" s="2"/>
    </row>
    <row r="1272" spans="2:15" x14ac:dyDescent="0.2">
      <c r="B1272" s="1">
        <v>1257</v>
      </c>
      <c r="C1272" s="5">
        <f ca="1">_xlfn.NORM.S.INV(RAND())</f>
        <v>0.36961533079380315</v>
      </c>
      <c r="D1272" s="5">
        <f ca="1">S0*EXP((μ-0.5*σ*σ)*T+σ*SQRT(T)*$C1272)</f>
        <v>0.68916649373497207</v>
      </c>
      <c r="E1272" s="5">
        <f ca="1">MAX(0,CP*(D1272-K))</f>
        <v>0</v>
      </c>
      <c r="F1272" s="4">
        <f ca="1">(CP*(D1272-K)&gt;0)*1</f>
        <v>0</v>
      </c>
      <c r="H1272" s="4">
        <v>1257</v>
      </c>
      <c r="I1272" s="3">
        <v>0.66761405417413999</v>
      </c>
      <c r="J1272" s="128">
        <v>1.2096616911793959E-3</v>
      </c>
      <c r="K1272" s="128"/>
      <c r="L1272" s="128">
        <v>0.04</v>
      </c>
      <c r="O1272" s="2"/>
    </row>
    <row r="1273" spans="2:15" x14ac:dyDescent="0.2">
      <c r="B1273" s="1">
        <v>1258</v>
      </c>
      <c r="C1273" s="5">
        <f ca="1">_xlfn.NORM.S.INV(RAND())</f>
        <v>1.0401565203843344</v>
      </c>
      <c r="D1273" s="5">
        <f ca="1">S0*EXP((μ-0.5*σ*σ)*T+σ*SQRT(T)*$C1273)</f>
        <v>0.7362648072962531</v>
      </c>
      <c r="E1273" s="5">
        <f ca="1">MAX(0,CP*(D1273-K))</f>
        <v>0</v>
      </c>
      <c r="F1273" s="4">
        <f ca="1">(CP*(D1273-K)&gt;0)*1</f>
        <v>0</v>
      </c>
      <c r="H1273" s="4">
        <v>1258</v>
      </c>
      <c r="I1273" s="3">
        <v>0.66783218560113877</v>
      </c>
      <c r="J1273" s="128">
        <v>1.4820937274668837E-3</v>
      </c>
      <c r="K1273" s="128"/>
      <c r="L1273" s="128">
        <v>4.2200000000000001E-2</v>
      </c>
      <c r="O1273" s="2"/>
    </row>
    <row r="1274" spans="2:15" x14ac:dyDescent="0.2">
      <c r="B1274" s="1">
        <v>1259</v>
      </c>
      <c r="C1274" s="5">
        <f ca="1">_xlfn.NORM.S.INV(RAND())</f>
        <v>-1.1376767649310628</v>
      </c>
      <c r="D1274" s="5">
        <f ca="1">S0*EXP((μ-0.5*σ*σ)*T+σ*SQRT(T)*$C1274)</f>
        <v>0.5940020517135981</v>
      </c>
      <c r="E1274" s="5">
        <f ca="1">MAX(0,CP*(D1274-K))</f>
        <v>0</v>
      </c>
      <c r="F1274" s="4">
        <f ca="1">(CP*(D1274-K)&gt;0)*1</f>
        <v>0</v>
      </c>
      <c r="H1274" s="4">
        <v>1259</v>
      </c>
      <c r="I1274" s="3">
        <v>0.66781260918922636</v>
      </c>
      <c r="J1274" s="128">
        <v>1.3103196004438733E-3</v>
      </c>
      <c r="K1274" s="128"/>
      <c r="L1274" s="128">
        <v>4.0800000000000003E-2</v>
      </c>
      <c r="O1274" s="2"/>
    </row>
    <row r="1275" spans="2:15" x14ac:dyDescent="0.2">
      <c r="B1275" s="1">
        <v>1260</v>
      </c>
      <c r="C1275" s="5">
        <f ca="1">_xlfn.NORM.S.INV(RAND())</f>
        <v>-1.5228752914465697</v>
      </c>
      <c r="D1275" s="5">
        <f ca="1">S0*EXP((μ-0.5*σ*σ)*T+σ*SQRT(T)*$C1275)</f>
        <v>0.57186733081440877</v>
      </c>
      <c r="E1275" s="5">
        <f ca="1">MAX(0,CP*(D1275-K))</f>
        <v>0</v>
      </c>
      <c r="F1275" s="4">
        <f ca="1">(CP*(D1275-K)&gt;0)*1</f>
        <v>0</v>
      </c>
      <c r="H1275" s="4">
        <v>1260</v>
      </c>
      <c r="I1275" s="3">
        <v>0.6677510491762545</v>
      </c>
      <c r="J1275" s="128">
        <v>1.3566675921191026E-3</v>
      </c>
      <c r="K1275" s="128"/>
      <c r="L1275" s="128">
        <v>4.4999999999999998E-2</v>
      </c>
      <c r="O1275" s="2"/>
    </row>
    <row r="1276" spans="2:15" x14ac:dyDescent="0.2">
      <c r="B1276" s="1">
        <v>1261</v>
      </c>
      <c r="C1276" s="5">
        <f ca="1">_xlfn.NORM.S.INV(RAND())</f>
        <v>-0.28650655074249431</v>
      </c>
      <c r="D1276" s="5">
        <f ca="1">S0*EXP((μ-0.5*σ*σ)*T+σ*SQRT(T)*$C1276)</f>
        <v>0.64599869984541092</v>
      </c>
      <c r="E1276" s="5">
        <f ca="1">MAX(0,CP*(D1276-K))</f>
        <v>0</v>
      </c>
      <c r="F1276" s="4">
        <f ca="1">(CP*(D1276-K)&gt;0)*1</f>
        <v>0</v>
      </c>
      <c r="H1276" s="4">
        <v>1261</v>
      </c>
      <c r="I1276" s="3">
        <v>0.66760844916345197</v>
      </c>
      <c r="J1276" s="128">
        <v>1.2498432500023852E-3</v>
      </c>
      <c r="K1276" s="128"/>
      <c r="L1276" s="128">
        <v>3.6999999999999998E-2</v>
      </c>
      <c r="O1276" s="2"/>
    </row>
    <row r="1277" spans="2:15" x14ac:dyDescent="0.2">
      <c r="B1277" s="1">
        <v>1262</v>
      </c>
      <c r="C1277" s="5">
        <f ca="1">_xlfn.NORM.S.INV(RAND())</f>
        <v>-7.2560081638857243E-2</v>
      </c>
      <c r="D1277" s="5">
        <f ca="1">S0*EXP((μ-0.5*σ*σ)*T+σ*SQRT(T)*$C1277)</f>
        <v>0.6597691045407752</v>
      </c>
      <c r="E1277" s="5">
        <f ca="1">MAX(0,CP*(D1277-K))</f>
        <v>0</v>
      </c>
      <c r="F1277" s="4">
        <f ca="1">(CP*(D1277-K)&gt;0)*1</f>
        <v>0</v>
      </c>
      <c r="H1277" s="4">
        <v>1262</v>
      </c>
      <c r="I1277" s="3">
        <v>0.66772156730435839</v>
      </c>
      <c r="J1277" s="128">
        <v>1.2943702793196381E-3</v>
      </c>
      <c r="K1277" s="128"/>
      <c r="L1277" s="128">
        <v>4.2999999999999997E-2</v>
      </c>
      <c r="O1277" s="2"/>
    </row>
    <row r="1278" spans="2:15" x14ac:dyDescent="0.2">
      <c r="B1278" s="1">
        <v>1263</v>
      </c>
      <c r="C1278" s="5">
        <f ca="1">_xlfn.NORM.S.INV(RAND())</f>
        <v>0.30971726189595056</v>
      </c>
      <c r="D1278" s="5">
        <f ca="1">S0*EXP((μ-0.5*σ*σ)*T+σ*SQRT(T)*$C1278)</f>
        <v>0.68510882088167224</v>
      </c>
      <c r="E1278" s="5">
        <f ca="1">MAX(0,CP*(D1278-K))</f>
        <v>0</v>
      </c>
      <c r="F1278" s="4">
        <f ca="1">(CP*(D1278-K)&gt;0)*1</f>
        <v>0</v>
      </c>
      <c r="H1278" s="4">
        <v>1263</v>
      </c>
      <c r="I1278" s="3">
        <v>0.66783413374535905</v>
      </c>
      <c r="J1278" s="128">
        <v>1.5535368469186566E-3</v>
      </c>
      <c r="K1278" s="128"/>
      <c r="L1278" s="128">
        <v>4.3999999999999997E-2</v>
      </c>
      <c r="O1278" s="2"/>
    </row>
    <row r="1279" spans="2:15" x14ac:dyDescent="0.2">
      <c r="B1279" s="1">
        <v>1264</v>
      </c>
      <c r="C1279" s="5">
        <f ca="1">_xlfn.NORM.S.INV(RAND())</f>
        <v>-0.48809425416798136</v>
      </c>
      <c r="D1279" s="5">
        <f ca="1">S0*EXP((μ-0.5*σ*σ)*T+σ*SQRT(T)*$C1279)</f>
        <v>0.63328684397700674</v>
      </c>
      <c r="E1279" s="5">
        <f ca="1">MAX(0,CP*(D1279-K))</f>
        <v>0</v>
      </c>
      <c r="F1279" s="4">
        <f ca="1">(CP*(D1279-K)&gt;0)*1</f>
        <v>0</v>
      </c>
      <c r="H1279" s="4">
        <v>1264</v>
      </c>
      <c r="I1279" s="3">
        <v>0.66781247042423142</v>
      </c>
      <c r="J1279" s="128">
        <v>1.4372425161048501E-3</v>
      </c>
      <c r="K1279" s="128"/>
      <c r="L1279" s="128">
        <v>4.1000000000000002E-2</v>
      </c>
      <c r="O1279" s="2"/>
    </row>
    <row r="1280" spans="2:15" x14ac:dyDescent="0.2">
      <c r="B1280" s="1">
        <v>1265</v>
      </c>
      <c r="C1280" s="5">
        <f ca="1">_xlfn.NORM.S.INV(RAND())</f>
        <v>8.2592800506466529E-2</v>
      </c>
      <c r="D1280" s="5">
        <f ca="1">S0*EXP((μ-0.5*σ*σ)*T+σ*SQRT(T)*$C1280)</f>
        <v>0.6699385972439823</v>
      </c>
      <c r="E1280" s="5">
        <f ca="1">MAX(0,CP*(D1280-K))</f>
        <v>0</v>
      </c>
      <c r="F1280" s="4">
        <f ca="1">(CP*(D1280-K)&gt;0)*1</f>
        <v>0</v>
      </c>
      <c r="H1280" s="4">
        <v>1265</v>
      </c>
      <c r="I1280" s="3">
        <v>0.66772214587606282</v>
      </c>
      <c r="J1280" s="128">
        <v>1.3429338686224885E-3</v>
      </c>
      <c r="K1280" s="128"/>
      <c r="L1280" s="128">
        <v>3.7999999999999999E-2</v>
      </c>
      <c r="O1280" s="2"/>
    </row>
    <row r="1281" spans="2:15" x14ac:dyDescent="0.2">
      <c r="B1281" s="1">
        <v>1266</v>
      </c>
      <c r="C1281" s="5">
        <f ca="1">_xlfn.NORM.S.INV(RAND())</f>
        <v>0.26624036336330192</v>
      </c>
      <c r="D1281" s="5">
        <f ca="1">S0*EXP((μ-0.5*σ*σ)*T+σ*SQRT(T)*$C1281)</f>
        <v>0.68217853890048674</v>
      </c>
      <c r="E1281" s="5">
        <f ca="1">MAX(0,CP*(D1281-K))</f>
        <v>0</v>
      </c>
      <c r="F1281" s="4">
        <f ca="1">(CP*(D1281-K)&gt;0)*1</f>
        <v>0</v>
      </c>
      <c r="H1281" s="4">
        <v>1266</v>
      </c>
      <c r="I1281" s="3">
        <v>0.66774353507779882</v>
      </c>
      <c r="J1281" s="128">
        <v>1.527883312811829E-3</v>
      </c>
      <c r="K1281" s="128"/>
      <c r="L1281" s="128">
        <v>4.3200000000000002E-2</v>
      </c>
      <c r="O1281" s="2"/>
    </row>
    <row r="1282" spans="2:15" x14ac:dyDescent="0.2">
      <c r="B1282" s="1">
        <v>1267</v>
      </c>
      <c r="C1282" s="5">
        <f ca="1">_xlfn.NORM.S.INV(RAND())</f>
        <v>-0.16837446487722271</v>
      </c>
      <c r="D1282" s="5">
        <f ca="1">S0*EXP((μ-0.5*σ*σ)*T+σ*SQRT(T)*$C1282)</f>
        <v>0.65356620390569653</v>
      </c>
      <c r="E1282" s="5">
        <f ca="1">MAX(0,CP*(D1282-K))</f>
        <v>0</v>
      </c>
      <c r="F1282" s="4">
        <f ca="1">(CP*(D1282-K)&gt;0)*1</f>
        <v>0</v>
      </c>
      <c r="H1282" s="4">
        <v>1267</v>
      </c>
      <c r="I1282" s="3">
        <v>0.66783545462116689</v>
      </c>
      <c r="J1282" s="128">
        <v>1.547972113948087E-3</v>
      </c>
      <c r="K1282" s="128"/>
      <c r="L1282" s="128">
        <v>4.3799999999999999E-2</v>
      </c>
      <c r="O1282" s="2"/>
    </row>
    <row r="1283" spans="2:15" x14ac:dyDescent="0.2">
      <c r="B1283" s="1">
        <v>1268</v>
      </c>
      <c r="C1283" s="5">
        <f ca="1">_xlfn.NORM.S.INV(RAND())</f>
        <v>1.0317036442681444</v>
      </c>
      <c r="D1283" s="5">
        <f ca="1">S0*EXP((μ-0.5*σ*σ)*T+σ*SQRT(T)*$C1283)</f>
        <v>0.73565149832110377</v>
      </c>
      <c r="E1283" s="5">
        <f ca="1">MAX(0,CP*(D1283-K))</f>
        <v>0</v>
      </c>
      <c r="F1283" s="4">
        <f ca="1">(CP*(D1283-K)&gt;0)*1</f>
        <v>0</v>
      </c>
      <c r="H1283" s="4">
        <v>1268</v>
      </c>
      <c r="I1283" s="3">
        <v>0.66768046326286401</v>
      </c>
      <c r="J1283" s="128">
        <v>1.2900225738818661E-3</v>
      </c>
      <c r="K1283" s="128"/>
      <c r="L1283" s="128">
        <v>3.9E-2</v>
      </c>
      <c r="O1283" s="2"/>
    </row>
    <row r="1284" spans="2:15" x14ac:dyDescent="0.2">
      <c r="B1284" s="1">
        <v>1269</v>
      </c>
      <c r="C1284" s="5">
        <f ca="1">_xlfn.NORM.S.INV(RAND())</f>
        <v>1.1204322265017705</v>
      </c>
      <c r="D1284" s="5">
        <f ca="1">S0*EXP((μ-0.5*σ*σ)*T+σ*SQRT(T)*$C1284)</f>
        <v>0.74211485722300574</v>
      </c>
      <c r="E1284" s="5">
        <f ca="1">MAX(0,CP*(D1284-K))</f>
        <v>0</v>
      </c>
      <c r="F1284" s="4">
        <f ca="1">(CP*(D1284-K)&gt;0)*1</f>
        <v>0</v>
      </c>
      <c r="H1284" s="4">
        <v>1269</v>
      </c>
      <c r="I1284" s="3">
        <v>0.66767271868557687</v>
      </c>
      <c r="J1284" s="128">
        <v>1.3732152916087444E-3</v>
      </c>
      <c r="K1284" s="128"/>
      <c r="L1284" s="128">
        <v>4.2000000000000003E-2</v>
      </c>
      <c r="O1284" s="2"/>
    </row>
    <row r="1285" spans="2:15" x14ac:dyDescent="0.2">
      <c r="B1285" s="1">
        <v>1270</v>
      </c>
      <c r="C1285" s="5">
        <f ca="1">_xlfn.NORM.S.INV(RAND())</f>
        <v>4.8518674059895239E-2</v>
      </c>
      <c r="D1285" s="5">
        <f ca="1">S0*EXP((μ-0.5*σ*σ)*T+σ*SQRT(T)*$C1285)</f>
        <v>0.66769186045735252</v>
      </c>
      <c r="E1285" s="5">
        <f ca="1">MAX(0,CP*(D1285-K))</f>
        <v>0</v>
      </c>
      <c r="F1285" s="4">
        <f ca="1">(CP*(D1285-K)&gt;0)*1</f>
        <v>0</v>
      </c>
      <c r="H1285" s="4">
        <v>1270</v>
      </c>
      <c r="I1285" s="3">
        <v>0.66795633666476106</v>
      </c>
      <c r="J1285" s="128">
        <v>1.5387471729228781E-3</v>
      </c>
      <c r="K1285" s="128"/>
      <c r="L1285" s="128">
        <v>4.82E-2</v>
      </c>
      <c r="O1285" s="2"/>
    </row>
    <row r="1286" spans="2:15" x14ac:dyDescent="0.2">
      <c r="B1286" s="1">
        <v>1271</v>
      </c>
      <c r="C1286" s="5">
        <f ca="1">_xlfn.NORM.S.INV(RAND())</f>
        <v>1.3473540556772211E-2</v>
      </c>
      <c r="D1286" s="5">
        <f ca="1">S0*EXP((μ-0.5*σ*σ)*T+σ*SQRT(T)*$C1286)</f>
        <v>0.66538895827596456</v>
      </c>
      <c r="E1286" s="5">
        <f ca="1">MAX(0,CP*(D1286-K))</f>
        <v>0</v>
      </c>
      <c r="F1286" s="4">
        <f ca="1">(CP*(D1286-K)&gt;0)*1</f>
        <v>0</v>
      </c>
      <c r="H1286" s="4">
        <v>1271</v>
      </c>
      <c r="I1286" s="3">
        <v>0.66776444871908436</v>
      </c>
      <c r="J1286" s="128">
        <v>1.321593481242641E-3</v>
      </c>
      <c r="K1286" s="128"/>
      <c r="L1286" s="128">
        <v>4.2000000000000003E-2</v>
      </c>
      <c r="O1286" s="2"/>
    </row>
    <row r="1287" spans="2:15" x14ac:dyDescent="0.2">
      <c r="B1287" s="1">
        <v>1272</v>
      </c>
      <c r="C1287" s="5">
        <f ca="1">_xlfn.NORM.S.INV(RAND())</f>
        <v>0.9317472982480336</v>
      </c>
      <c r="D1287" s="5">
        <f ca="1">S0*EXP((μ-0.5*σ*σ)*T+σ*SQRT(T)*$C1287)</f>
        <v>0.72843766492107864</v>
      </c>
      <c r="E1287" s="5">
        <f ca="1">MAX(0,CP*(D1287-K))</f>
        <v>0</v>
      </c>
      <c r="F1287" s="4">
        <f ca="1">(CP*(D1287-K)&gt;0)*1</f>
        <v>0</v>
      </c>
      <c r="H1287" s="4">
        <v>1272</v>
      </c>
      <c r="I1287" s="3">
        <v>0.66761640510333986</v>
      </c>
      <c r="J1287" s="128">
        <v>1.2015893765999828E-3</v>
      </c>
      <c r="K1287" s="128"/>
      <c r="L1287" s="128">
        <v>3.9600000000000003E-2</v>
      </c>
      <c r="O1287" s="2"/>
    </row>
    <row r="1288" spans="2:15" x14ac:dyDescent="0.2">
      <c r="B1288" s="1">
        <v>1273</v>
      </c>
      <c r="C1288" s="5">
        <f ca="1">_xlfn.NORM.S.INV(RAND())</f>
        <v>-0.42605676498948919</v>
      </c>
      <c r="D1288" s="5">
        <f ca="1">S0*EXP((μ-0.5*σ*σ)*T+σ*SQRT(T)*$C1288)</f>
        <v>0.63717197056877517</v>
      </c>
      <c r="E1288" s="5">
        <f ca="1">MAX(0,CP*(D1288-K))</f>
        <v>0</v>
      </c>
      <c r="F1288" s="4">
        <f ca="1">(CP*(D1288-K)&gt;0)*1</f>
        <v>0</v>
      </c>
      <c r="H1288" s="4">
        <v>1273</v>
      </c>
      <c r="I1288" s="3">
        <v>0.667658750840603</v>
      </c>
      <c r="J1288" s="128">
        <v>1.2309564457491597E-3</v>
      </c>
      <c r="K1288" s="128"/>
      <c r="L1288" s="128">
        <v>0.04</v>
      </c>
      <c r="O1288" s="2"/>
    </row>
    <row r="1289" spans="2:15" x14ac:dyDescent="0.2">
      <c r="B1289" s="1">
        <v>1274</v>
      </c>
      <c r="C1289" s="5">
        <f ca="1">_xlfn.NORM.S.INV(RAND())</f>
        <v>3.6289154981208626E-3</v>
      </c>
      <c r="D1289" s="5">
        <f ca="1">S0*EXP((μ-0.5*σ*σ)*T+σ*SQRT(T)*$C1289)</f>
        <v>0.66474347387124011</v>
      </c>
      <c r="E1289" s="5">
        <f ca="1">MAX(0,CP*(D1289-K))</f>
        <v>0</v>
      </c>
      <c r="F1289" s="4">
        <f ca="1">(CP*(D1289-K)&gt;0)*1</f>
        <v>0</v>
      </c>
      <c r="H1289" s="4">
        <v>1274</v>
      </c>
      <c r="I1289" s="3">
        <v>0.66770420067545033</v>
      </c>
      <c r="J1289" s="128">
        <v>1.2929995189860416E-3</v>
      </c>
      <c r="K1289" s="128"/>
      <c r="L1289" s="128">
        <v>4.2200000000000001E-2</v>
      </c>
      <c r="O1289" s="2"/>
    </row>
    <row r="1290" spans="2:15" x14ac:dyDescent="0.2">
      <c r="B1290" s="1">
        <v>1275</v>
      </c>
      <c r="C1290" s="5">
        <f ca="1">_xlfn.NORM.S.INV(RAND())</f>
        <v>1.3049108073313926</v>
      </c>
      <c r="D1290" s="5">
        <f ca="1">S0*EXP((μ-0.5*σ*σ)*T+σ*SQRT(T)*$C1290)</f>
        <v>0.75573539008446222</v>
      </c>
      <c r="E1290" s="5">
        <f ca="1">MAX(0,CP*(D1290-K))</f>
        <v>0</v>
      </c>
      <c r="F1290" s="4">
        <f ca="1">(CP*(D1290-K)&gt;0)*1</f>
        <v>0</v>
      </c>
      <c r="H1290" s="4">
        <v>1275</v>
      </c>
      <c r="I1290" s="3">
        <v>0.66793760111847134</v>
      </c>
      <c r="J1290" s="128">
        <v>1.4826054403288171E-3</v>
      </c>
      <c r="K1290" s="128"/>
      <c r="L1290" s="128">
        <v>4.7199999999999999E-2</v>
      </c>
      <c r="O1290" s="2"/>
    </row>
    <row r="1291" spans="2:15" x14ac:dyDescent="0.2">
      <c r="B1291" s="1">
        <v>1276</v>
      </c>
      <c r="C1291" s="5">
        <f ca="1">_xlfn.NORM.S.INV(RAND())</f>
        <v>-3.6908406278367818</v>
      </c>
      <c r="D1291" s="5">
        <f ca="1">S0*EXP((μ-0.5*σ*σ)*T+σ*SQRT(T)*$C1291)</f>
        <v>0.46181889327866993</v>
      </c>
      <c r="E1291" s="5">
        <f ca="1">MAX(0,CP*(D1291-K))</f>
        <v>0</v>
      </c>
      <c r="F1291" s="4">
        <f ca="1">(CP*(D1291-K)&gt;0)*1</f>
        <v>0</v>
      </c>
      <c r="H1291" s="4">
        <v>1276</v>
      </c>
      <c r="I1291" s="3">
        <v>0.66785215992208391</v>
      </c>
      <c r="J1291" s="128">
        <v>1.5236877195984753E-3</v>
      </c>
      <c r="K1291" s="128"/>
      <c r="L1291" s="128">
        <v>4.5600000000000002E-2</v>
      </c>
      <c r="O1291" s="2"/>
    </row>
    <row r="1292" spans="2:15" x14ac:dyDescent="0.2">
      <c r="B1292" s="1">
        <v>1277</v>
      </c>
      <c r="C1292" s="5">
        <f ca="1">_xlfn.NORM.S.INV(RAND())</f>
        <v>-1.2902901002471023</v>
      </c>
      <c r="D1292" s="5">
        <f ca="1">S0*EXP((μ-0.5*σ*σ)*T+σ*SQRT(T)*$C1292)</f>
        <v>0.58513173554248354</v>
      </c>
      <c r="E1292" s="5">
        <f ca="1">MAX(0,CP*(D1292-K))</f>
        <v>0</v>
      </c>
      <c r="F1292" s="4">
        <f ca="1">(CP*(D1292-K)&gt;0)*1</f>
        <v>0</v>
      </c>
      <c r="H1292" s="4">
        <v>1277</v>
      </c>
      <c r="I1292" s="3">
        <v>0.66773487288753175</v>
      </c>
      <c r="J1292" s="128">
        <v>1.3496262437143281E-3</v>
      </c>
      <c r="K1292" s="128"/>
      <c r="L1292" s="128">
        <v>4.02E-2</v>
      </c>
      <c r="O1292" s="2"/>
    </row>
    <row r="1293" spans="2:15" x14ac:dyDescent="0.2">
      <c r="B1293" s="1">
        <v>1278</v>
      </c>
      <c r="C1293" s="5">
        <f ca="1">_xlfn.NORM.S.INV(RAND())</f>
        <v>-0.68909528842189016</v>
      </c>
      <c r="D1293" s="5">
        <f ca="1">S0*EXP((μ-0.5*σ*σ)*T+σ*SQRT(T)*$C1293)</f>
        <v>0.62086103837635276</v>
      </c>
      <c r="E1293" s="5">
        <f ca="1">MAX(0,CP*(D1293-K))</f>
        <v>0</v>
      </c>
      <c r="F1293" s="4">
        <f ca="1">(CP*(D1293-K)&gt;0)*1</f>
        <v>0</v>
      </c>
      <c r="H1293" s="4">
        <v>1278</v>
      </c>
      <c r="I1293" s="3">
        <v>0.66766999743243338</v>
      </c>
      <c r="J1293" s="128">
        <v>1.2152597214176114E-3</v>
      </c>
      <c r="K1293" s="128"/>
      <c r="L1293" s="128">
        <v>4.2599999999999999E-2</v>
      </c>
      <c r="O1293" s="2"/>
    </row>
    <row r="1294" spans="2:15" x14ac:dyDescent="0.2">
      <c r="B1294" s="1">
        <v>1279</v>
      </c>
      <c r="C1294" s="5">
        <f ca="1">_xlfn.NORM.S.INV(RAND())</f>
        <v>-9.2285424811772793E-2</v>
      </c>
      <c r="D1294" s="5">
        <f ca="1">S0*EXP((μ-0.5*σ*σ)*T+σ*SQRT(T)*$C1294)</f>
        <v>0.65848731698422924</v>
      </c>
      <c r="E1294" s="5">
        <f ca="1">MAX(0,CP*(D1294-K))</f>
        <v>0</v>
      </c>
      <c r="F1294" s="4">
        <f ca="1">(CP*(D1294-K)&gt;0)*1</f>
        <v>0</v>
      </c>
      <c r="H1294" s="4">
        <v>1279</v>
      </c>
      <c r="I1294" s="3">
        <v>0.66785242403686329</v>
      </c>
      <c r="J1294" s="128">
        <v>1.4897227451348232E-3</v>
      </c>
      <c r="K1294" s="128"/>
      <c r="L1294" s="128">
        <v>4.5199999999999997E-2</v>
      </c>
      <c r="O1294" s="2"/>
    </row>
    <row r="1295" spans="2:15" x14ac:dyDescent="0.2">
      <c r="B1295" s="1">
        <v>1280</v>
      </c>
      <c r="C1295" s="5">
        <f ca="1">_xlfn.NORM.S.INV(RAND())</f>
        <v>1.341379008640307</v>
      </c>
      <c r="D1295" s="5">
        <f ca="1">S0*EXP((μ-0.5*σ*σ)*T+σ*SQRT(T)*$C1295)</f>
        <v>0.75845738161284659</v>
      </c>
      <c r="E1295" s="5">
        <f ca="1">MAX(0,CP*(D1295-K))</f>
        <v>0</v>
      </c>
      <c r="F1295" s="4">
        <f ca="1">(CP*(D1295-K)&gt;0)*1</f>
        <v>0</v>
      </c>
      <c r="H1295" s="4">
        <v>1280</v>
      </c>
      <c r="I1295" s="3">
        <v>0.66764730307589515</v>
      </c>
      <c r="J1295" s="128">
        <v>1.3180380884163518E-3</v>
      </c>
      <c r="K1295" s="128"/>
      <c r="L1295" s="128">
        <v>4.3400000000000001E-2</v>
      </c>
      <c r="O1295" s="2"/>
    </row>
    <row r="1296" spans="2:15" x14ac:dyDescent="0.2">
      <c r="B1296" s="1">
        <v>1281</v>
      </c>
      <c r="C1296" s="5">
        <f ca="1">_xlfn.NORM.S.INV(RAND())</f>
        <v>1.5345648164055341</v>
      </c>
      <c r="D1296" s="5">
        <f ca="1">S0*EXP((μ-0.5*σ*σ)*T+σ*SQRT(T)*$C1296)</f>
        <v>0.77304117175539355</v>
      </c>
      <c r="E1296" s="5">
        <f ca="1">MAX(0,CP*(D1296-K))</f>
        <v>0</v>
      </c>
      <c r="F1296" s="4">
        <f ca="1">(CP*(D1296-K)&gt;0)*1</f>
        <v>0</v>
      </c>
      <c r="H1296" s="4">
        <v>1281</v>
      </c>
      <c r="I1296" s="3">
        <v>0.66779803796857229</v>
      </c>
      <c r="J1296" s="128">
        <v>1.419645475624554E-3</v>
      </c>
      <c r="K1296" s="128"/>
      <c r="L1296" s="128">
        <v>4.02E-2</v>
      </c>
      <c r="O1296" s="2"/>
    </row>
    <row r="1297" spans="2:15" x14ac:dyDescent="0.2">
      <c r="B1297" s="1">
        <v>1282</v>
      </c>
      <c r="C1297" s="5">
        <f ca="1">_xlfn.NORM.S.INV(RAND())</f>
        <v>-1.1146611314147437</v>
      </c>
      <c r="D1297" s="5">
        <f ca="1">S0*EXP((μ-0.5*σ*σ)*T+σ*SQRT(T)*$C1297)</f>
        <v>0.59535140419160382</v>
      </c>
      <c r="E1297" s="5">
        <f ca="1">MAX(0,CP*(D1297-K))</f>
        <v>0</v>
      </c>
      <c r="F1297" s="4">
        <f ca="1">(CP*(D1297-K)&gt;0)*1</f>
        <v>0</v>
      </c>
      <c r="H1297" s="4">
        <v>1282</v>
      </c>
      <c r="I1297" s="3">
        <v>0.6677277284997144</v>
      </c>
      <c r="J1297" s="128">
        <v>1.4265813368902326E-3</v>
      </c>
      <c r="K1297" s="128"/>
      <c r="L1297" s="128">
        <v>3.8800000000000001E-2</v>
      </c>
      <c r="O1297" s="2"/>
    </row>
    <row r="1298" spans="2:15" x14ac:dyDescent="0.2">
      <c r="B1298" s="1">
        <v>1283</v>
      </c>
      <c r="C1298" s="5">
        <f ca="1">_xlfn.NORM.S.INV(RAND())</f>
        <v>-0.36129919718720399</v>
      </c>
      <c r="D1298" s="5">
        <f ca="1">S0*EXP((μ-0.5*σ*σ)*T+σ*SQRT(T)*$C1298)</f>
        <v>0.64125287082113736</v>
      </c>
      <c r="E1298" s="5">
        <f ca="1">MAX(0,CP*(D1298-K))</f>
        <v>0</v>
      </c>
      <c r="F1298" s="4">
        <f ca="1">(CP*(D1298-K)&gt;0)*1</f>
        <v>0</v>
      </c>
      <c r="H1298" s="4">
        <v>1283</v>
      </c>
      <c r="I1298" s="3">
        <v>0.66772297911719869</v>
      </c>
      <c r="J1298" s="128">
        <v>1.4240685114775581E-3</v>
      </c>
      <c r="K1298" s="128"/>
      <c r="L1298" s="128">
        <v>4.24E-2</v>
      </c>
      <c r="O1298" s="2"/>
    </row>
    <row r="1299" spans="2:15" x14ac:dyDescent="0.2">
      <c r="B1299" s="1">
        <v>1284</v>
      </c>
      <c r="C1299" s="5">
        <f ca="1">_xlfn.NORM.S.INV(RAND())</f>
        <v>1.0215625357714402</v>
      </c>
      <c r="D1299" s="5">
        <f ca="1">S0*EXP((μ-0.5*σ*σ)*T+σ*SQRT(T)*$C1299)</f>
        <v>0.73491637163115686</v>
      </c>
      <c r="E1299" s="5">
        <f ca="1">MAX(0,CP*(D1299-K))</f>
        <v>0</v>
      </c>
      <c r="F1299" s="4">
        <f ca="1">(CP*(D1299-K)&gt;0)*1</f>
        <v>0</v>
      </c>
      <c r="H1299" s="4">
        <v>1284</v>
      </c>
      <c r="I1299" s="3">
        <v>0.66768019037425352</v>
      </c>
      <c r="J1299" s="128">
        <v>1.4187155155455573E-3</v>
      </c>
      <c r="K1299" s="128"/>
      <c r="L1299" s="128">
        <v>4.02E-2</v>
      </c>
      <c r="O1299" s="2"/>
    </row>
    <row r="1300" spans="2:15" x14ac:dyDescent="0.2">
      <c r="B1300" s="1">
        <v>1285</v>
      </c>
      <c r="C1300" s="5">
        <f ca="1">_xlfn.NORM.S.INV(RAND())</f>
        <v>0.23252497666488117</v>
      </c>
      <c r="D1300" s="5">
        <f ca="1">S0*EXP((μ-0.5*σ*σ)*T+σ*SQRT(T)*$C1300)</f>
        <v>0.67991479997194182</v>
      </c>
      <c r="E1300" s="5">
        <f ca="1">MAX(0,CP*(D1300-K))</f>
        <v>0</v>
      </c>
      <c r="F1300" s="4">
        <f ca="1">(CP*(D1300-K)&gt;0)*1</f>
        <v>0</v>
      </c>
      <c r="H1300" s="4">
        <v>1285</v>
      </c>
      <c r="I1300" s="3">
        <v>0.66767041303327546</v>
      </c>
      <c r="J1300" s="128">
        <v>1.1443459427286533E-3</v>
      </c>
      <c r="K1300" s="128"/>
      <c r="L1300" s="128">
        <v>3.5999999999999997E-2</v>
      </c>
      <c r="O1300" s="2"/>
    </row>
    <row r="1301" spans="2:15" x14ac:dyDescent="0.2">
      <c r="B1301" s="1">
        <v>1286</v>
      </c>
      <c r="C1301" s="5">
        <f ca="1">_xlfn.NORM.S.INV(RAND())</f>
        <v>-1.5051414778341445</v>
      </c>
      <c r="D1301" s="5">
        <f ca="1">S0*EXP((μ-0.5*σ*σ)*T+σ*SQRT(T)*$C1301)</f>
        <v>0.57286801917440366</v>
      </c>
      <c r="E1301" s="5">
        <f ca="1">MAX(0,CP*(D1301-K))</f>
        <v>0</v>
      </c>
      <c r="F1301" s="4">
        <f ca="1">(CP*(D1301-K)&gt;0)*1</f>
        <v>0</v>
      </c>
      <c r="H1301" s="4">
        <v>1286</v>
      </c>
      <c r="I1301" s="3">
        <v>0.66775207265421588</v>
      </c>
      <c r="J1301" s="128">
        <v>1.4243733154102101E-3</v>
      </c>
      <c r="K1301" s="128"/>
      <c r="L1301" s="128">
        <v>4.0599999999999997E-2</v>
      </c>
      <c r="O1301" s="2"/>
    </row>
    <row r="1302" spans="2:15" x14ac:dyDescent="0.2">
      <c r="B1302" s="1">
        <v>1287</v>
      </c>
      <c r="C1302" s="5">
        <f ca="1">_xlfn.NORM.S.INV(RAND())</f>
        <v>-0.63877595459684122</v>
      </c>
      <c r="D1302" s="5">
        <f ca="1">S0*EXP((μ-0.5*σ*σ)*T+σ*SQRT(T)*$C1302)</f>
        <v>0.62394869283214682</v>
      </c>
      <c r="E1302" s="5">
        <f ca="1">MAX(0,CP*(D1302-K))</f>
        <v>0</v>
      </c>
      <c r="F1302" s="4">
        <f ca="1">(CP*(D1302-K)&gt;0)*1</f>
        <v>0</v>
      </c>
      <c r="H1302" s="4">
        <v>1287</v>
      </c>
      <c r="I1302" s="3">
        <v>0.66782563519111193</v>
      </c>
      <c r="J1302" s="128">
        <v>1.446534074518115E-3</v>
      </c>
      <c r="K1302" s="128"/>
      <c r="L1302" s="128">
        <v>4.1200000000000001E-2</v>
      </c>
      <c r="O1302" s="2"/>
    </row>
    <row r="1303" spans="2:15" x14ac:dyDescent="0.2">
      <c r="B1303" s="1">
        <v>1288</v>
      </c>
      <c r="C1303" s="5">
        <f ca="1">_xlfn.NORM.S.INV(RAND())</f>
        <v>1.1023960877994476</v>
      </c>
      <c r="D1303" s="5">
        <f ca="1">S0*EXP((μ-0.5*σ*σ)*T+σ*SQRT(T)*$C1303)</f>
        <v>0.74079644763437369</v>
      </c>
      <c r="E1303" s="5">
        <f ca="1">MAX(0,CP*(D1303-K))</f>
        <v>0</v>
      </c>
      <c r="F1303" s="4">
        <f ca="1">(CP*(D1303-K)&gt;0)*1</f>
        <v>0</v>
      </c>
      <c r="H1303" s="4">
        <v>1288</v>
      </c>
      <c r="I1303" s="3">
        <v>0.66773102271890583</v>
      </c>
      <c r="J1303" s="128">
        <v>1.3411473394267239E-3</v>
      </c>
      <c r="K1303" s="128"/>
      <c r="L1303" s="128">
        <v>4.1799999999999997E-2</v>
      </c>
      <c r="O1303" s="2"/>
    </row>
    <row r="1304" spans="2:15" x14ac:dyDescent="0.2">
      <c r="B1304" s="1">
        <v>1289</v>
      </c>
      <c r="C1304" s="5">
        <f ca="1">_xlfn.NORM.S.INV(RAND())</f>
        <v>-7.1655627665820065E-2</v>
      </c>
      <c r="D1304" s="5">
        <f ca="1">S0*EXP((μ-0.5*σ*σ)*T+σ*SQRT(T)*$C1304)</f>
        <v>0.65982793734222855</v>
      </c>
      <c r="E1304" s="5">
        <f ca="1">MAX(0,CP*(D1304-K))</f>
        <v>0</v>
      </c>
      <c r="F1304" s="4">
        <f ca="1">(CP*(D1304-K)&gt;0)*1</f>
        <v>0</v>
      </c>
      <c r="H1304" s="4">
        <v>1289</v>
      </c>
      <c r="I1304" s="3">
        <v>0.66790507210750771</v>
      </c>
      <c r="J1304" s="128">
        <v>1.6684088744449536E-3</v>
      </c>
      <c r="K1304" s="128"/>
      <c r="L1304" s="128">
        <v>4.3400000000000001E-2</v>
      </c>
      <c r="O1304" s="2"/>
    </row>
    <row r="1305" spans="2:15" x14ac:dyDescent="0.2">
      <c r="B1305" s="1">
        <v>1290</v>
      </c>
      <c r="C1305" s="5">
        <f ca="1">_xlfn.NORM.S.INV(RAND())</f>
        <v>-1.4647870688486482</v>
      </c>
      <c r="D1305" s="5">
        <f ca="1">S0*EXP((μ-0.5*σ*σ)*T+σ*SQRT(T)*$C1305)</f>
        <v>0.5751516793759669</v>
      </c>
      <c r="E1305" s="5">
        <f ca="1">MAX(0,CP*(D1305-K))</f>
        <v>0</v>
      </c>
      <c r="F1305" s="4">
        <f ca="1">(CP*(D1305-K)&gt;0)*1</f>
        <v>0</v>
      </c>
      <c r="H1305" s="4">
        <v>1290</v>
      </c>
      <c r="I1305" s="3">
        <v>0.66751322038330352</v>
      </c>
      <c r="J1305" s="128">
        <v>1.1326730811344334E-3</v>
      </c>
      <c r="K1305" s="128"/>
      <c r="L1305" s="128">
        <v>3.7400000000000003E-2</v>
      </c>
      <c r="O1305" s="2"/>
    </row>
    <row r="1306" spans="2:15" x14ac:dyDescent="0.2">
      <c r="B1306" s="1">
        <v>1291</v>
      </c>
      <c r="C1306" s="5">
        <f ca="1">_xlfn.NORM.S.INV(RAND())</f>
        <v>-0.69786420038995423</v>
      </c>
      <c r="D1306" s="5">
        <f ca="1">S0*EXP((μ-0.5*σ*σ)*T+σ*SQRT(T)*$C1306)</f>
        <v>0.62032453294082923</v>
      </c>
      <c r="E1306" s="5">
        <f ca="1">MAX(0,CP*(D1306-K))</f>
        <v>0</v>
      </c>
      <c r="F1306" s="4">
        <f ca="1">(CP*(D1306-K)&gt;0)*1</f>
        <v>0</v>
      </c>
      <c r="H1306" s="4">
        <v>1291</v>
      </c>
      <c r="I1306" s="3">
        <v>0.66784505414746898</v>
      </c>
      <c r="J1306" s="128">
        <v>1.5232863999334889E-3</v>
      </c>
      <c r="K1306" s="128"/>
      <c r="L1306" s="128">
        <v>4.4400000000000002E-2</v>
      </c>
      <c r="O1306" s="2"/>
    </row>
    <row r="1307" spans="2:15" x14ac:dyDescent="0.2">
      <c r="B1307" s="1">
        <v>1292</v>
      </c>
      <c r="C1307" s="5">
        <f ca="1">_xlfn.NORM.S.INV(RAND())</f>
        <v>1.3955387219034054</v>
      </c>
      <c r="D1307" s="5">
        <f ca="1">S0*EXP((μ-0.5*σ*σ)*T+σ*SQRT(T)*$C1307)</f>
        <v>0.76251797241230845</v>
      </c>
      <c r="E1307" s="5">
        <f ca="1">MAX(0,CP*(D1307-K))</f>
        <v>0</v>
      </c>
      <c r="F1307" s="4">
        <f ca="1">(CP*(D1307-K)&gt;0)*1</f>
        <v>0</v>
      </c>
      <c r="H1307" s="4">
        <v>1292</v>
      </c>
      <c r="I1307" s="3">
        <v>0.66777843260154668</v>
      </c>
      <c r="J1307" s="128">
        <v>1.4219091088749345E-3</v>
      </c>
      <c r="K1307" s="128"/>
      <c r="L1307" s="128">
        <v>4.1799999999999997E-2</v>
      </c>
      <c r="O1307" s="2"/>
    </row>
    <row r="1308" spans="2:15" x14ac:dyDescent="0.2">
      <c r="B1308" s="1">
        <v>1293</v>
      </c>
      <c r="C1308" s="5">
        <f ca="1">_xlfn.NORM.S.INV(RAND())</f>
        <v>-0.75920523046462784</v>
      </c>
      <c r="D1308" s="5">
        <f ca="1">S0*EXP((μ-0.5*σ*σ)*T+σ*SQRT(T)*$C1308)</f>
        <v>0.61658446737614347</v>
      </c>
      <c r="E1308" s="5">
        <f ca="1">MAX(0,CP*(D1308-K))</f>
        <v>0</v>
      </c>
      <c r="F1308" s="4">
        <f ca="1">(CP*(D1308-K)&gt;0)*1</f>
        <v>0</v>
      </c>
      <c r="H1308" s="4">
        <v>1293</v>
      </c>
      <c r="I1308" s="3">
        <v>0.66770236975304875</v>
      </c>
      <c r="J1308" s="128">
        <v>1.5298769283272164E-3</v>
      </c>
      <c r="K1308" s="128"/>
      <c r="L1308" s="128">
        <v>4.5199999999999997E-2</v>
      </c>
      <c r="O1308" s="2"/>
    </row>
    <row r="1309" spans="2:15" x14ac:dyDescent="0.2">
      <c r="B1309" s="1">
        <v>1294</v>
      </c>
      <c r="C1309" s="5">
        <f ca="1">_xlfn.NORM.S.INV(RAND())</f>
        <v>0.56677520253225788</v>
      </c>
      <c r="D1309" s="5">
        <f ca="1">S0*EXP((μ-0.5*σ*σ)*T+σ*SQRT(T)*$C1309)</f>
        <v>0.70269319929696072</v>
      </c>
      <c r="E1309" s="5">
        <f ca="1">MAX(0,CP*(D1309-K))</f>
        <v>0</v>
      </c>
      <c r="F1309" s="4">
        <f ca="1">(CP*(D1309-K)&gt;0)*1</f>
        <v>0</v>
      </c>
      <c r="H1309" s="4">
        <v>1294</v>
      </c>
      <c r="I1309" s="3">
        <v>0.66758135304981681</v>
      </c>
      <c r="J1309" s="128">
        <v>1.2611319485019601E-3</v>
      </c>
      <c r="K1309" s="128"/>
      <c r="L1309" s="128">
        <v>3.8600000000000002E-2</v>
      </c>
      <c r="O1309" s="2"/>
    </row>
    <row r="1310" spans="2:15" x14ac:dyDescent="0.2">
      <c r="B1310" s="1">
        <v>1295</v>
      </c>
      <c r="C1310" s="5">
        <f ca="1">_xlfn.NORM.S.INV(RAND())</f>
        <v>-1.9162628091328096</v>
      </c>
      <c r="D1310" s="5">
        <f ca="1">S0*EXP((μ-0.5*σ*σ)*T+σ*SQRT(T)*$C1310)</f>
        <v>0.55011312854816175</v>
      </c>
      <c r="E1310" s="5">
        <f ca="1">MAX(0,CP*(D1310-K))</f>
        <v>0</v>
      </c>
      <c r="F1310" s="4">
        <f ca="1">(CP*(D1310-K)&gt;0)*1</f>
        <v>0</v>
      </c>
      <c r="H1310" s="4">
        <v>1295</v>
      </c>
      <c r="I1310" s="3">
        <v>0.66784320536069686</v>
      </c>
      <c r="J1310" s="128">
        <v>1.4220038009245173E-3</v>
      </c>
      <c r="K1310" s="128"/>
      <c r="L1310" s="128">
        <v>4.4400000000000002E-2</v>
      </c>
      <c r="O1310" s="2"/>
    </row>
    <row r="1311" spans="2:15" x14ac:dyDescent="0.2">
      <c r="B1311" s="1">
        <v>1296</v>
      </c>
      <c r="C1311" s="5">
        <f ca="1">_xlfn.NORM.S.INV(RAND())</f>
        <v>-0.96706190019705573</v>
      </c>
      <c r="D1311" s="5">
        <f ca="1">S0*EXP((μ-0.5*σ*σ)*T+σ*SQRT(T)*$C1311)</f>
        <v>0.60407795926382235</v>
      </c>
      <c r="E1311" s="5">
        <f ca="1">MAX(0,CP*(D1311-K))</f>
        <v>0</v>
      </c>
      <c r="F1311" s="4">
        <f ca="1">(CP*(D1311-K)&gt;0)*1</f>
        <v>0</v>
      </c>
      <c r="H1311" s="4">
        <v>1296</v>
      </c>
      <c r="I1311" s="3">
        <v>0.66784094843392872</v>
      </c>
      <c r="J1311" s="128">
        <v>1.6380043156528125E-3</v>
      </c>
      <c r="K1311" s="128"/>
      <c r="L1311" s="128">
        <v>4.4200000000000003E-2</v>
      </c>
      <c r="O1311" s="2"/>
    </row>
    <row r="1312" spans="2:15" x14ac:dyDescent="0.2">
      <c r="B1312" s="1">
        <v>1297</v>
      </c>
      <c r="C1312" s="5">
        <f ca="1">_xlfn.NORM.S.INV(RAND())</f>
        <v>0.10348169359043607</v>
      </c>
      <c r="D1312" s="5">
        <f ca="1">S0*EXP((μ-0.5*σ*σ)*T+σ*SQRT(T)*$C1312)</f>
        <v>0.6713196790793543</v>
      </c>
      <c r="E1312" s="5">
        <f ca="1">MAX(0,CP*(D1312-K))</f>
        <v>0</v>
      </c>
      <c r="F1312" s="4">
        <f ca="1">(CP*(D1312-K)&gt;0)*1</f>
        <v>0</v>
      </c>
      <c r="H1312" s="4">
        <v>1297</v>
      </c>
      <c r="I1312" s="3">
        <v>0.66784963267407582</v>
      </c>
      <c r="J1312" s="128">
        <v>1.3975786317683694E-3</v>
      </c>
      <c r="K1312" s="128"/>
      <c r="L1312" s="128">
        <v>4.6199999999999998E-2</v>
      </c>
      <c r="O1312" s="2"/>
    </row>
    <row r="1313" spans="2:15" x14ac:dyDescent="0.2">
      <c r="B1313" s="1">
        <v>1298</v>
      </c>
      <c r="C1313" s="5">
        <f ca="1">_xlfn.NORM.S.INV(RAND())</f>
        <v>0.72250063159814104</v>
      </c>
      <c r="D1313" s="5">
        <f ca="1">S0*EXP((μ-0.5*σ*σ)*T+σ*SQRT(T)*$C1313)</f>
        <v>0.71356458844367621</v>
      </c>
      <c r="E1313" s="5">
        <f ca="1">MAX(0,CP*(D1313-K))</f>
        <v>0</v>
      </c>
      <c r="F1313" s="4">
        <f ca="1">(CP*(D1313-K)&gt;0)*1</f>
        <v>0</v>
      </c>
      <c r="H1313" s="4">
        <v>1298</v>
      </c>
      <c r="I1313" s="3">
        <v>0.66760293738632004</v>
      </c>
      <c r="J1313" s="128">
        <v>1.3656940018571529E-3</v>
      </c>
      <c r="K1313" s="128"/>
      <c r="L1313" s="128">
        <v>3.78E-2</v>
      </c>
      <c r="O1313" s="2"/>
    </row>
    <row r="1314" spans="2:15" x14ac:dyDescent="0.2">
      <c r="B1314" s="1">
        <v>1299</v>
      </c>
      <c r="C1314" s="5">
        <f ca="1">_xlfn.NORM.S.INV(RAND())</f>
        <v>-0.20615563500677259</v>
      </c>
      <c r="D1314" s="5">
        <f ca="1">S0*EXP((μ-0.5*σ*σ)*T+σ*SQRT(T)*$C1314)</f>
        <v>0.65113636129661012</v>
      </c>
      <c r="E1314" s="5">
        <f ca="1">MAX(0,CP*(D1314-K))</f>
        <v>0</v>
      </c>
      <c r="F1314" s="4">
        <f ca="1">(CP*(D1314-K)&gt;0)*1</f>
        <v>0</v>
      </c>
      <c r="H1314" s="4">
        <v>1299</v>
      </c>
      <c r="I1314" s="3">
        <v>0.66770079544600514</v>
      </c>
      <c r="J1314" s="128">
        <v>1.2962013186952411E-3</v>
      </c>
      <c r="K1314" s="128"/>
      <c r="L1314" s="128">
        <v>3.8800000000000001E-2</v>
      </c>
      <c r="O1314" s="2"/>
    </row>
    <row r="1315" spans="2:15" x14ac:dyDescent="0.2">
      <c r="B1315" s="1">
        <v>1300</v>
      </c>
      <c r="C1315" s="5">
        <f ca="1">_xlfn.NORM.S.INV(RAND())</f>
        <v>1.2211736502823605</v>
      </c>
      <c r="D1315" s="5">
        <f ca="1">S0*EXP((μ-0.5*σ*σ)*T+σ*SQRT(T)*$C1315)</f>
        <v>0.74952214791377803</v>
      </c>
      <c r="E1315" s="5">
        <f ca="1">MAX(0,CP*(D1315-K))</f>
        <v>0</v>
      </c>
      <c r="F1315" s="4">
        <f ca="1">(CP*(D1315-K)&gt;0)*1</f>
        <v>0</v>
      </c>
      <c r="H1315" s="4">
        <v>1300</v>
      </c>
      <c r="I1315" s="3">
        <v>0.66783613768728689</v>
      </c>
      <c r="J1315" s="128">
        <v>1.3573140033015609E-3</v>
      </c>
      <c r="K1315" s="128"/>
      <c r="L1315" s="128">
        <v>3.7999999999999999E-2</v>
      </c>
      <c r="O1315" s="2"/>
    </row>
    <row r="1316" spans="2:15" x14ac:dyDescent="0.2">
      <c r="B1316" s="1">
        <v>1301</v>
      </c>
      <c r="C1316" s="5">
        <f ca="1">_xlfn.NORM.S.INV(RAND())</f>
        <v>-0.59077378198322228</v>
      </c>
      <c r="D1316" s="5">
        <f ca="1">S0*EXP((μ-0.5*σ*σ)*T+σ*SQRT(T)*$C1316)</f>
        <v>0.62690847350330881</v>
      </c>
      <c r="E1316" s="5">
        <f ca="1">MAX(0,CP*(D1316-K))</f>
        <v>0</v>
      </c>
      <c r="F1316" s="4">
        <f ca="1">(CP*(D1316-K)&gt;0)*1</f>
        <v>0</v>
      </c>
      <c r="H1316" s="4">
        <v>1301</v>
      </c>
      <c r="I1316" s="3">
        <v>0.6677169337992811</v>
      </c>
      <c r="J1316" s="128">
        <v>1.304553201530022E-3</v>
      </c>
      <c r="K1316" s="128"/>
      <c r="L1316" s="128">
        <v>4.1599999999999998E-2</v>
      </c>
      <c r="O1316" s="2"/>
    </row>
    <row r="1317" spans="2:15" x14ac:dyDescent="0.2">
      <c r="B1317" s="1">
        <v>1302</v>
      </c>
      <c r="C1317" s="5">
        <f ca="1">_xlfn.NORM.S.INV(RAND())</f>
        <v>0.31730021421619259</v>
      </c>
      <c r="D1317" s="5">
        <f ca="1">S0*EXP((μ-0.5*σ*σ)*T+σ*SQRT(T)*$C1317)</f>
        <v>0.68562118882609557</v>
      </c>
      <c r="E1317" s="5">
        <f ca="1">MAX(0,CP*(D1317-K))</f>
        <v>0</v>
      </c>
      <c r="F1317" s="4">
        <f ca="1">(CP*(D1317-K)&gt;0)*1</f>
        <v>0</v>
      </c>
      <c r="H1317" s="4">
        <v>1302</v>
      </c>
      <c r="I1317" s="3">
        <v>0.6676894678709081</v>
      </c>
      <c r="J1317" s="128">
        <v>1.1886499156839299E-3</v>
      </c>
      <c r="K1317" s="128"/>
      <c r="L1317" s="128">
        <v>3.7199999999999997E-2</v>
      </c>
      <c r="O1317" s="2"/>
    </row>
    <row r="1318" spans="2:15" x14ac:dyDescent="0.2">
      <c r="B1318" s="1">
        <v>1303</v>
      </c>
      <c r="C1318" s="5">
        <f ca="1">_xlfn.NORM.S.INV(RAND())</f>
        <v>-0.61367983900347578</v>
      </c>
      <c r="D1318" s="5">
        <f ca="1">S0*EXP((μ-0.5*σ*σ)*T+σ*SQRT(T)*$C1318)</f>
        <v>0.62549435463357494</v>
      </c>
      <c r="E1318" s="5">
        <f ca="1">MAX(0,CP*(D1318-K))</f>
        <v>0</v>
      </c>
      <c r="F1318" s="4">
        <f ca="1">(CP*(D1318-K)&gt;0)*1</f>
        <v>0</v>
      </c>
      <c r="H1318" s="4">
        <v>1303</v>
      </c>
      <c r="I1318" s="3">
        <v>0.66783071495316215</v>
      </c>
      <c r="J1318" s="128">
        <v>1.4014135714424279E-3</v>
      </c>
      <c r="K1318" s="128"/>
      <c r="L1318" s="128">
        <v>4.6199999999999998E-2</v>
      </c>
      <c r="O1318" s="2"/>
    </row>
    <row r="1319" spans="2:15" x14ac:dyDescent="0.2">
      <c r="B1319" s="1">
        <v>1304</v>
      </c>
      <c r="C1319" s="5">
        <f ca="1">_xlfn.NORM.S.INV(RAND())</f>
        <v>2.5530906500473072</v>
      </c>
      <c r="D1319" s="5">
        <f ca="1">S0*EXP((μ-0.5*σ*σ)*T+σ*SQRT(T)*$C1319)</f>
        <v>0.85469629411462134</v>
      </c>
      <c r="E1319" s="5">
        <f ca="1">MAX(0,CP*(D1319-K))</f>
        <v>6.6496294114621324E-2</v>
      </c>
      <c r="F1319" s="4">
        <f ca="1">(CP*(D1319-K)&gt;0)*1</f>
        <v>1</v>
      </c>
      <c r="H1319" s="4">
        <v>1304</v>
      </c>
      <c r="I1319" s="3">
        <v>0.66793379545387266</v>
      </c>
      <c r="J1319" s="128">
        <v>1.5373579713272619E-3</v>
      </c>
      <c r="K1319" s="128"/>
      <c r="L1319" s="128">
        <v>4.7399999999999998E-2</v>
      </c>
      <c r="O1319" s="2"/>
    </row>
    <row r="1320" spans="2:15" x14ac:dyDescent="0.2">
      <c r="B1320" s="1">
        <v>1305</v>
      </c>
      <c r="C1320" s="5">
        <f ca="1">_xlfn.NORM.S.INV(RAND())</f>
        <v>0.3750095405909642</v>
      </c>
      <c r="D1320" s="5">
        <f ca="1">S0*EXP((μ-0.5*σ*σ)*T+σ*SQRT(T)*$C1320)</f>
        <v>0.68953309097659854</v>
      </c>
      <c r="E1320" s="5">
        <f ca="1">MAX(0,CP*(D1320-K))</f>
        <v>0</v>
      </c>
      <c r="F1320" s="4">
        <f ca="1">(CP*(D1320-K)&gt;0)*1</f>
        <v>0</v>
      </c>
      <c r="H1320" s="4">
        <v>1305</v>
      </c>
      <c r="I1320" s="3">
        <v>0.66784582748511989</v>
      </c>
      <c r="J1320" s="128">
        <v>1.5495079753757679E-3</v>
      </c>
      <c r="K1320" s="128"/>
      <c r="L1320" s="128">
        <v>4.58E-2</v>
      </c>
      <c r="O1320" s="2"/>
    </row>
    <row r="1321" spans="2:15" x14ac:dyDescent="0.2">
      <c r="B1321" s="1">
        <v>1306</v>
      </c>
      <c r="C1321" s="5">
        <f ca="1">_xlfn.NORM.S.INV(RAND())</f>
        <v>0.70427640817280424</v>
      </c>
      <c r="D1321" s="5">
        <f ca="1">S0*EXP((μ-0.5*σ*σ)*T+σ*SQRT(T)*$C1321)</f>
        <v>0.71228369218996934</v>
      </c>
      <c r="E1321" s="5">
        <f ca="1">MAX(0,CP*(D1321-K))</f>
        <v>0</v>
      </c>
      <c r="F1321" s="4">
        <f ca="1">(CP*(D1321-K)&gt;0)*1</f>
        <v>0</v>
      </c>
      <c r="H1321" s="4">
        <v>1306</v>
      </c>
      <c r="I1321" s="3">
        <v>0.6677719411442522</v>
      </c>
      <c r="J1321" s="128">
        <v>1.4389206266762359E-3</v>
      </c>
      <c r="K1321" s="128"/>
      <c r="L1321" s="128">
        <v>4.2999999999999997E-2</v>
      </c>
      <c r="O1321" s="2"/>
    </row>
    <row r="1322" spans="2:15" x14ac:dyDescent="0.2">
      <c r="B1322" s="1">
        <v>1307</v>
      </c>
      <c r="C1322" s="5">
        <f ca="1">_xlfn.NORM.S.INV(RAND())</f>
        <v>0.69812159609619318</v>
      </c>
      <c r="D1322" s="5">
        <f ca="1">S0*EXP((μ-0.5*σ*σ)*T+σ*SQRT(T)*$C1322)</f>
        <v>0.71185161855804535</v>
      </c>
      <c r="E1322" s="5">
        <f ca="1">MAX(0,CP*(D1322-K))</f>
        <v>0</v>
      </c>
      <c r="F1322" s="4">
        <f ca="1">(CP*(D1322-K)&gt;0)*1</f>
        <v>0</v>
      </c>
      <c r="H1322" s="4">
        <v>1307</v>
      </c>
      <c r="I1322" s="3">
        <v>0.66779117809907718</v>
      </c>
      <c r="J1322" s="128">
        <v>1.4411993551716412E-3</v>
      </c>
      <c r="K1322" s="128"/>
      <c r="L1322" s="128">
        <v>4.24E-2</v>
      </c>
      <c r="O1322" s="2"/>
    </row>
    <row r="1323" spans="2:15" x14ac:dyDescent="0.2">
      <c r="B1323" s="1">
        <v>1308</v>
      </c>
      <c r="C1323" s="5">
        <f ca="1">_xlfn.NORM.S.INV(RAND())</f>
        <v>1.8252127874407138</v>
      </c>
      <c r="D1323" s="5">
        <f ca="1">S0*EXP((μ-0.5*σ*σ)*T+σ*SQRT(T)*$C1323)</f>
        <v>0.79551249719492279</v>
      </c>
      <c r="E1323" s="5">
        <f ca="1">MAX(0,CP*(D1323-K))</f>
        <v>7.3124971949227735E-3</v>
      </c>
      <c r="F1323" s="4">
        <f ca="1">(CP*(D1323-K)&gt;0)*1</f>
        <v>1</v>
      </c>
      <c r="H1323" s="4">
        <v>1308</v>
      </c>
      <c r="I1323" s="3">
        <v>0.66782394464508821</v>
      </c>
      <c r="J1323" s="128">
        <v>1.5230511173559712E-3</v>
      </c>
      <c r="K1323" s="128"/>
      <c r="L1323" s="128">
        <v>4.5600000000000002E-2</v>
      </c>
      <c r="O1323" s="2"/>
    </row>
    <row r="1324" spans="2:15" x14ac:dyDescent="0.2">
      <c r="B1324" s="1">
        <v>1309</v>
      </c>
      <c r="C1324" s="5">
        <f ca="1">_xlfn.NORM.S.INV(RAND())</f>
        <v>-0.37309736694380224</v>
      </c>
      <c r="D1324" s="5">
        <f ca="1">S0*EXP((μ-0.5*σ*σ)*T+σ*SQRT(T)*$C1324)</f>
        <v>0.64050743006619637</v>
      </c>
      <c r="E1324" s="5">
        <f ca="1">MAX(0,CP*(D1324-K))</f>
        <v>0</v>
      </c>
      <c r="F1324" s="4">
        <f ca="1">(CP*(D1324-K)&gt;0)*1</f>
        <v>0</v>
      </c>
      <c r="H1324" s="4">
        <v>1309</v>
      </c>
      <c r="I1324" s="3">
        <v>0.66773558672992017</v>
      </c>
      <c r="J1324" s="128">
        <v>1.3953692189218317E-3</v>
      </c>
      <c r="K1324" s="128"/>
      <c r="L1324" s="128">
        <v>4.2000000000000003E-2</v>
      </c>
      <c r="O1324" s="2"/>
    </row>
    <row r="1325" spans="2:15" x14ac:dyDescent="0.2">
      <c r="B1325" s="1">
        <v>1310</v>
      </c>
      <c r="C1325" s="5">
        <f ca="1">_xlfn.NORM.S.INV(RAND())</f>
        <v>-5.1055348632667703E-2</v>
      </c>
      <c r="D1325" s="5">
        <f ca="1">S0*EXP((μ-0.5*σ*σ)*T+σ*SQRT(T)*$C1325)</f>
        <v>0.66116936299911344</v>
      </c>
      <c r="E1325" s="5">
        <f ca="1">MAX(0,CP*(D1325-K))</f>
        <v>0</v>
      </c>
      <c r="F1325" s="4">
        <f ca="1">(CP*(D1325-K)&gt;0)*1</f>
        <v>0</v>
      </c>
      <c r="H1325" s="4">
        <v>1310</v>
      </c>
      <c r="I1325" s="3">
        <v>0.66772050835278174</v>
      </c>
      <c r="J1325" s="128">
        <v>1.3084487609602679E-3</v>
      </c>
      <c r="K1325" s="128"/>
      <c r="L1325" s="128">
        <v>4.0800000000000003E-2</v>
      </c>
      <c r="O1325" s="2"/>
    </row>
    <row r="1326" spans="2:15" x14ac:dyDescent="0.2">
      <c r="B1326" s="1">
        <v>1311</v>
      </c>
      <c r="C1326" s="5">
        <f ca="1">_xlfn.NORM.S.INV(RAND())</f>
        <v>-1.1013130891968708</v>
      </c>
      <c r="D1326" s="5">
        <f ca="1">S0*EXP((μ-0.5*σ*σ)*T+σ*SQRT(T)*$C1326)</f>
        <v>0.59613537241651871</v>
      </c>
      <c r="E1326" s="5">
        <f ca="1">MAX(0,CP*(D1326-K))</f>
        <v>0</v>
      </c>
      <c r="F1326" s="4">
        <f ca="1">(CP*(D1326-K)&gt;0)*1</f>
        <v>0</v>
      </c>
      <c r="H1326" s="4">
        <v>1311</v>
      </c>
      <c r="I1326" s="3">
        <v>0.66759422204486785</v>
      </c>
      <c r="J1326" s="128">
        <v>1.2269107790643715E-3</v>
      </c>
      <c r="K1326" s="128"/>
      <c r="L1326" s="128">
        <v>3.6999999999999998E-2</v>
      </c>
      <c r="O1326" s="2"/>
    </row>
    <row r="1327" spans="2:15" x14ac:dyDescent="0.2">
      <c r="B1327" s="1">
        <v>1312</v>
      </c>
      <c r="C1327" s="5">
        <f ca="1">_xlfn.NORM.S.INV(RAND())</f>
        <v>-0.32049104335709688</v>
      </c>
      <c r="D1327" s="5">
        <f ca="1">S0*EXP((μ-0.5*σ*σ)*T+σ*SQRT(T)*$C1327)</f>
        <v>0.64383793842036952</v>
      </c>
      <c r="E1327" s="5">
        <f ca="1">MAX(0,CP*(D1327-K))</f>
        <v>0</v>
      </c>
      <c r="F1327" s="4">
        <f ca="1">(CP*(D1327-K)&gt;0)*1</f>
        <v>0</v>
      </c>
      <c r="H1327" s="4">
        <v>1312</v>
      </c>
      <c r="I1327" s="3">
        <v>0.6676739565761709</v>
      </c>
      <c r="J1327" s="128">
        <v>1.397738569376679E-3</v>
      </c>
      <c r="K1327" s="128"/>
      <c r="L1327" s="128">
        <v>4.0399999999999998E-2</v>
      </c>
      <c r="O1327" s="2"/>
    </row>
    <row r="1328" spans="2:15" x14ac:dyDescent="0.2">
      <c r="B1328" s="1">
        <v>1313</v>
      </c>
      <c r="C1328" s="5">
        <f ca="1">_xlfn.NORM.S.INV(RAND())</f>
        <v>-0.32262108757305769</v>
      </c>
      <c r="D1328" s="5">
        <f ca="1">S0*EXP((μ-0.5*σ*σ)*T+σ*SQRT(T)*$C1328)</f>
        <v>0.64370274943636507</v>
      </c>
      <c r="E1328" s="5">
        <f ca="1">MAX(0,CP*(D1328-K))</f>
        <v>0</v>
      </c>
      <c r="F1328" s="4">
        <f ca="1">(CP*(D1328-K)&gt;0)*1</f>
        <v>0</v>
      </c>
      <c r="H1328" s="4">
        <v>1313</v>
      </c>
      <c r="I1328" s="3">
        <v>0.66782629972045504</v>
      </c>
      <c r="J1328" s="128">
        <v>1.485118186846225E-3</v>
      </c>
      <c r="K1328" s="128"/>
      <c r="L1328" s="128">
        <v>4.2000000000000003E-2</v>
      </c>
      <c r="O1328" s="2"/>
    </row>
    <row r="1329" spans="2:15" x14ac:dyDescent="0.2">
      <c r="B1329" s="1">
        <v>1314</v>
      </c>
      <c r="C1329" s="5">
        <f ca="1">_xlfn.NORM.S.INV(RAND())</f>
        <v>0.90754513974344941</v>
      </c>
      <c r="D1329" s="5">
        <f ca="1">S0*EXP((μ-0.5*σ*σ)*T+σ*SQRT(T)*$C1329)</f>
        <v>0.72670166301274741</v>
      </c>
      <c r="E1329" s="5">
        <f ca="1">MAX(0,CP*(D1329-K))</f>
        <v>0</v>
      </c>
      <c r="F1329" s="4">
        <f ca="1">(CP*(D1329-K)&gt;0)*1</f>
        <v>0</v>
      </c>
      <c r="H1329" s="4">
        <v>1314</v>
      </c>
      <c r="I1329" s="3">
        <v>0.66780428423505322</v>
      </c>
      <c r="J1329" s="128">
        <v>1.3827866272123693E-3</v>
      </c>
      <c r="K1329" s="128"/>
      <c r="L1329" s="128">
        <v>4.5199999999999997E-2</v>
      </c>
      <c r="O1329" s="2"/>
    </row>
    <row r="1330" spans="2:15" x14ac:dyDescent="0.2">
      <c r="B1330" s="1">
        <v>1315</v>
      </c>
      <c r="C1330" s="5">
        <f ca="1">_xlfn.NORM.S.INV(RAND())</f>
        <v>1.0201123205496625</v>
      </c>
      <c r="D1330" s="5">
        <f ca="1">S0*EXP((μ-0.5*σ*σ)*T+σ*SQRT(T)*$C1330)</f>
        <v>0.73481130590748833</v>
      </c>
      <c r="E1330" s="5">
        <f ca="1">MAX(0,CP*(D1330-K))</f>
        <v>0</v>
      </c>
      <c r="F1330" s="4">
        <f ca="1">(CP*(D1330-K)&gt;0)*1</f>
        <v>0</v>
      </c>
      <c r="H1330" s="4">
        <v>1315</v>
      </c>
      <c r="I1330" s="3">
        <v>0.66782281223283391</v>
      </c>
      <c r="J1330" s="128">
        <v>1.5405374781565998E-3</v>
      </c>
      <c r="K1330" s="128"/>
      <c r="L1330" s="128">
        <v>4.1200000000000001E-2</v>
      </c>
      <c r="O1330" s="2"/>
    </row>
    <row r="1331" spans="2:15" x14ac:dyDescent="0.2">
      <c r="B1331" s="1">
        <v>1316</v>
      </c>
      <c r="C1331" s="5">
        <f ca="1">_xlfn.NORM.S.INV(RAND())</f>
        <v>-0.4571752931787702</v>
      </c>
      <c r="D1331" s="5">
        <f ca="1">S0*EXP((μ-0.5*σ*σ)*T+σ*SQRT(T)*$C1331)</f>
        <v>0.63522018808424252</v>
      </c>
      <c r="E1331" s="5">
        <f ca="1">MAX(0,CP*(D1331-K))</f>
        <v>0</v>
      </c>
      <c r="F1331" s="4">
        <f ca="1">(CP*(D1331-K)&gt;0)*1</f>
        <v>0</v>
      </c>
      <c r="H1331" s="4">
        <v>1316</v>
      </c>
      <c r="I1331" s="3">
        <v>0.66777719481269548</v>
      </c>
      <c r="J1331" s="128">
        <v>1.3061276766073049E-3</v>
      </c>
      <c r="K1331" s="128"/>
      <c r="L1331" s="128">
        <v>4.1000000000000002E-2</v>
      </c>
      <c r="O1331" s="2"/>
    </row>
    <row r="1332" spans="2:15" x14ac:dyDescent="0.2">
      <c r="B1332" s="1">
        <v>1317</v>
      </c>
      <c r="C1332" s="5">
        <f ca="1">_xlfn.NORM.S.INV(RAND())</f>
        <v>-0.24926176334941424</v>
      </c>
      <c r="D1332" s="5">
        <f ca="1">S0*EXP((μ-0.5*σ*σ)*T+σ*SQRT(T)*$C1332)</f>
        <v>0.64837508288567602</v>
      </c>
      <c r="E1332" s="5">
        <f ca="1">MAX(0,CP*(D1332-K))</f>
        <v>0</v>
      </c>
      <c r="F1332" s="4">
        <f ca="1">(CP*(D1332-K)&gt;0)*1</f>
        <v>0</v>
      </c>
      <c r="H1332" s="4">
        <v>1317</v>
      </c>
      <c r="I1332" s="3">
        <v>0.66780049538521724</v>
      </c>
      <c r="J1332" s="128">
        <v>1.4929558183458017E-3</v>
      </c>
      <c r="K1332" s="128"/>
      <c r="L1332" s="128">
        <v>4.1799999999999997E-2</v>
      </c>
      <c r="O1332" s="2"/>
    </row>
    <row r="1333" spans="2:15" x14ac:dyDescent="0.2">
      <c r="B1333" s="1">
        <v>1318</v>
      </c>
      <c r="C1333" s="5">
        <f ca="1">_xlfn.NORM.S.INV(RAND())</f>
        <v>0.96308111156041265</v>
      </c>
      <c r="D1333" s="5">
        <f ca="1">S0*EXP((μ-0.5*σ*σ)*T+σ*SQRT(T)*$C1333)</f>
        <v>0.73069137648192994</v>
      </c>
      <c r="E1333" s="5">
        <f ca="1">MAX(0,CP*(D1333-K))</f>
        <v>0</v>
      </c>
      <c r="F1333" s="4">
        <f ca="1">(CP*(D1333-K)&gt;0)*1</f>
        <v>0</v>
      </c>
      <c r="H1333" s="4">
        <v>1318</v>
      </c>
      <c r="I1333" s="3">
        <v>0.66769426613273541</v>
      </c>
      <c r="J1333" s="128">
        <v>1.2043486626660868E-3</v>
      </c>
      <c r="K1333" s="128"/>
      <c r="L1333" s="128">
        <v>4.1799999999999997E-2</v>
      </c>
      <c r="O1333" s="2"/>
    </row>
    <row r="1334" spans="2:15" x14ac:dyDescent="0.2">
      <c r="B1334" s="1">
        <v>1319</v>
      </c>
      <c r="C1334" s="5">
        <f ca="1">_xlfn.NORM.S.INV(RAND())</f>
        <v>-0.50597111835449604</v>
      </c>
      <c r="D1334" s="5">
        <f ca="1">S0*EXP((μ-0.5*σ*σ)*T+σ*SQRT(T)*$C1334)</f>
        <v>0.63217170017309188</v>
      </c>
      <c r="E1334" s="5">
        <f ca="1">MAX(0,CP*(D1334-K))</f>
        <v>0</v>
      </c>
      <c r="F1334" s="4">
        <f ca="1">(CP*(D1334-K)&gt;0)*1</f>
        <v>0</v>
      </c>
      <c r="H1334" s="4">
        <v>1319</v>
      </c>
      <c r="I1334" s="3">
        <v>0.66788999670643756</v>
      </c>
      <c r="J1334" s="128">
        <v>1.5543123881223324E-3</v>
      </c>
      <c r="K1334" s="128"/>
      <c r="L1334" s="128">
        <v>4.6800000000000001E-2</v>
      </c>
      <c r="O1334" s="2"/>
    </row>
    <row r="1335" spans="2:15" x14ac:dyDescent="0.2">
      <c r="B1335" s="1">
        <v>1320</v>
      </c>
      <c r="C1335" s="5">
        <f ca="1">_xlfn.NORM.S.INV(RAND())</f>
        <v>0.96563753131977281</v>
      </c>
      <c r="D1335" s="5">
        <f ca="1">S0*EXP((μ-0.5*σ*σ)*T+σ*SQRT(T)*$C1335)</f>
        <v>0.73087555653641156</v>
      </c>
      <c r="E1335" s="5">
        <f ca="1">MAX(0,CP*(D1335-K))</f>
        <v>0</v>
      </c>
      <c r="F1335" s="4">
        <f ca="1">(CP*(D1335-K)&gt;0)*1</f>
        <v>0</v>
      </c>
      <c r="H1335" s="4">
        <v>1320</v>
      </c>
      <c r="I1335" s="3">
        <v>0.66776647030381953</v>
      </c>
      <c r="J1335" s="128">
        <v>1.5007559647555724E-3</v>
      </c>
      <c r="K1335" s="128"/>
      <c r="L1335" s="128">
        <v>4.4400000000000002E-2</v>
      </c>
      <c r="O1335" s="2"/>
    </row>
    <row r="1336" spans="2:15" x14ac:dyDescent="0.2">
      <c r="B1336" s="1">
        <v>1321</v>
      </c>
      <c r="C1336" s="5">
        <f ca="1">_xlfn.NORM.S.INV(RAND())</f>
        <v>-1.4054981107328681</v>
      </c>
      <c r="D1336" s="5">
        <f ca="1">S0*EXP((μ-0.5*σ*σ)*T+σ*SQRT(T)*$C1336)</f>
        <v>0.5785233706922096</v>
      </c>
      <c r="E1336" s="5">
        <f ca="1">MAX(0,CP*(D1336-K))</f>
        <v>0</v>
      </c>
      <c r="F1336" s="4">
        <f ca="1">(CP*(D1336-K)&gt;0)*1</f>
        <v>0</v>
      </c>
      <c r="H1336" s="4">
        <v>1321</v>
      </c>
      <c r="I1336" s="3">
        <v>0.66780205547906857</v>
      </c>
      <c r="J1336" s="128">
        <v>1.5013476044912072E-3</v>
      </c>
      <c r="K1336" s="128"/>
      <c r="L1336" s="128">
        <v>4.4999999999999998E-2</v>
      </c>
      <c r="O1336" s="2"/>
    </row>
    <row r="1337" spans="2:15" x14ac:dyDescent="0.2">
      <c r="B1337" s="1">
        <v>1322</v>
      </c>
      <c r="C1337" s="5">
        <f ca="1">_xlfn.NORM.S.INV(RAND())</f>
        <v>-1.6254627306545899</v>
      </c>
      <c r="D1337" s="5">
        <f ca="1">S0*EXP((μ-0.5*σ*σ)*T+σ*SQRT(T)*$C1337)</f>
        <v>0.56611270809162229</v>
      </c>
      <c r="E1337" s="5">
        <f ca="1">MAX(0,CP*(D1337-K))</f>
        <v>0</v>
      </c>
      <c r="F1337" s="4">
        <f ca="1">(CP*(D1337-K)&gt;0)*1</f>
        <v>0</v>
      </c>
      <c r="H1337" s="4">
        <v>1322</v>
      </c>
      <c r="I1337" s="3">
        <v>0.6678899164814629</v>
      </c>
      <c r="J1337" s="128">
        <v>1.4880622866008202E-3</v>
      </c>
      <c r="K1337" s="128"/>
      <c r="L1337" s="128">
        <v>4.6600000000000003E-2</v>
      </c>
      <c r="O1337" s="2"/>
    </row>
    <row r="1338" spans="2:15" x14ac:dyDescent="0.2">
      <c r="B1338" s="1">
        <v>1323</v>
      </c>
      <c r="C1338" s="5">
        <f ca="1">_xlfn.NORM.S.INV(RAND())</f>
        <v>1.5474583995477327</v>
      </c>
      <c r="D1338" s="5">
        <f ca="1">S0*EXP((μ-0.5*σ*σ)*T+σ*SQRT(T)*$C1338)</f>
        <v>0.7740244445552148</v>
      </c>
      <c r="E1338" s="5">
        <f ca="1">MAX(0,CP*(D1338-K))</f>
        <v>0</v>
      </c>
      <c r="F1338" s="4">
        <f ca="1">(CP*(D1338-K)&gt;0)*1</f>
        <v>0</v>
      </c>
      <c r="H1338" s="4">
        <v>1323</v>
      </c>
      <c r="I1338" s="3">
        <v>0.66773970463150323</v>
      </c>
      <c r="J1338" s="128">
        <v>1.4200175930133819E-3</v>
      </c>
      <c r="K1338" s="128"/>
      <c r="L1338" s="128">
        <v>4.2999999999999997E-2</v>
      </c>
      <c r="O1338" s="2"/>
    </row>
    <row r="1339" spans="2:15" x14ac:dyDescent="0.2">
      <c r="B1339" s="1">
        <v>1324</v>
      </c>
      <c r="C1339" s="5">
        <f ca="1">_xlfn.NORM.S.INV(RAND())</f>
        <v>-1.7176813706800553</v>
      </c>
      <c r="D1339" s="5">
        <f ca="1">S0*EXP((μ-0.5*σ*σ)*T+σ*SQRT(T)*$C1339)</f>
        <v>0.56098916235731699</v>
      </c>
      <c r="E1339" s="5">
        <f ca="1">MAX(0,CP*(D1339-K))</f>
        <v>0</v>
      </c>
      <c r="F1339" s="4">
        <f ca="1">(CP*(D1339-K)&gt;0)*1</f>
        <v>0</v>
      </c>
      <c r="H1339" s="4">
        <v>1324</v>
      </c>
      <c r="I1339" s="3">
        <v>0.66780610001607066</v>
      </c>
      <c r="J1339" s="128">
        <v>1.4024291259677616E-3</v>
      </c>
      <c r="K1339" s="128"/>
      <c r="L1339" s="128">
        <v>4.0800000000000003E-2</v>
      </c>
      <c r="O1339" s="2"/>
    </row>
    <row r="1340" spans="2:15" x14ac:dyDescent="0.2">
      <c r="B1340" s="1">
        <v>1325</v>
      </c>
      <c r="C1340" s="5">
        <f ca="1">_xlfn.NORM.S.INV(RAND())</f>
        <v>-6.9287629580577256E-2</v>
      </c>
      <c r="D1340" s="5">
        <f ca="1">S0*EXP((μ-0.5*σ*σ)*T+σ*SQRT(T)*$C1340)</f>
        <v>0.65998199541558344</v>
      </c>
      <c r="E1340" s="5">
        <f ca="1">MAX(0,CP*(D1340-K))</f>
        <v>0</v>
      </c>
      <c r="F1340" s="4">
        <f ca="1">(CP*(D1340-K)&gt;0)*1</f>
        <v>0</v>
      </c>
      <c r="H1340" s="4">
        <v>1325</v>
      </c>
      <c r="I1340" s="3">
        <v>0.66774197784688072</v>
      </c>
      <c r="J1340" s="128">
        <v>1.2966987136980783E-3</v>
      </c>
      <c r="K1340" s="128"/>
      <c r="L1340" s="128">
        <v>4.1200000000000001E-2</v>
      </c>
      <c r="O1340" s="2"/>
    </row>
    <row r="1341" spans="2:15" x14ac:dyDescent="0.2">
      <c r="B1341" s="1">
        <v>1326</v>
      </c>
      <c r="C1341" s="5">
        <f ca="1">_xlfn.NORM.S.INV(RAND())</f>
        <v>7.0810949364319021E-3</v>
      </c>
      <c r="D1341" s="5">
        <f ca="1">S0*EXP((μ-0.5*σ*σ)*T+σ*SQRT(T)*$C1341)</f>
        <v>0.66496975225639943</v>
      </c>
      <c r="E1341" s="5">
        <f ca="1">MAX(0,CP*(D1341-K))</f>
        <v>0</v>
      </c>
      <c r="F1341" s="4">
        <f ca="1">(CP*(D1341-K)&gt;0)*1</f>
        <v>0</v>
      </c>
      <c r="H1341" s="4">
        <v>1326</v>
      </c>
      <c r="I1341" s="3">
        <v>0.66759254628016851</v>
      </c>
      <c r="J1341" s="128">
        <v>1.1230502104874116E-3</v>
      </c>
      <c r="K1341" s="128"/>
      <c r="L1341" s="128">
        <v>3.6400000000000002E-2</v>
      </c>
      <c r="O1341" s="2"/>
    </row>
    <row r="1342" spans="2:15" x14ac:dyDescent="0.2">
      <c r="B1342" s="1">
        <v>1327</v>
      </c>
      <c r="C1342" s="5">
        <f ca="1">_xlfn.NORM.S.INV(RAND())</f>
        <v>-0.69654149181638059</v>
      </c>
      <c r="D1342" s="5">
        <f ca="1">S0*EXP((μ-0.5*σ*σ)*T+σ*SQRT(T)*$C1342)</f>
        <v>0.62040543007992799</v>
      </c>
      <c r="E1342" s="5">
        <f ca="1">MAX(0,CP*(D1342-K))</f>
        <v>0</v>
      </c>
      <c r="F1342" s="4">
        <f ca="1">(CP*(D1342-K)&gt;0)*1</f>
        <v>0</v>
      </c>
      <c r="H1342" s="4">
        <v>1327</v>
      </c>
      <c r="I1342" s="3">
        <v>0.66775675093492914</v>
      </c>
      <c r="J1342" s="128">
        <v>1.4517229242921328E-3</v>
      </c>
      <c r="K1342" s="128"/>
      <c r="L1342" s="128">
        <v>4.2000000000000003E-2</v>
      </c>
      <c r="O1342" s="2"/>
    </row>
    <row r="1343" spans="2:15" x14ac:dyDescent="0.2">
      <c r="B1343" s="1">
        <v>1328</v>
      </c>
      <c r="C1343" s="5">
        <f ca="1">_xlfn.NORM.S.INV(RAND())</f>
        <v>-0.25360855846103508</v>
      </c>
      <c r="D1343" s="5">
        <f ca="1">S0*EXP((μ-0.5*σ*σ)*T+σ*SQRT(T)*$C1343)</f>
        <v>0.64809728805867417</v>
      </c>
      <c r="E1343" s="5">
        <f ca="1">MAX(0,CP*(D1343-K))</f>
        <v>0</v>
      </c>
      <c r="F1343" s="4">
        <f ca="1">(CP*(D1343-K)&gt;0)*1</f>
        <v>0</v>
      </c>
      <c r="H1343" s="4">
        <v>1328</v>
      </c>
      <c r="I1343" s="3">
        <v>0.66772989513419723</v>
      </c>
      <c r="J1343" s="128">
        <v>1.2805030757314518E-3</v>
      </c>
      <c r="K1343" s="128"/>
      <c r="L1343" s="128">
        <v>3.9600000000000003E-2</v>
      </c>
      <c r="O1343" s="2"/>
    </row>
    <row r="1344" spans="2:15" x14ac:dyDescent="0.2">
      <c r="B1344" s="1">
        <v>1329</v>
      </c>
      <c r="C1344" s="5">
        <f ca="1">_xlfn.NORM.S.INV(RAND())</f>
        <v>0.24364758031665718</v>
      </c>
      <c r="D1344" s="5">
        <f ca="1">S0*EXP((μ-0.5*σ*σ)*T+σ*SQRT(T)*$C1344)</f>
        <v>0.68066076902576766</v>
      </c>
      <c r="E1344" s="5">
        <f ca="1">MAX(0,CP*(D1344-K))</f>
        <v>0</v>
      </c>
      <c r="F1344" s="4">
        <f ca="1">(CP*(D1344-K)&gt;0)*1</f>
        <v>0</v>
      </c>
      <c r="H1344" s="4">
        <v>1329</v>
      </c>
      <c r="I1344" s="3">
        <v>0.6678016530568498</v>
      </c>
      <c r="J1344" s="128">
        <v>1.3857880280183485E-3</v>
      </c>
      <c r="K1344" s="128"/>
      <c r="L1344" s="128">
        <v>4.3799999999999999E-2</v>
      </c>
      <c r="O1344" s="2"/>
    </row>
    <row r="1345" spans="2:15" x14ac:dyDescent="0.2">
      <c r="B1345" s="1">
        <v>1330</v>
      </c>
      <c r="C1345" s="5">
        <f ca="1">_xlfn.NORM.S.INV(RAND())</f>
        <v>-0.79429753892289057</v>
      </c>
      <c r="D1345" s="5">
        <f ca="1">S0*EXP((μ-0.5*σ*σ)*T+σ*SQRT(T)*$C1345)</f>
        <v>0.61445497936555415</v>
      </c>
      <c r="E1345" s="5">
        <f ca="1">MAX(0,CP*(D1345-K))</f>
        <v>0</v>
      </c>
      <c r="F1345" s="4">
        <f ca="1">(CP*(D1345-K)&gt;0)*1</f>
        <v>0</v>
      </c>
      <c r="H1345" s="4">
        <v>1330</v>
      </c>
      <c r="I1345" s="3">
        <v>0.66797070883337406</v>
      </c>
      <c r="J1345" s="128">
        <v>1.6392998338573947E-3</v>
      </c>
      <c r="K1345" s="128"/>
      <c r="L1345" s="128">
        <v>4.58E-2</v>
      </c>
      <c r="O1345" s="2"/>
    </row>
    <row r="1346" spans="2:15" x14ac:dyDescent="0.2">
      <c r="B1346" s="1">
        <v>1331</v>
      </c>
      <c r="C1346" s="5">
        <f ca="1">_xlfn.NORM.S.INV(RAND())</f>
        <v>-0.77333301206798533</v>
      </c>
      <c r="D1346" s="5">
        <f ca="1">S0*EXP((μ-0.5*σ*σ)*T+σ*SQRT(T)*$C1346)</f>
        <v>0.61572627261142354</v>
      </c>
      <c r="E1346" s="5">
        <f ca="1">MAX(0,CP*(D1346-K))</f>
        <v>0</v>
      </c>
      <c r="F1346" s="4">
        <f ca="1">(CP*(D1346-K)&gt;0)*1</f>
        <v>0</v>
      </c>
      <c r="H1346" s="4">
        <v>1331</v>
      </c>
      <c r="I1346" s="3">
        <v>0.66785084303361786</v>
      </c>
      <c r="J1346" s="128">
        <v>1.5431496082689768E-3</v>
      </c>
      <c r="K1346" s="128"/>
      <c r="L1346" s="128">
        <v>4.4200000000000003E-2</v>
      </c>
      <c r="O1346" s="2"/>
    </row>
    <row r="1347" spans="2:15" x14ac:dyDescent="0.2">
      <c r="B1347" s="1">
        <v>1332</v>
      </c>
      <c r="C1347" s="5">
        <f ca="1">_xlfn.NORM.S.INV(RAND())</f>
        <v>1.0116229357190625</v>
      </c>
      <c r="D1347" s="5">
        <f ca="1">S0*EXP((μ-0.5*σ*σ)*T+σ*SQRT(T)*$C1347)</f>
        <v>0.73419656510000963</v>
      </c>
      <c r="E1347" s="5">
        <f ca="1">MAX(0,CP*(D1347-K))</f>
        <v>0</v>
      </c>
      <c r="F1347" s="4">
        <f ca="1">(CP*(D1347-K)&gt;0)*1</f>
        <v>0</v>
      </c>
      <c r="H1347" s="4">
        <v>1332</v>
      </c>
      <c r="I1347" s="3">
        <v>0.66788671697969548</v>
      </c>
      <c r="J1347" s="128">
        <v>1.4827016796539404E-3</v>
      </c>
      <c r="K1347" s="128"/>
      <c r="L1347" s="128">
        <v>4.24E-2</v>
      </c>
      <c r="O1347" s="2"/>
    </row>
    <row r="1348" spans="2:15" x14ac:dyDescent="0.2">
      <c r="B1348" s="1">
        <v>1333</v>
      </c>
      <c r="C1348" s="5">
        <f ca="1">_xlfn.NORM.S.INV(RAND())</f>
        <v>-0.20140045685374469</v>
      </c>
      <c r="D1348" s="5">
        <f ca="1">S0*EXP((μ-0.5*σ*σ)*T+σ*SQRT(T)*$C1348)</f>
        <v>0.65144168622510801</v>
      </c>
      <c r="E1348" s="5">
        <f ca="1">MAX(0,CP*(D1348-K))</f>
        <v>0</v>
      </c>
      <c r="F1348" s="4">
        <f ca="1">(CP*(D1348-K)&gt;0)*1</f>
        <v>0</v>
      </c>
      <c r="H1348" s="4">
        <v>1333</v>
      </c>
      <c r="I1348" s="3">
        <v>0.66768601254669557</v>
      </c>
      <c r="J1348" s="128">
        <v>1.3184505793525216E-3</v>
      </c>
      <c r="K1348" s="128"/>
      <c r="L1348" s="128">
        <v>3.9199999999999999E-2</v>
      </c>
      <c r="O1348" s="2"/>
    </row>
    <row r="1349" spans="2:15" x14ac:dyDescent="0.2">
      <c r="B1349" s="1">
        <v>1334</v>
      </c>
      <c r="C1349" s="5">
        <f ca="1">_xlfn.NORM.S.INV(RAND())</f>
        <v>0.30581253544163867</v>
      </c>
      <c r="D1349" s="5">
        <f ca="1">S0*EXP((μ-0.5*σ*σ)*T+σ*SQRT(T)*$C1349)</f>
        <v>0.68484513413329995</v>
      </c>
      <c r="E1349" s="5">
        <f ca="1">MAX(0,CP*(D1349-K))</f>
        <v>0</v>
      </c>
      <c r="F1349" s="4">
        <f ca="1">(CP*(D1349-K)&gt;0)*1</f>
        <v>0</v>
      </c>
      <c r="H1349" s="4">
        <v>1334</v>
      </c>
      <c r="I1349" s="3">
        <v>0.66779344290250164</v>
      </c>
      <c r="J1349" s="128">
        <v>1.3960698887059795E-3</v>
      </c>
      <c r="K1349" s="128"/>
      <c r="L1349" s="128">
        <v>0.04</v>
      </c>
      <c r="O1349" s="2"/>
    </row>
    <row r="1350" spans="2:15" x14ac:dyDescent="0.2">
      <c r="B1350" s="1">
        <v>1335</v>
      </c>
      <c r="C1350" s="5">
        <f ca="1">_xlfn.NORM.S.INV(RAND())</f>
        <v>-0.92834786466304409</v>
      </c>
      <c r="D1350" s="5">
        <f ca="1">S0*EXP((μ-0.5*σ*σ)*T+σ*SQRT(T)*$C1350)</f>
        <v>0.60638796048006838</v>
      </c>
      <c r="E1350" s="5">
        <f ca="1">MAX(0,CP*(D1350-K))</f>
        <v>0</v>
      </c>
      <c r="F1350" s="4">
        <f ca="1">(CP*(D1350-K)&gt;0)*1</f>
        <v>0</v>
      </c>
      <c r="H1350" s="4">
        <v>1335</v>
      </c>
      <c r="I1350" s="3">
        <v>0.66784943510787675</v>
      </c>
      <c r="J1350" s="128">
        <v>1.5237323716885685E-3</v>
      </c>
      <c r="K1350" s="128"/>
      <c r="L1350" s="128">
        <v>4.5199999999999997E-2</v>
      </c>
      <c r="O1350" s="2"/>
    </row>
    <row r="1351" spans="2:15" x14ac:dyDescent="0.2">
      <c r="B1351" s="1">
        <v>1336</v>
      </c>
      <c r="C1351" s="5">
        <f ca="1">_xlfn.NORM.S.INV(RAND())</f>
        <v>-1.7497971183862238</v>
      </c>
      <c r="D1351" s="5">
        <f ca="1">S0*EXP((μ-0.5*σ*σ)*T+σ*SQRT(T)*$C1351)</f>
        <v>0.55921576165163234</v>
      </c>
      <c r="E1351" s="5">
        <f ca="1">MAX(0,CP*(D1351-K))</f>
        <v>0</v>
      </c>
      <c r="F1351" s="4">
        <f ca="1">(CP*(D1351-K)&gt;0)*1</f>
        <v>0</v>
      </c>
      <c r="H1351" s="4">
        <v>1336</v>
      </c>
      <c r="I1351" s="3">
        <v>0.66786833142361246</v>
      </c>
      <c r="J1351" s="128">
        <v>1.3728553765887397E-3</v>
      </c>
      <c r="K1351" s="128"/>
      <c r="L1351" s="128">
        <v>4.58E-2</v>
      </c>
      <c r="O1351" s="2"/>
    </row>
    <row r="1352" spans="2:15" x14ac:dyDescent="0.2">
      <c r="B1352" s="1">
        <v>1337</v>
      </c>
      <c r="C1352" s="5">
        <f ca="1">_xlfn.NORM.S.INV(RAND())</f>
        <v>0.55435953215578393</v>
      </c>
      <c r="D1352" s="5">
        <f ca="1">S0*EXP((μ-0.5*σ*σ)*T+σ*SQRT(T)*$C1352)</f>
        <v>0.70183360826192021</v>
      </c>
      <c r="E1352" s="5">
        <f ca="1">MAX(0,CP*(D1352-K))</f>
        <v>0</v>
      </c>
      <c r="F1352" s="4">
        <f ca="1">(CP*(D1352-K)&gt;0)*1</f>
        <v>0</v>
      </c>
      <c r="H1352" s="4">
        <v>1337</v>
      </c>
      <c r="I1352" s="3">
        <v>0.6679482771163221</v>
      </c>
      <c r="J1352" s="128">
        <v>1.6195199588525562E-3</v>
      </c>
      <c r="K1352" s="128"/>
      <c r="L1352" s="128">
        <v>4.6800000000000001E-2</v>
      </c>
      <c r="O1352" s="2"/>
    </row>
    <row r="1353" spans="2:15" x14ac:dyDescent="0.2">
      <c r="B1353" s="1">
        <v>1338</v>
      </c>
      <c r="C1353" s="5">
        <f ca="1">_xlfn.NORM.S.INV(RAND())</f>
        <v>1.0909429548944416</v>
      </c>
      <c r="D1353" s="5">
        <f ca="1">S0*EXP((μ-0.5*σ*σ)*T+σ*SQRT(T)*$C1353)</f>
        <v>0.73996046020611417</v>
      </c>
      <c r="E1353" s="5">
        <f ca="1">MAX(0,CP*(D1353-K))</f>
        <v>0</v>
      </c>
      <c r="F1353" s="4">
        <f ca="1">(CP*(D1353-K)&gt;0)*1</f>
        <v>0</v>
      </c>
      <c r="H1353" s="4">
        <v>1338</v>
      </c>
      <c r="I1353" s="3">
        <v>0.66771678568745207</v>
      </c>
      <c r="J1353" s="128">
        <v>1.3461228680771856E-3</v>
      </c>
      <c r="K1353" s="128"/>
      <c r="L1353" s="128">
        <v>0.04</v>
      </c>
      <c r="O1353" s="2"/>
    </row>
    <row r="1354" spans="2:15" x14ac:dyDescent="0.2">
      <c r="B1354" s="1">
        <v>1339</v>
      </c>
      <c r="C1354" s="5">
        <f ca="1">_xlfn.NORM.S.INV(RAND())</f>
        <v>0.16007568041661158</v>
      </c>
      <c r="D1354" s="5">
        <f ca="1">S0*EXP((μ-0.5*σ*σ)*T+σ*SQRT(T)*$C1354)</f>
        <v>0.67507574767854417</v>
      </c>
      <c r="E1354" s="5">
        <f ca="1">MAX(0,CP*(D1354-K))</f>
        <v>0</v>
      </c>
      <c r="F1354" s="4">
        <f ca="1">(CP*(D1354-K)&gt;0)*1</f>
        <v>0</v>
      </c>
      <c r="H1354" s="4">
        <v>1339</v>
      </c>
      <c r="I1354" s="3">
        <v>0.66778842744590805</v>
      </c>
      <c r="J1354" s="128">
        <v>1.4691219226294081E-3</v>
      </c>
      <c r="K1354" s="128"/>
      <c r="L1354" s="128">
        <v>3.9800000000000002E-2</v>
      </c>
      <c r="O1354" s="2"/>
    </row>
    <row r="1355" spans="2:15" x14ac:dyDescent="0.2">
      <c r="B1355" s="1">
        <v>1340</v>
      </c>
      <c r="C1355" s="5">
        <f ca="1">_xlfn.NORM.S.INV(RAND())</f>
        <v>1.0370149357775293</v>
      </c>
      <c r="D1355" s="5">
        <f ca="1">S0*EXP((μ-0.5*σ*σ)*T+σ*SQRT(T)*$C1355)</f>
        <v>0.73603680602436161</v>
      </c>
      <c r="E1355" s="5">
        <f ca="1">MAX(0,CP*(D1355-K))</f>
        <v>0</v>
      </c>
      <c r="F1355" s="4">
        <f ca="1">(CP*(D1355-K)&gt;0)*1</f>
        <v>0</v>
      </c>
      <c r="H1355" s="4">
        <v>1340</v>
      </c>
      <c r="I1355" s="3">
        <v>0.6678796508595185</v>
      </c>
      <c r="J1355" s="128">
        <v>1.5855652091693461E-3</v>
      </c>
      <c r="K1355" s="128"/>
      <c r="L1355" s="128">
        <v>4.6800000000000001E-2</v>
      </c>
      <c r="O1355" s="2"/>
    </row>
    <row r="1356" spans="2:15" x14ac:dyDescent="0.2">
      <c r="B1356" s="1">
        <v>1341</v>
      </c>
      <c r="C1356" s="5">
        <f ca="1">_xlfn.NORM.S.INV(RAND())</f>
        <v>1.7194688066394355</v>
      </c>
      <c r="D1356" s="5">
        <f ca="1">S0*EXP((μ-0.5*σ*σ)*T+σ*SQRT(T)*$C1356)</f>
        <v>0.78726233317651206</v>
      </c>
      <c r="E1356" s="5">
        <f ca="1">MAX(0,CP*(D1356-K))</f>
        <v>0</v>
      </c>
      <c r="F1356" s="4">
        <f ca="1">(CP*(D1356-K)&gt;0)*1</f>
        <v>0</v>
      </c>
      <c r="H1356" s="4">
        <v>1341</v>
      </c>
      <c r="I1356" s="3">
        <v>0.66783352984076694</v>
      </c>
      <c r="J1356" s="128">
        <v>1.5963887514649213E-3</v>
      </c>
      <c r="K1356" s="128"/>
      <c r="L1356" s="128">
        <v>4.58E-2</v>
      </c>
      <c r="O1356" s="2"/>
    </row>
    <row r="1357" spans="2:15" x14ac:dyDescent="0.2">
      <c r="B1357" s="1">
        <v>1342</v>
      </c>
      <c r="C1357" s="5">
        <f ca="1">_xlfn.NORM.S.INV(RAND())</f>
        <v>-0.42906207250421796</v>
      </c>
      <c r="D1357" s="5">
        <f ca="1">S0*EXP((μ-0.5*σ*σ)*T+σ*SQRT(T)*$C1357)</f>
        <v>0.63698321361296995</v>
      </c>
      <c r="E1357" s="5">
        <f ca="1">MAX(0,CP*(D1357-K))</f>
        <v>0</v>
      </c>
      <c r="F1357" s="4">
        <f ca="1">(CP*(D1357-K)&gt;0)*1</f>
        <v>0</v>
      </c>
      <c r="H1357" s="4">
        <v>1342</v>
      </c>
      <c r="I1357" s="3">
        <v>0.66779665656156917</v>
      </c>
      <c r="J1357" s="128">
        <v>1.4961712899615896E-3</v>
      </c>
      <c r="K1357" s="128"/>
      <c r="L1357" s="128">
        <v>4.2799999999999998E-2</v>
      </c>
      <c r="O1357" s="2"/>
    </row>
    <row r="1358" spans="2:15" x14ac:dyDescent="0.2">
      <c r="B1358" s="1">
        <v>1343</v>
      </c>
      <c r="C1358" s="5">
        <f ca="1">_xlfn.NORM.S.INV(RAND())</f>
        <v>1.9129658546050226</v>
      </c>
      <c r="D1358" s="5">
        <f ca="1">S0*EXP((μ-0.5*σ*σ)*T+σ*SQRT(T)*$C1358)</f>
        <v>0.80242461297221956</v>
      </c>
      <c r="E1358" s="5">
        <f ca="1">MAX(0,CP*(D1358-K))</f>
        <v>1.4224612972219552E-2</v>
      </c>
      <c r="F1358" s="4">
        <f ca="1">(CP*(D1358-K)&gt;0)*1</f>
        <v>1</v>
      </c>
      <c r="H1358" s="4">
        <v>1343</v>
      </c>
      <c r="I1358" s="3">
        <v>0.66774380118655896</v>
      </c>
      <c r="J1358" s="128">
        <v>1.3979841280003778E-3</v>
      </c>
      <c r="K1358" s="128"/>
      <c r="L1358" s="128">
        <v>4.1000000000000002E-2</v>
      </c>
      <c r="O1358" s="2"/>
    </row>
    <row r="1359" spans="2:15" x14ac:dyDescent="0.2">
      <c r="B1359" s="1">
        <v>1344</v>
      </c>
      <c r="C1359" s="5">
        <f ca="1">_xlfn.NORM.S.INV(RAND())</f>
        <v>0.36836320216531371</v>
      </c>
      <c r="D1359" s="5">
        <f ca="1">S0*EXP((μ-0.5*σ*σ)*T+σ*SQRT(T)*$C1359)</f>
        <v>0.68908142538382544</v>
      </c>
      <c r="E1359" s="5">
        <f ca="1">MAX(0,CP*(D1359-K))</f>
        <v>0</v>
      </c>
      <c r="F1359" s="4">
        <f ca="1">(CP*(D1359-K)&gt;0)*1</f>
        <v>0</v>
      </c>
      <c r="H1359" s="4">
        <v>1344</v>
      </c>
      <c r="I1359" s="3">
        <v>0.66766008066236049</v>
      </c>
      <c r="J1359" s="128">
        <v>1.2697514651938068E-3</v>
      </c>
      <c r="K1359" s="128"/>
      <c r="L1359" s="128">
        <v>3.9399999999999998E-2</v>
      </c>
      <c r="O1359" s="2"/>
    </row>
    <row r="1360" spans="2:15" x14ac:dyDescent="0.2">
      <c r="B1360" s="1">
        <v>1345</v>
      </c>
      <c r="C1360" s="5">
        <f ca="1">_xlfn.NORM.S.INV(RAND())</f>
        <v>0.19152108486208122</v>
      </c>
      <c r="D1360" s="5">
        <f ca="1">S0*EXP((μ-0.5*σ*σ)*T+σ*SQRT(T)*$C1360)</f>
        <v>0.67717181278664285</v>
      </c>
      <c r="E1360" s="5">
        <f ca="1">MAX(0,CP*(D1360-K))</f>
        <v>0</v>
      </c>
      <c r="F1360" s="4">
        <f ca="1">(CP*(D1360-K)&gt;0)*1</f>
        <v>0</v>
      </c>
      <c r="H1360" s="4">
        <v>1345</v>
      </c>
      <c r="I1360" s="3">
        <v>0.66778713006761359</v>
      </c>
      <c r="J1360" s="128">
        <v>1.4854155737618795E-3</v>
      </c>
      <c r="K1360" s="128"/>
      <c r="L1360" s="128">
        <v>4.0399999999999998E-2</v>
      </c>
      <c r="O1360" s="2"/>
    </row>
    <row r="1361" spans="2:15" x14ac:dyDescent="0.2">
      <c r="B1361" s="1">
        <v>1346</v>
      </c>
      <c r="C1361" s="5">
        <f ca="1">_xlfn.NORM.S.INV(RAND())</f>
        <v>1.3792994072869058</v>
      </c>
      <c r="D1361" s="5">
        <f ca="1">S0*EXP((μ-0.5*σ*σ)*T+σ*SQRT(T)*$C1361)</f>
        <v>0.76129816323656052</v>
      </c>
      <c r="E1361" s="5">
        <f ca="1">MAX(0,CP*(D1361-K))</f>
        <v>0</v>
      </c>
      <c r="F1361" s="4">
        <f ca="1">(CP*(D1361-K)&gt;0)*1</f>
        <v>0</v>
      </c>
      <c r="H1361" s="4">
        <v>1346</v>
      </c>
      <c r="I1361" s="3">
        <v>0.66783159690237603</v>
      </c>
      <c r="J1361" s="128">
        <v>1.4946154180456393E-3</v>
      </c>
      <c r="K1361" s="128"/>
      <c r="L1361" s="128">
        <v>4.5199999999999997E-2</v>
      </c>
      <c r="O1361" s="2"/>
    </row>
    <row r="1362" spans="2:15" x14ac:dyDescent="0.2">
      <c r="B1362" s="1">
        <v>1347</v>
      </c>
      <c r="C1362" s="5">
        <f ca="1">_xlfn.NORM.S.INV(RAND())</f>
        <v>1.5404021965967556</v>
      </c>
      <c r="D1362" s="5">
        <f ca="1">S0*EXP((μ-0.5*σ*σ)*T+σ*SQRT(T)*$C1362)</f>
        <v>0.77348617922211282</v>
      </c>
      <c r="E1362" s="5">
        <f ca="1">MAX(0,CP*(D1362-K))</f>
        <v>0</v>
      </c>
      <c r="F1362" s="4">
        <f ca="1">(CP*(D1362-K)&gt;0)*1</f>
        <v>0</v>
      </c>
      <c r="H1362" s="4">
        <v>1347</v>
      </c>
      <c r="I1362" s="3">
        <v>0.66775253909303256</v>
      </c>
      <c r="J1362" s="128">
        <v>1.2923955617586578E-3</v>
      </c>
      <c r="K1362" s="128"/>
      <c r="L1362" s="128">
        <v>4.36E-2</v>
      </c>
      <c r="O1362" s="2"/>
    </row>
    <row r="1363" spans="2:15" x14ac:dyDescent="0.2">
      <c r="B1363" s="1">
        <v>1348</v>
      </c>
      <c r="C1363" s="5">
        <f ca="1">_xlfn.NORM.S.INV(RAND())</f>
        <v>1.245349387780436</v>
      </c>
      <c r="D1363" s="5">
        <f ca="1">S0*EXP((μ-0.5*σ*σ)*T+σ*SQRT(T)*$C1363)</f>
        <v>0.75131070818384937</v>
      </c>
      <c r="E1363" s="5">
        <f ca="1">MAX(0,CP*(D1363-K))</f>
        <v>0</v>
      </c>
      <c r="F1363" s="4">
        <f ca="1">(CP*(D1363-K)&gt;0)*1</f>
        <v>0</v>
      </c>
      <c r="H1363" s="4">
        <v>1348</v>
      </c>
      <c r="I1363" s="3">
        <v>0.66767280695492615</v>
      </c>
      <c r="J1363" s="128">
        <v>1.2371076313226106E-3</v>
      </c>
      <c r="K1363" s="128"/>
      <c r="L1363" s="128">
        <v>3.9199999999999999E-2</v>
      </c>
      <c r="O1363" s="2"/>
    </row>
    <row r="1364" spans="2:15" x14ac:dyDescent="0.2">
      <c r="B1364" s="1">
        <v>1349</v>
      </c>
      <c r="C1364" s="5">
        <f ca="1">_xlfn.NORM.S.INV(RAND())</f>
        <v>0.49953480592998467</v>
      </c>
      <c r="D1364" s="5">
        <f ca="1">S0*EXP((μ-0.5*σ*σ)*T+σ*SQRT(T)*$C1364)</f>
        <v>0.69805040919029759</v>
      </c>
      <c r="E1364" s="5">
        <f ca="1">MAX(0,CP*(D1364-K))</f>
        <v>0</v>
      </c>
      <c r="F1364" s="4">
        <f ca="1">(CP*(D1364-K)&gt;0)*1</f>
        <v>0</v>
      </c>
      <c r="H1364" s="4">
        <v>1349</v>
      </c>
      <c r="I1364" s="3">
        <v>0.66778708996179992</v>
      </c>
      <c r="J1364" s="128">
        <v>1.4426290050645663E-3</v>
      </c>
      <c r="K1364" s="128"/>
      <c r="L1364" s="128">
        <v>4.4400000000000002E-2</v>
      </c>
      <c r="O1364" s="2"/>
    </row>
    <row r="1365" spans="2:15" x14ac:dyDescent="0.2">
      <c r="B1365" s="1">
        <v>1350</v>
      </c>
      <c r="C1365" s="5">
        <f ca="1">_xlfn.NORM.S.INV(RAND())</f>
        <v>-5.3446982614845095E-2</v>
      </c>
      <c r="D1365" s="5">
        <f ca="1">S0*EXP((μ-0.5*σ*σ)*T+σ*SQRT(T)*$C1365)</f>
        <v>0.66101348746369781</v>
      </c>
      <c r="E1365" s="5">
        <f ca="1">MAX(0,CP*(D1365-K))</f>
        <v>0</v>
      </c>
      <c r="F1365" s="4">
        <f ca="1">(CP*(D1365-K)&gt;0)*1</f>
        <v>0</v>
      </c>
      <c r="H1365" s="4">
        <v>1350</v>
      </c>
      <c r="I1365" s="3">
        <v>0.66793561629647058</v>
      </c>
      <c r="J1365" s="128">
        <v>1.4831123694293681E-3</v>
      </c>
      <c r="K1365" s="128"/>
      <c r="L1365" s="128">
        <v>4.7399999999999998E-2</v>
      </c>
      <c r="O1365" s="2"/>
    </row>
    <row r="1366" spans="2:15" x14ac:dyDescent="0.2">
      <c r="B1366" s="1">
        <v>1351</v>
      </c>
      <c r="C1366" s="5">
        <f ca="1">_xlfn.NORM.S.INV(RAND())</f>
        <v>0.4692669744244819</v>
      </c>
      <c r="D1366" s="5">
        <f ca="1">S0*EXP((μ-0.5*σ*σ)*T+σ*SQRT(T)*$C1366)</f>
        <v>0.69597051136074628</v>
      </c>
      <c r="E1366" s="5">
        <f ca="1">MAX(0,CP*(D1366-K))</f>
        <v>0</v>
      </c>
      <c r="F1366" s="4">
        <f ca="1">(CP*(D1366-K)&gt;0)*1</f>
        <v>0</v>
      </c>
      <c r="H1366" s="4">
        <v>1351</v>
      </c>
      <c r="I1366" s="3">
        <v>0.66773566273644469</v>
      </c>
      <c r="J1366" s="128">
        <v>1.4206290997985471E-3</v>
      </c>
      <c r="K1366" s="128"/>
      <c r="L1366" s="128">
        <v>4.0800000000000003E-2</v>
      </c>
      <c r="O1366" s="2"/>
    </row>
    <row r="1367" spans="2:15" x14ac:dyDescent="0.2">
      <c r="B1367" s="1">
        <v>1352</v>
      </c>
      <c r="C1367" s="5">
        <f ca="1">_xlfn.NORM.S.INV(RAND())</f>
        <v>-0.27331410964129432</v>
      </c>
      <c r="D1367" s="5">
        <f ca="1">S0*EXP((μ-0.5*σ*σ)*T+σ*SQRT(T)*$C1367)</f>
        <v>0.6468394384367383</v>
      </c>
      <c r="E1367" s="5">
        <f ca="1">MAX(0,CP*(D1367-K))</f>
        <v>0</v>
      </c>
      <c r="F1367" s="4">
        <f ca="1">(CP*(D1367-K)&gt;0)*1</f>
        <v>0</v>
      </c>
      <c r="H1367" s="4">
        <v>1352</v>
      </c>
      <c r="I1367" s="3">
        <v>0.66775888490847579</v>
      </c>
      <c r="J1367" s="128">
        <v>1.2393735022003089E-3</v>
      </c>
      <c r="K1367" s="128"/>
      <c r="L1367" s="128">
        <v>3.9600000000000003E-2</v>
      </c>
      <c r="O1367" s="2"/>
    </row>
    <row r="1368" spans="2:15" x14ac:dyDescent="0.2">
      <c r="B1368" s="1">
        <v>1353</v>
      </c>
      <c r="C1368" s="5">
        <f ca="1">_xlfn.NORM.S.INV(RAND())</f>
        <v>0.51725060321051541</v>
      </c>
      <c r="D1368" s="5">
        <f ca="1">S0*EXP((μ-0.5*σ*σ)*T+σ*SQRT(T)*$C1368)</f>
        <v>0.69927065836769342</v>
      </c>
      <c r="E1368" s="5">
        <f ca="1">MAX(0,CP*(D1368-K))</f>
        <v>0</v>
      </c>
      <c r="F1368" s="4">
        <f ca="1">(CP*(D1368-K)&gt;0)*1</f>
        <v>0</v>
      </c>
      <c r="H1368" s="4">
        <v>1353</v>
      </c>
      <c r="I1368" s="3">
        <v>0.66785204717548319</v>
      </c>
      <c r="J1368" s="128">
        <v>1.4926824077880502E-3</v>
      </c>
      <c r="K1368" s="128"/>
      <c r="L1368" s="128">
        <v>4.3999999999999997E-2</v>
      </c>
      <c r="O1368" s="2"/>
    </row>
    <row r="1369" spans="2:15" x14ac:dyDescent="0.2">
      <c r="B1369" s="1">
        <v>1354</v>
      </c>
      <c r="C1369" s="5">
        <f ca="1">_xlfn.NORM.S.INV(RAND())</f>
        <v>1.1546466500151222</v>
      </c>
      <c r="D1369" s="5">
        <f ca="1">S0*EXP((μ-0.5*σ*σ)*T+σ*SQRT(T)*$C1369)</f>
        <v>0.74462232142721219</v>
      </c>
      <c r="E1369" s="5">
        <f ca="1">MAX(0,CP*(D1369-K))</f>
        <v>0</v>
      </c>
      <c r="F1369" s="4">
        <f ca="1">(CP*(D1369-K)&gt;0)*1</f>
        <v>0</v>
      </c>
      <c r="H1369" s="4">
        <v>1354</v>
      </c>
      <c r="I1369" s="3">
        <v>0.66774326382949611</v>
      </c>
      <c r="J1369" s="128">
        <v>1.3448117815919335E-3</v>
      </c>
      <c r="K1369" s="128"/>
      <c r="L1369" s="128">
        <v>3.9600000000000003E-2</v>
      </c>
      <c r="O1369" s="2"/>
    </row>
    <row r="1370" spans="2:15" x14ac:dyDescent="0.2">
      <c r="B1370" s="1">
        <v>1355</v>
      </c>
      <c r="C1370" s="5">
        <f ca="1">_xlfn.NORM.S.INV(RAND())</f>
        <v>0.52917916459813208</v>
      </c>
      <c r="D1370" s="5">
        <f ca="1">S0*EXP((μ-0.5*σ*σ)*T+σ*SQRT(T)*$C1370)</f>
        <v>0.70009348906884494</v>
      </c>
      <c r="E1370" s="5">
        <f ca="1">MAX(0,CP*(D1370-K))</f>
        <v>0</v>
      </c>
      <c r="F1370" s="4">
        <f ca="1">(CP*(D1370-K)&gt;0)*1</f>
        <v>0</v>
      </c>
      <c r="H1370" s="4">
        <v>1355</v>
      </c>
      <c r="I1370" s="3">
        <v>0.6677201343037531</v>
      </c>
      <c r="J1370" s="128">
        <v>1.4542624704887974E-3</v>
      </c>
      <c r="K1370" s="128"/>
      <c r="L1370" s="128">
        <v>4.0399999999999998E-2</v>
      </c>
      <c r="O1370" s="2"/>
    </row>
    <row r="1371" spans="2:15" x14ac:dyDescent="0.2">
      <c r="B1371" s="1">
        <v>1356</v>
      </c>
      <c r="C1371" s="5">
        <f ca="1">_xlfn.NORM.S.INV(RAND())</f>
        <v>2.2947256835545193</v>
      </c>
      <c r="D1371" s="5">
        <f ca="1">S0*EXP((μ-0.5*σ*σ)*T+σ*SQRT(T)*$C1371)</f>
        <v>0.83320078034947787</v>
      </c>
      <c r="E1371" s="5">
        <f ca="1">MAX(0,CP*(D1371-K))</f>
        <v>4.5000780349477854E-2</v>
      </c>
      <c r="F1371" s="4">
        <f ca="1">(CP*(D1371-K)&gt;0)*1</f>
        <v>1</v>
      </c>
      <c r="H1371" s="4">
        <v>1356</v>
      </c>
      <c r="I1371" s="3">
        <v>0.66767296307793511</v>
      </c>
      <c r="J1371" s="128">
        <v>1.3454163497382563E-3</v>
      </c>
      <c r="K1371" s="128"/>
      <c r="L1371" s="128">
        <v>3.9600000000000003E-2</v>
      </c>
      <c r="O1371" s="2"/>
    </row>
    <row r="1372" spans="2:15" x14ac:dyDescent="0.2">
      <c r="B1372" s="1">
        <v>1357</v>
      </c>
      <c r="C1372" s="5">
        <f ca="1">_xlfn.NORM.S.INV(RAND())</f>
        <v>0.7478524331162939</v>
      </c>
      <c r="D1372" s="5">
        <f ca="1">S0*EXP((μ-0.5*σ*σ)*T+σ*SQRT(T)*$C1372)</f>
        <v>0.71535028096774234</v>
      </c>
      <c r="E1372" s="5">
        <f ca="1">MAX(0,CP*(D1372-K))</f>
        <v>0</v>
      </c>
      <c r="F1372" s="4">
        <f ca="1">(CP*(D1372-K)&gt;0)*1</f>
        <v>0</v>
      </c>
      <c r="H1372" s="4">
        <v>1357</v>
      </c>
      <c r="I1372" s="3">
        <v>0.66785029192648515</v>
      </c>
      <c r="J1372" s="128">
        <v>1.4477634053603515E-3</v>
      </c>
      <c r="K1372" s="128"/>
      <c r="L1372" s="128">
        <v>4.24E-2</v>
      </c>
      <c r="O1372" s="2"/>
    </row>
    <row r="1373" spans="2:15" x14ac:dyDescent="0.2">
      <c r="B1373" s="1">
        <v>1358</v>
      </c>
      <c r="C1373" s="5">
        <f ca="1">_xlfn.NORM.S.INV(RAND())</f>
        <v>-0.94137350110071916</v>
      </c>
      <c r="D1373" s="5">
        <f ca="1">S0*EXP((μ-0.5*σ*σ)*T+σ*SQRT(T)*$C1373)</f>
        <v>0.60560975834157749</v>
      </c>
      <c r="E1373" s="5">
        <f ca="1">MAX(0,CP*(D1373-K))</f>
        <v>0</v>
      </c>
      <c r="F1373" s="4">
        <f ca="1">(CP*(D1373-K)&gt;0)*1</f>
        <v>0</v>
      </c>
      <c r="H1373" s="4">
        <v>1358</v>
      </c>
      <c r="I1373" s="3">
        <v>0.66774250663731449</v>
      </c>
      <c r="J1373" s="128">
        <v>1.3594704349008261E-3</v>
      </c>
      <c r="K1373" s="128"/>
      <c r="L1373" s="128">
        <v>3.9800000000000002E-2</v>
      </c>
      <c r="O1373" s="2"/>
    </row>
    <row r="1374" spans="2:15" x14ac:dyDescent="0.2">
      <c r="B1374" s="1">
        <v>1359</v>
      </c>
      <c r="C1374" s="5">
        <f ca="1">_xlfn.NORM.S.INV(RAND())</f>
        <v>0.3433544561548636</v>
      </c>
      <c r="D1374" s="5">
        <f ca="1">S0*EXP((μ-0.5*σ*σ)*T+σ*SQRT(T)*$C1374)</f>
        <v>0.68738455409026922</v>
      </c>
      <c r="E1374" s="5">
        <f ca="1">MAX(0,CP*(D1374-K))</f>
        <v>0</v>
      </c>
      <c r="F1374" s="4">
        <f ca="1">(CP*(D1374-K)&gt;0)*1</f>
        <v>0</v>
      </c>
      <c r="H1374" s="4">
        <v>1359</v>
      </c>
      <c r="I1374" s="3">
        <v>0.6678108407011305</v>
      </c>
      <c r="J1374" s="128">
        <v>1.4759849367805241E-3</v>
      </c>
      <c r="K1374" s="128"/>
      <c r="L1374" s="128">
        <v>4.4999999999999998E-2</v>
      </c>
      <c r="O1374" s="2"/>
    </row>
    <row r="1375" spans="2:15" x14ac:dyDescent="0.2">
      <c r="B1375" s="1">
        <v>1360</v>
      </c>
      <c r="C1375" s="5">
        <f ca="1">_xlfn.NORM.S.INV(RAND())</f>
        <v>0.59553500129280379</v>
      </c>
      <c r="D1375" s="5">
        <f ca="1">S0*EXP((μ-0.5*σ*σ)*T+σ*SQRT(T)*$C1375)</f>
        <v>0.7046884117602028</v>
      </c>
      <c r="E1375" s="5">
        <f ca="1">MAX(0,CP*(D1375-K))</f>
        <v>0</v>
      </c>
      <c r="F1375" s="4">
        <f ca="1">(CP*(D1375-K)&gt;0)*1</f>
        <v>0</v>
      </c>
      <c r="H1375" s="4">
        <v>1360</v>
      </c>
      <c r="I1375" s="3">
        <v>0.66759430833326383</v>
      </c>
      <c r="J1375" s="128">
        <v>1.2599249989421982E-3</v>
      </c>
      <c r="K1375" s="128"/>
      <c r="L1375" s="128">
        <v>3.9E-2</v>
      </c>
      <c r="O1375" s="2"/>
    </row>
    <row r="1376" spans="2:15" x14ac:dyDescent="0.2">
      <c r="B1376" s="1">
        <v>1361</v>
      </c>
      <c r="C1376" s="5">
        <f ca="1">_xlfn.NORM.S.INV(RAND())</f>
        <v>1.1452004238132492</v>
      </c>
      <c r="D1376" s="5">
        <f ca="1">S0*EXP((μ-0.5*σ*σ)*T+σ*SQRT(T)*$C1376)</f>
        <v>0.74392919269274183</v>
      </c>
      <c r="E1376" s="5">
        <f ca="1">MAX(0,CP*(D1376-K))</f>
        <v>0</v>
      </c>
      <c r="F1376" s="4">
        <f ca="1">(CP*(D1376-K)&gt;0)*1</f>
        <v>0</v>
      </c>
      <c r="H1376" s="4">
        <v>1361</v>
      </c>
      <c r="I1376" s="3">
        <v>0.66778994606037789</v>
      </c>
      <c r="J1376" s="128">
        <v>1.534227940811641E-3</v>
      </c>
      <c r="K1376" s="128"/>
      <c r="L1376" s="128">
        <v>4.02E-2</v>
      </c>
      <c r="O1376" s="2"/>
    </row>
    <row r="1377" spans="2:15" x14ac:dyDescent="0.2">
      <c r="B1377" s="1">
        <v>1362</v>
      </c>
      <c r="C1377" s="5">
        <f ca="1">_xlfn.NORM.S.INV(RAND())</f>
        <v>0.75665951409668553</v>
      </c>
      <c r="D1377" s="5">
        <f ca="1">S0*EXP((μ-0.5*σ*σ)*T+σ*SQRT(T)*$C1377)</f>
        <v>0.71597166632907927</v>
      </c>
      <c r="E1377" s="5">
        <f ca="1">MAX(0,CP*(D1377-K))</f>
        <v>0</v>
      </c>
      <c r="F1377" s="4">
        <f ca="1">(CP*(D1377-K)&gt;0)*1</f>
        <v>0</v>
      </c>
      <c r="H1377" s="4">
        <v>1362</v>
      </c>
      <c r="I1377" s="3">
        <v>0.66770998944113857</v>
      </c>
      <c r="J1377" s="128">
        <v>1.3670179429008189E-3</v>
      </c>
      <c r="K1377" s="128"/>
      <c r="L1377" s="128">
        <v>4.2200000000000001E-2</v>
      </c>
      <c r="O1377" s="2"/>
    </row>
    <row r="1378" spans="2:15" x14ac:dyDescent="0.2">
      <c r="B1378" s="1">
        <v>1363</v>
      </c>
      <c r="C1378" s="5">
        <f ca="1">_xlfn.NORM.S.INV(RAND())</f>
        <v>0.3738707024420066</v>
      </c>
      <c r="D1378" s="5">
        <f ca="1">S0*EXP((μ-0.5*σ*σ)*T+σ*SQRT(T)*$C1378)</f>
        <v>0.68945567787638384</v>
      </c>
      <c r="E1378" s="5">
        <f ca="1">MAX(0,CP*(D1378-K))</f>
        <v>0</v>
      </c>
      <c r="F1378" s="4">
        <f ca="1">(CP*(D1378-K)&gt;0)*1</f>
        <v>0</v>
      </c>
      <c r="H1378" s="4">
        <v>1363</v>
      </c>
      <c r="I1378" s="3">
        <v>0.66768039761861553</v>
      </c>
      <c r="J1378" s="128">
        <v>1.3284825341616483E-3</v>
      </c>
      <c r="K1378" s="128"/>
      <c r="L1378" s="128">
        <v>3.8399999999999997E-2</v>
      </c>
      <c r="O1378" s="2"/>
    </row>
    <row r="1379" spans="2:15" x14ac:dyDescent="0.2">
      <c r="B1379" s="1">
        <v>1364</v>
      </c>
      <c r="C1379" s="5">
        <f ca="1">_xlfn.NORM.S.INV(RAND())</f>
        <v>1.0895751612409235</v>
      </c>
      <c r="D1379" s="5">
        <f ca="1">S0*EXP((μ-0.5*σ*σ)*T+σ*SQRT(T)*$C1379)</f>
        <v>0.73986068525187398</v>
      </c>
      <c r="E1379" s="5">
        <f ca="1">MAX(0,CP*(D1379-K))</f>
        <v>0</v>
      </c>
      <c r="F1379" s="4">
        <f ca="1">(CP*(D1379-K)&gt;0)*1</f>
        <v>0</v>
      </c>
      <c r="H1379" s="4">
        <v>1364</v>
      </c>
      <c r="I1379" s="3">
        <v>0.66772217344710783</v>
      </c>
      <c r="J1379" s="128">
        <v>1.3258650379566288E-3</v>
      </c>
      <c r="K1379" s="128"/>
      <c r="L1379" s="128">
        <v>3.9E-2</v>
      </c>
      <c r="O1379" s="2"/>
    </row>
    <row r="1380" spans="2:15" x14ac:dyDescent="0.2">
      <c r="B1380" s="1">
        <v>1365</v>
      </c>
      <c r="C1380" s="5">
        <f ca="1">_xlfn.NORM.S.INV(RAND())</f>
        <v>0.15504427734765855</v>
      </c>
      <c r="D1380" s="5">
        <f ca="1">S0*EXP((μ-0.5*σ*σ)*T+σ*SQRT(T)*$C1380)</f>
        <v>0.67474097066627858</v>
      </c>
      <c r="E1380" s="5">
        <f ca="1">MAX(0,CP*(D1380-K))</f>
        <v>0</v>
      </c>
      <c r="F1380" s="4">
        <f ca="1">(CP*(D1380-K)&gt;0)*1</f>
        <v>0</v>
      </c>
      <c r="H1380" s="4">
        <v>1365</v>
      </c>
      <c r="I1380" s="3">
        <v>0.66785109316382296</v>
      </c>
      <c r="J1380" s="128">
        <v>1.4629538875114757E-3</v>
      </c>
      <c r="K1380" s="128"/>
      <c r="L1380" s="128">
        <v>4.5600000000000002E-2</v>
      </c>
      <c r="O1380" s="2"/>
    </row>
    <row r="1381" spans="2:15" x14ac:dyDescent="0.2">
      <c r="B1381" s="1">
        <v>1366</v>
      </c>
      <c r="C1381" s="5">
        <f ca="1">_xlfn.NORM.S.INV(RAND())</f>
        <v>1.703590746495244</v>
      </c>
      <c r="D1381" s="5">
        <f ca="1">S0*EXP((μ-0.5*σ*σ)*T+σ*SQRT(T)*$C1381)</f>
        <v>0.78603093427150794</v>
      </c>
      <c r="E1381" s="5">
        <f ca="1">MAX(0,CP*(D1381-K))</f>
        <v>0</v>
      </c>
      <c r="F1381" s="4">
        <f ca="1">(CP*(D1381-K)&gt;0)*1</f>
        <v>0</v>
      </c>
      <c r="H1381" s="4">
        <v>1366</v>
      </c>
      <c r="I1381" s="3">
        <v>0.66757390588520271</v>
      </c>
      <c r="J1381" s="128">
        <v>1.07197351267272E-3</v>
      </c>
      <c r="K1381" s="128"/>
      <c r="L1381" s="128">
        <v>3.5799999999999998E-2</v>
      </c>
      <c r="O1381" s="2"/>
    </row>
    <row r="1382" spans="2:15" x14ac:dyDescent="0.2">
      <c r="B1382" s="1">
        <v>1367</v>
      </c>
      <c r="C1382" s="5">
        <f ca="1">_xlfn.NORM.S.INV(RAND())</f>
        <v>0.32880878911142064</v>
      </c>
      <c r="D1382" s="5">
        <f ca="1">S0*EXP((μ-0.5*σ*σ)*T+σ*SQRT(T)*$C1382)</f>
        <v>0.68639953697793643</v>
      </c>
      <c r="E1382" s="5">
        <f ca="1">MAX(0,CP*(D1382-K))</f>
        <v>0</v>
      </c>
      <c r="F1382" s="4">
        <f ca="1">(CP*(D1382-K)&gt;0)*1</f>
        <v>0</v>
      </c>
      <c r="H1382" s="4">
        <v>1367</v>
      </c>
      <c r="I1382" s="3">
        <v>0.66767573001363234</v>
      </c>
      <c r="J1382" s="128">
        <v>1.2236831143620768E-3</v>
      </c>
      <c r="K1382" s="128"/>
      <c r="L1382" s="128">
        <v>3.7999999999999999E-2</v>
      </c>
      <c r="O1382" s="2"/>
    </row>
    <row r="1383" spans="2:15" x14ac:dyDescent="0.2">
      <c r="B1383" s="1">
        <v>1368</v>
      </c>
      <c r="C1383" s="5">
        <f ca="1">_xlfn.NORM.S.INV(RAND())</f>
        <v>-1.0527932515465739</v>
      </c>
      <c r="D1383" s="5">
        <f ca="1">S0*EXP((μ-0.5*σ*σ)*T+σ*SQRT(T)*$C1383)</f>
        <v>0.59899378607331544</v>
      </c>
      <c r="E1383" s="5">
        <f ca="1">MAX(0,CP*(D1383-K))</f>
        <v>0</v>
      </c>
      <c r="F1383" s="4">
        <f ca="1">(CP*(D1383-K)&gt;0)*1</f>
        <v>0</v>
      </c>
      <c r="H1383" s="4">
        <v>1368</v>
      </c>
      <c r="I1383" s="3">
        <v>0.66762364128122731</v>
      </c>
      <c r="J1383" s="128">
        <v>1.0719015972711749E-3</v>
      </c>
      <c r="K1383" s="128"/>
      <c r="L1383" s="128">
        <v>3.4200000000000001E-2</v>
      </c>
      <c r="O1383" s="2"/>
    </row>
    <row r="1384" spans="2:15" x14ac:dyDescent="0.2">
      <c r="B1384" s="1">
        <v>1369</v>
      </c>
      <c r="C1384" s="5">
        <f ca="1">_xlfn.NORM.S.INV(RAND())</f>
        <v>-0.55413728949289887</v>
      </c>
      <c r="D1384" s="5">
        <f ca="1">S0*EXP((μ-0.5*σ*σ)*T+σ*SQRT(T)*$C1384)</f>
        <v>0.62917689784511965</v>
      </c>
      <c r="E1384" s="5">
        <f ca="1">MAX(0,CP*(D1384-K))</f>
        <v>0</v>
      </c>
      <c r="F1384" s="4">
        <f ca="1">(CP*(D1384-K)&gt;0)*1</f>
        <v>0</v>
      </c>
      <c r="H1384" s="4">
        <v>1369</v>
      </c>
      <c r="I1384" s="3">
        <v>0.66767155344804974</v>
      </c>
      <c r="J1384" s="128">
        <v>1.3382799802355129E-3</v>
      </c>
      <c r="K1384" s="128"/>
      <c r="L1384" s="128">
        <v>3.6999999999999998E-2</v>
      </c>
      <c r="O1384" s="2"/>
    </row>
    <row r="1385" spans="2:15" x14ac:dyDescent="0.2">
      <c r="B1385" s="1">
        <v>1370</v>
      </c>
      <c r="C1385" s="5">
        <f ca="1">_xlfn.NORM.S.INV(RAND())</f>
        <v>0.14126286370249699</v>
      </c>
      <c r="D1385" s="5">
        <f ca="1">S0*EXP((μ-0.5*σ*σ)*T+σ*SQRT(T)*$C1385)</f>
        <v>0.67382483968279616</v>
      </c>
      <c r="E1385" s="5">
        <f ca="1">MAX(0,CP*(D1385-K))</f>
        <v>0</v>
      </c>
      <c r="F1385" s="4">
        <f ca="1">(CP*(D1385-K)&gt;0)*1</f>
        <v>0</v>
      </c>
      <c r="H1385" s="4">
        <v>1370</v>
      </c>
      <c r="I1385" s="3">
        <v>0.66779229531044715</v>
      </c>
      <c r="J1385" s="128">
        <v>1.3450890497572025E-3</v>
      </c>
      <c r="K1385" s="128"/>
      <c r="L1385" s="128">
        <v>4.2599999999999999E-2</v>
      </c>
      <c r="O1385" s="2"/>
    </row>
    <row r="1386" spans="2:15" x14ac:dyDescent="0.2">
      <c r="B1386" s="1">
        <v>1371</v>
      </c>
      <c r="C1386" s="5">
        <f ca="1">_xlfn.NORM.S.INV(RAND())</f>
        <v>-0.60269629318915763</v>
      </c>
      <c r="D1386" s="5">
        <f ca="1">S0*EXP((μ-0.5*σ*σ)*T+σ*SQRT(T)*$C1386)</f>
        <v>0.62617203177642966</v>
      </c>
      <c r="E1386" s="5">
        <f ca="1">MAX(0,CP*(D1386-K))</f>
        <v>0</v>
      </c>
      <c r="F1386" s="4">
        <f ca="1">(CP*(D1386-K)&gt;0)*1</f>
        <v>0</v>
      </c>
      <c r="H1386" s="4">
        <v>1371</v>
      </c>
      <c r="I1386" s="3">
        <v>0.66768590699389507</v>
      </c>
      <c r="J1386" s="128">
        <v>1.3576902100135005E-3</v>
      </c>
      <c r="K1386" s="128"/>
      <c r="L1386" s="128">
        <v>4.3200000000000002E-2</v>
      </c>
      <c r="O1386" s="2"/>
    </row>
    <row r="1387" spans="2:15" x14ac:dyDescent="0.2">
      <c r="B1387" s="1">
        <v>1372</v>
      </c>
      <c r="C1387" s="5">
        <f ca="1">_xlfn.NORM.S.INV(RAND())</f>
        <v>-0.60803310565606195</v>
      </c>
      <c r="D1387" s="5">
        <f ca="1">S0*EXP((μ-0.5*σ*σ)*T+σ*SQRT(T)*$C1387)</f>
        <v>0.62584266250204268</v>
      </c>
      <c r="E1387" s="5">
        <f ca="1">MAX(0,CP*(D1387-K))</f>
        <v>0</v>
      </c>
      <c r="F1387" s="4">
        <f ca="1">(CP*(D1387-K)&gt;0)*1</f>
        <v>0</v>
      </c>
      <c r="H1387" s="4">
        <v>1372</v>
      </c>
      <c r="I1387" s="3">
        <v>0.66783135642571068</v>
      </c>
      <c r="J1387" s="128">
        <v>1.5455891437615834E-3</v>
      </c>
      <c r="K1387" s="128"/>
      <c r="L1387" s="128">
        <v>4.4600000000000001E-2</v>
      </c>
      <c r="O1387" s="2"/>
    </row>
    <row r="1388" spans="2:15" x14ac:dyDescent="0.2">
      <c r="B1388" s="1">
        <v>1373</v>
      </c>
      <c r="C1388" s="5">
        <f ca="1">_xlfn.NORM.S.INV(RAND())</f>
        <v>-0.2096987100641951</v>
      </c>
      <c r="D1388" s="5">
        <f ca="1">S0*EXP((μ-0.5*σ*σ)*T+σ*SQRT(T)*$C1388)</f>
        <v>0.65090895725790487</v>
      </c>
      <c r="E1388" s="5">
        <f ca="1">MAX(0,CP*(D1388-K))</f>
        <v>0</v>
      </c>
      <c r="F1388" s="4">
        <f ca="1">(CP*(D1388-K)&gt;0)*1</f>
        <v>0</v>
      </c>
      <c r="H1388" s="4">
        <v>1373</v>
      </c>
      <c r="I1388" s="3">
        <v>0.66755514933699422</v>
      </c>
      <c r="J1388" s="128">
        <v>1.1979992539206384E-3</v>
      </c>
      <c r="K1388" s="128"/>
      <c r="L1388" s="128">
        <v>3.3399999999999999E-2</v>
      </c>
      <c r="O1388" s="2"/>
    </row>
    <row r="1389" spans="2:15" x14ac:dyDescent="0.2">
      <c r="B1389" s="1">
        <v>1374</v>
      </c>
      <c r="C1389" s="5">
        <f ca="1">_xlfn.NORM.S.INV(RAND())</f>
        <v>0.89430756633232322</v>
      </c>
      <c r="D1389" s="5">
        <f ca="1">S0*EXP((μ-0.5*σ*σ)*T+σ*SQRT(T)*$C1389)</f>
        <v>0.72575389314519489</v>
      </c>
      <c r="E1389" s="5">
        <f ca="1">MAX(0,CP*(D1389-K))</f>
        <v>0</v>
      </c>
      <c r="F1389" s="4">
        <f ca="1">(CP*(D1389-K)&gt;0)*1</f>
        <v>0</v>
      </c>
      <c r="H1389" s="4">
        <v>1374</v>
      </c>
      <c r="I1389" s="3">
        <v>0.66780670873653281</v>
      </c>
      <c r="J1389" s="128">
        <v>1.4893465279864904E-3</v>
      </c>
      <c r="K1389" s="128"/>
      <c r="L1389" s="128">
        <v>4.4200000000000003E-2</v>
      </c>
      <c r="O1389" s="2"/>
    </row>
    <row r="1390" spans="2:15" x14ac:dyDescent="0.2">
      <c r="B1390" s="1">
        <v>1375</v>
      </c>
      <c r="C1390" s="5">
        <f ca="1">_xlfn.NORM.S.INV(RAND())</f>
        <v>0.10624381746172364</v>
      </c>
      <c r="D1390" s="5">
        <f ca="1">S0*EXP((μ-0.5*σ*σ)*T+σ*SQRT(T)*$C1390)</f>
        <v>0.6715025115731299</v>
      </c>
      <c r="E1390" s="5">
        <f ca="1">MAX(0,CP*(D1390-K))</f>
        <v>0</v>
      </c>
      <c r="F1390" s="4">
        <f ca="1">(CP*(D1390-K)&gt;0)*1</f>
        <v>0</v>
      </c>
      <c r="H1390" s="4">
        <v>1375</v>
      </c>
      <c r="I1390" s="3">
        <v>0.66770579903679739</v>
      </c>
      <c r="J1390" s="128">
        <v>1.3032190560143785E-3</v>
      </c>
      <c r="K1390" s="128"/>
      <c r="L1390" s="128">
        <v>4.4999999999999998E-2</v>
      </c>
      <c r="O1390" s="2"/>
    </row>
    <row r="1391" spans="2:15" x14ac:dyDescent="0.2">
      <c r="B1391" s="1">
        <v>1376</v>
      </c>
      <c r="C1391" s="5">
        <f ca="1">_xlfn.NORM.S.INV(RAND())</f>
        <v>1.3631193268574822</v>
      </c>
      <c r="D1391" s="5">
        <f ca="1">S0*EXP((μ-0.5*σ*σ)*T+σ*SQRT(T)*$C1391)</f>
        <v>0.76008474409510851</v>
      </c>
      <c r="E1391" s="5">
        <f ca="1">MAX(0,CP*(D1391-K))</f>
        <v>0</v>
      </c>
      <c r="F1391" s="4">
        <f ca="1">(CP*(D1391-K)&gt;0)*1</f>
        <v>0</v>
      </c>
      <c r="H1391" s="4">
        <v>1376</v>
      </c>
      <c r="I1391" s="3">
        <v>0.66783323910720938</v>
      </c>
      <c r="J1391" s="128">
        <v>1.4199255784884566E-3</v>
      </c>
      <c r="K1391" s="128"/>
      <c r="L1391" s="128">
        <v>4.4200000000000003E-2</v>
      </c>
      <c r="O1391" s="2"/>
    </row>
    <row r="1392" spans="2:15" x14ac:dyDescent="0.2">
      <c r="B1392" s="1">
        <v>1377</v>
      </c>
      <c r="C1392" s="5">
        <f ca="1">_xlfn.NORM.S.INV(RAND())</f>
        <v>-0.34536768864191858</v>
      </c>
      <c r="D1392" s="5">
        <f ca="1">S0*EXP((μ-0.5*σ*σ)*T+σ*SQRT(T)*$C1392)</f>
        <v>0.64226084417174889</v>
      </c>
      <c r="E1392" s="5">
        <f ca="1">MAX(0,CP*(D1392-K))</f>
        <v>0</v>
      </c>
      <c r="F1392" s="4">
        <f ca="1">(CP*(D1392-K)&gt;0)*1</f>
        <v>0</v>
      </c>
      <c r="H1392" s="4">
        <v>1377</v>
      </c>
      <c r="I1392" s="3">
        <v>0.66774574999172931</v>
      </c>
      <c r="J1392" s="128">
        <v>1.289769161406037E-3</v>
      </c>
      <c r="K1392" s="128"/>
      <c r="L1392" s="128">
        <v>4.48E-2</v>
      </c>
      <c r="O1392" s="2"/>
    </row>
    <row r="1393" spans="2:15" x14ac:dyDescent="0.2">
      <c r="B1393" s="1">
        <v>1378</v>
      </c>
      <c r="C1393" s="5">
        <f ca="1">_xlfn.NORM.S.INV(RAND())</f>
        <v>0.26101686068632857</v>
      </c>
      <c r="D1393" s="5">
        <f ca="1">S0*EXP((μ-0.5*σ*σ)*T+σ*SQRT(T)*$C1393)</f>
        <v>0.68182732655391165</v>
      </c>
      <c r="E1393" s="5">
        <f ca="1">MAX(0,CP*(D1393-K))</f>
        <v>0</v>
      </c>
      <c r="F1393" s="4">
        <f ca="1">(CP*(D1393-K)&gt;0)*1</f>
        <v>0</v>
      </c>
      <c r="H1393" s="4">
        <v>1378</v>
      </c>
      <c r="I1393" s="3">
        <v>0.66790067470333725</v>
      </c>
      <c r="J1393" s="128">
        <v>1.5832227208619032E-3</v>
      </c>
      <c r="K1393" s="128"/>
      <c r="L1393" s="128">
        <v>4.48E-2</v>
      </c>
      <c r="O1393" s="2"/>
    </row>
    <row r="1394" spans="2:15" x14ac:dyDescent="0.2">
      <c r="B1394" s="1">
        <v>1379</v>
      </c>
      <c r="C1394" s="5">
        <f ca="1">_xlfn.NORM.S.INV(RAND())</f>
        <v>-0.14063616720064567</v>
      </c>
      <c r="D1394" s="5">
        <f ca="1">S0*EXP((μ-0.5*σ*σ)*T+σ*SQRT(T)*$C1394)</f>
        <v>0.655355923811208</v>
      </c>
      <c r="E1394" s="5">
        <f ca="1">MAX(0,CP*(D1394-K))</f>
        <v>0</v>
      </c>
      <c r="F1394" s="4">
        <f ca="1">(CP*(D1394-K)&gt;0)*1</f>
        <v>0</v>
      </c>
      <c r="H1394" s="4">
        <v>1379</v>
      </c>
      <c r="I1394" s="3">
        <v>0.6675660303142088</v>
      </c>
      <c r="J1394" s="128">
        <v>1.2207647522267098E-3</v>
      </c>
      <c r="K1394" s="128"/>
      <c r="L1394" s="128">
        <v>3.7999999999999999E-2</v>
      </c>
      <c r="O1394" s="2"/>
    </row>
    <row r="1395" spans="2:15" x14ac:dyDescent="0.2">
      <c r="B1395" s="1">
        <v>1380</v>
      </c>
      <c r="C1395" s="5">
        <f ca="1">_xlfn.NORM.S.INV(RAND())</f>
        <v>-0.68690234771624281</v>
      </c>
      <c r="D1395" s="5">
        <f ca="1">S0*EXP((μ-0.5*σ*σ)*T+σ*SQRT(T)*$C1395)</f>
        <v>0.62099528085545652</v>
      </c>
      <c r="E1395" s="5">
        <f ca="1">MAX(0,CP*(D1395-K))</f>
        <v>0</v>
      </c>
      <c r="F1395" s="4">
        <f ca="1">(CP*(D1395-K)&gt;0)*1</f>
        <v>0</v>
      </c>
      <c r="H1395" s="4">
        <v>1380</v>
      </c>
      <c r="I1395" s="3">
        <v>0.66774958588647182</v>
      </c>
      <c r="J1395" s="128">
        <v>1.3342273572412953E-3</v>
      </c>
      <c r="K1395" s="128"/>
      <c r="L1395" s="128">
        <v>4.2599999999999999E-2</v>
      </c>
      <c r="O1395" s="2"/>
    </row>
    <row r="1396" spans="2:15" x14ac:dyDescent="0.2">
      <c r="B1396" s="1">
        <v>1381</v>
      </c>
      <c r="C1396" s="5">
        <f ca="1">_xlfn.NORM.S.INV(RAND())</f>
        <v>-0.63788290900817057</v>
      </c>
      <c r="D1396" s="5">
        <f ca="1">S0*EXP((μ-0.5*σ*σ)*T+σ*SQRT(T)*$C1396)</f>
        <v>0.62400362963076228</v>
      </c>
      <c r="E1396" s="5">
        <f ca="1">MAX(0,CP*(D1396-K))</f>
        <v>0</v>
      </c>
      <c r="F1396" s="4">
        <f ca="1">(CP*(D1396-K)&gt;0)*1</f>
        <v>0</v>
      </c>
      <c r="H1396" s="4">
        <v>1381</v>
      </c>
      <c r="I1396" s="3">
        <v>0.66778116571529622</v>
      </c>
      <c r="J1396" s="128">
        <v>1.4318489308374628E-3</v>
      </c>
      <c r="K1396" s="128"/>
      <c r="L1396" s="128">
        <v>4.48E-2</v>
      </c>
      <c r="O1396" s="2"/>
    </row>
    <row r="1397" spans="2:15" x14ac:dyDescent="0.2">
      <c r="B1397" s="1">
        <v>1382</v>
      </c>
      <c r="C1397" s="5">
        <f ca="1">_xlfn.NORM.S.INV(RAND())</f>
        <v>-0.46151932952269947</v>
      </c>
      <c r="D1397" s="5">
        <f ca="1">S0*EXP((μ-0.5*σ*σ)*T+σ*SQRT(T)*$C1397)</f>
        <v>0.63494820213508785</v>
      </c>
      <c r="E1397" s="5">
        <f ca="1">MAX(0,CP*(D1397-K))</f>
        <v>0</v>
      </c>
      <c r="F1397" s="4">
        <f ca="1">(CP*(D1397-K)&gt;0)*1</f>
        <v>0</v>
      </c>
      <c r="H1397" s="4">
        <v>1382</v>
      </c>
      <c r="I1397" s="3">
        <v>0.66787293506565371</v>
      </c>
      <c r="J1397" s="128">
        <v>1.535444259829185E-3</v>
      </c>
      <c r="K1397" s="128"/>
      <c r="L1397" s="128">
        <v>4.8599999999999997E-2</v>
      </c>
      <c r="O1397" s="2"/>
    </row>
    <row r="1398" spans="2:15" x14ac:dyDescent="0.2">
      <c r="B1398" s="1">
        <v>1383</v>
      </c>
      <c r="C1398" s="5">
        <f ca="1">_xlfn.NORM.S.INV(RAND())</f>
        <v>1.3360082852762672E-2</v>
      </c>
      <c r="D1398" s="5">
        <f ca="1">S0*EXP((μ-0.5*σ*σ)*T+σ*SQRT(T)*$C1398)</f>
        <v>0.66538151560409964</v>
      </c>
      <c r="E1398" s="5">
        <f ca="1">MAX(0,CP*(D1398-K))</f>
        <v>0</v>
      </c>
      <c r="F1398" s="4">
        <f ca="1">(CP*(D1398-K)&gt;0)*1</f>
        <v>0</v>
      </c>
      <c r="H1398" s="4">
        <v>1383</v>
      </c>
      <c r="I1398" s="3">
        <v>0.6676202837177635</v>
      </c>
      <c r="J1398" s="128">
        <v>1.211948559553326E-3</v>
      </c>
      <c r="K1398" s="128"/>
      <c r="L1398" s="128">
        <v>3.9399999999999998E-2</v>
      </c>
      <c r="O1398" s="2"/>
    </row>
    <row r="1399" spans="2:15" x14ac:dyDescent="0.2">
      <c r="B1399" s="1">
        <v>1384</v>
      </c>
      <c r="C1399" s="5">
        <f ca="1">_xlfn.NORM.S.INV(RAND())</f>
        <v>3.3190252768253263E-2</v>
      </c>
      <c r="D1399" s="5">
        <f ca="1">S0*EXP((μ-0.5*σ*σ)*T+σ*SQRT(T)*$C1399)</f>
        <v>0.6666836130329995</v>
      </c>
      <c r="E1399" s="5">
        <f ca="1">MAX(0,CP*(D1399-K))</f>
        <v>0</v>
      </c>
      <c r="F1399" s="4">
        <f ca="1">(CP*(D1399-K)&gt;0)*1</f>
        <v>0</v>
      </c>
      <c r="H1399" s="4">
        <v>1384</v>
      </c>
      <c r="I1399" s="3">
        <v>0.66764013899956276</v>
      </c>
      <c r="J1399" s="128">
        <v>1.263103064652864E-3</v>
      </c>
      <c r="K1399" s="128"/>
      <c r="L1399" s="128">
        <v>3.9199999999999999E-2</v>
      </c>
      <c r="O1399" s="2"/>
    </row>
    <row r="1400" spans="2:15" x14ac:dyDescent="0.2">
      <c r="B1400" s="1">
        <v>1385</v>
      </c>
      <c r="C1400" s="5">
        <f ca="1">_xlfn.NORM.S.INV(RAND())</f>
        <v>-0.39835519207611597</v>
      </c>
      <c r="D1400" s="5">
        <f ca="1">S0*EXP((μ-0.5*σ*σ)*T+σ*SQRT(T)*$C1400)</f>
        <v>0.63891448339197343</v>
      </c>
      <c r="E1400" s="5">
        <f ca="1">MAX(0,CP*(D1400-K))</f>
        <v>0</v>
      </c>
      <c r="F1400" s="4">
        <f ca="1">(CP*(D1400-K)&gt;0)*1</f>
        <v>0</v>
      </c>
      <c r="H1400" s="4">
        <v>1385</v>
      </c>
      <c r="I1400" s="3">
        <v>0.66791420156747028</v>
      </c>
      <c r="J1400" s="128">
        <v>1.5560460165510695E-3</v>
      </c>
      <c r="K1400" s="128"/>
      <c r="L1400" s="128">
        <v>4.6800000000000001E-2</v>
      </c>
      <c r="O1400" s="2"/>
    </row>
    <row r="1401" spans="2:15" x14ac:dyDescent="0.2">
      <c r="B1401" s="1">
        <v>1386</v>
      </c>
      <c r="C1401" s="5">
        <f ca="1">_xlfn.NORM.S.INV(RAND())</f>
        <v>-0.52167395165165042</v>
      </c>
      <c r="D1401" s="5">
        <f ca="1">S0*EXP((μ-0.5*σ*σ)*T+σ*SQRT(T)*$C1401)</f>
        <v>0.63119379066622117</v>
      </c>
      <c r="E1401" s="5">
        <f ca="1">MAX(0,CP*(D1401-K))</f>
        <v>0</v>
      </c>
      <c r="F1401" s="4">
        <f ca="1">(CP*(D1401-K)&gt;0)*1</f>
        <v>0</v>
      </c>
      <c r="H1401" s="4">
        <v>1386</v>
      </c>
      <c r="I1401" s="3">
        <v>0.66772238896054836</v>
      </c>
      <c r="J1401" s="128">
        <v>1.480475851474932E-3</v>
      </c>
      <c r="K1401" s="128"/>
      <c r="L1401" s="128">
        <v>0.04</v>
      </c>
      <c r="O1401" s="2"/>
    </row>
    <row r="1402" spans="2:15" x14ac:dyDescent="0.2">
      <c r="B1402" s="1">
        <v>1387</v>
      </c>
      <c r="C1402" s="5">
        <f ca="1">_xlfn.NORM.S.INV(RAND())</f>
        <v>1.2482169760439181</v>
      </c>
      <c r="D1402" s="5">
        <f ca="1">S0*EXP((μ-0.5*σ*σ)*T+σ*SQRT(T)*$C1402)</f>
        <v>0.75152313996196041</v>
      </c>
      <c r="E1402" s="5">
        <f ca="1">MAX(0,CP*(D1402-K))</f>
        <v>0</v>
      </c>
      <c r="F1402" s="4">
        <f ca="1">(CP*(D1402-K)&gt;0)*1</f>
        <v>0</v>
      </c>
      <c r="H1402" s="4">
        <v>1387</v>
      </c>
      <c r="I1402" s="3">
        <v>0.66769630149074688</v>
      </c>
      <c r="J1402" s="128">
        <v>1.3473874598541439E-3</v>
      </c>
      <c r="K1402" s="128"/>
      <c r="L1402" s="128">
        <v>3.9800000000000002E-2</v>
      </c>
      <c r="O1402" s="2"/>
    </row>
    <row r="1403" spans="2:15" x14ac:dyDescent="0.2">
      <c r="B1403" s="1">
        <v>1388</v>
      </c>
      <c r="C1403" s="5">
        <f ca="1">_xlfn.NORM.S.INV(RAND())</f>
        <v>5.2354974855343038E-2</v>
      </c>
      <c r="D1403" s="5">
        <f ca="1">S0*EXP((μ-0.5*σ*σ)*T+σ*SQRT(T)*$C1403)</f>
        <v>0.66794443675009108</v>
      </c>
      <c r="E1403" s="5">
        <f ca="1">MAX(0,CP*(D1403-K))</f>
        <v>0</v>
      </c>
      <c r="F1403" s="4">
        <f ca="1">(CP*(D1403-K)&gt;0)*1</f>
        <v>0</v>
      </c>
      <c r="H1403" s="4">
        <v>1388</v>
      </c>
      <c r="I1403" s="3">
        <v>0.66787409818738153</v>
      </c>
      <c r="J1403" s="128">
        <v>1.4258041091901553E-3</v>
      </c>
      <c r="K1403" s="128"/>
      <c r="L1403" s="128">
        <v>4.2799999999999998E-2</v>
      </c>
      <c r="O1403" s="2"/>
    </row>
    <row r="1404" spans="2:15" x14ac:dyDescent="0.2">
      <c r="B1404" s="1">
        <v>1389</v>
      </c>
      <c r="C1404" s="5">
        <f ca="1">_xlfn.NORM.S.INV(RAND())</f>
        <v>0.3911071493998875</v>
      </c>
      <c r="D1404" s="5">
        <f ca="1">S0*EXP((μ-0.5*σ*σ)*T+σ*SQRT(T)*$C1404)</f>
        <v>0.69062826432373836</v>
      </c>
      <c r="E1404" s="5">
        <f ca="1">MAX(0,CP*(D1404-K))</f>
        <v>0</v>
      </c>
      <c r="F1404" s="4">
        <f ca="1">(CP*(D1404-K)&gt;0)*1</f>
        <v>0</v>
      </c>
      <c r="H1404" s="4">
        <v>1389</v>
      </c>
      <c r="I1404" s="3">
        <v>0.66776325886794508</v>
      </c>
      <c r="J1404" s="128">
        <v>1.2512493864007335E-3</v>
      </c>
      <c r="K1404" s="128"/>
      <c r="L1404" s="128">
        <v>4.0800000000000003E-2</v>
      </c>
      <c r="O1404" s="2"/>
    </row>
    <row r="1405" spans="2:15" x14ac:dyDescent="0.2">
      <c r="B1405" s="1">
        <v>1390</v>
      </c>
      <c r="C1405" s="5">
        <f ca="1">_xlfn.NORM.S.INV(RAND())</f>
        <v>-0.57350896921838801</v>
      </c>
      <c r="D1405" s="5">
        <f ca="1">S0*EXP((μ-0.5*σ*σ)*T+σ*SQRT(T)*$C1405)</f>
        <v>0.62797643941525483</v>
      </c>
      <c r="E1405" s="5">
        <f ca="1">MAX(0,CP*(D1405-K))</f>
        <v>0</v>
      </c>
      <c r="F1405" s="4">
        <f ca="1">(CP*(D1405-K)&gt;0)*1</f>
        <v>0</v>
      </c>
      <c r="H1405" s="4">
        <v>1390</v>
      </c>
      <c r="I1405" s="3">
        <v>0.66772382988438295</v>
      </c>
      <c r="J1405" s="128">
        <v>1.2962404038306561E-3</v>
      </c>
      <c r="K1405" s="128"/>
      <c r="L1405" s="128">
        <v>4.36E-2</v>
      </c>
      <c r="O1405" s="2"/>
    </row>
    <row r="1406" spans="2:15" x14ac:dyDescent="0.2">
      <c r="B1406" s="1">
        <v>1391</v>
      </c>
      <c r="C1406" s="5">
        <f ca="1">_xlfn.NORM.S.INV(RAND())</f>
        <v>1.039689958498591</v>
      </c>
      <c r="D1406" s="5">
        <f ca="1">S0*EXP((μ-0.5*σ*σ)*T+σ*SQRT(T)*$C1406)</f>
        <v>0.73623094198806627</v>
      </c>
      <c r="E1406" s="5">
        <f ca="1">MAX(0,CP*(D1406-K))</f>
        <v>0</v>
      </c>
      <c r="F1406" s="4">
        <f ca="1">(CP*(D1406-K)&gt;0)*1</f>
        <v>0</v>
      </c>
      <c r="H1406" s="4">
        <v>1391</v>
      </c>
      <c r="I1406" s="3">
        <v>0.6675636531432152</v>
      </c>
      <c r="J1406" s="128">
        <v>1.007931401245376E-3</v>
      </c>
      <c r="K1406" s="128"/>
      <c r="L1406" s="128">
        <v>3.6200000000000003E-2</v>
      </c>
      <c r="O1406" s="2"/>
    </row>
    <row r="1407" spans="2:15" x14ac:dyDescent="0.2">
      <c r="B1407" s="1">
        <v>1392</v>
      </c>
      <c r="C1407" s="5">
        <f ca="1">_xlfn.NORM.S.INV(RAND())</f>
        <v>-0.20745661081465655</v>
      </c>
      <c r="D1407" s="5">
        <f ca="1">S0*EXP((μ-0.5*σ*σ)*T+σ*SQRT(T)*$C1407)</f>
        <v>0.65105285195906126</v>
      </c>
      <c r="E1407" s="5">
        <f ca="1">MAX(0,CP*(D1407-K))</f>
        <v>0</v>
      </c>
      <c r="F1407" s="4">
        <f ca="1">(CP*(D1407-K)&gt;0)*1</f>
        <v>0</v>
      </c>
      <c r="H1407" s="4">
        <v>1392</v>
      </c>
      <c r="I1407" s="3">
        <v>0.66775400692166142</v>
      </c>
      <c r="J1407" s="128">
        <v>1.4264970155265558E-3</v>
      </c>
      <c r="K1407" s="128"/>
      <c r="L1407" s="128">
        <v>4.2000000000000003E-2</v>
      </c>
      <c r="O1407" s="2"/>
    </row>
    <row r="1408" spans="2:15" x14ac:dyDescent="0.2">
      <c r="B1408" s="1">
        <v>1393</v>
      </c>
      <c r="C1408" s="5">
        <f ca="1">_xlfn.NORM.S.INV(RAND())</f>
        <v>-0.90565805910931274</v>
      </c>
      <c r="D1408" s="5">
        <f ca="1">S0*EXP((μ-0.5*σ*σ)*T+σ*SQRT(T)*$C1408)</f>
        <v>0.60774592648646375</v>
      </c>
      <c r="E1408" s="5">
        <f ca="1">MAX(0,CP*(D1408-K))</f>
        <v>0</v>
      </c>
      <c r="F1408" s="4">
        <f ca="1">(CP*(D1408-K)&gt;0)*1</f>
        <v>0</v>
      </c>
      <c r="H1408" s="4">
        <v>1393</v>
      </c>
      <c r="I1408" s="3">
        <v>0.66779787288988823</v>
      </c>
      <c r="J1408" s="128">
        <v>1.5493704484772636E-3</v>
      </c>
      <c r="K1408" s="128"/>
      <c r="L1408" s="128">
        <v>4.1799999999999997E-2</v>
      </c>
      <c r="O1408" s="2"/>
    </row>
    <row r="1409" spans="2:15" x14ac:dyDescent="0.2">
      <c r="B1409" s="1">
        <v>1394</v>
      </c>
      <c r="C1409" s="5">
        <f ca="1">_xlfn.NORM.S.INV(RAND())</f>
        <v>-0.68593264463894477</v>
      </c>
      <c r="D1409" s="5">
        <f ca="1">S0*EXP((μ-0.5*σ*σ)*T+σ*SQRT(T)*$C1409)</f>
        <v>0.62105465119788195</v>
      </c>
      <c r="E1409" s="5">
        <f ca="1">MAX(0,CP*(D1409-K))</f>
        <v>0</v>
      </c>
      <c r="F1409" s="4">
        <f ca="1">(CP*(D1409-K)&gt;0)*1</f>
        <v>0</v>
      </c>
      <c r="H1409" s="4">
        <v>1394</v>
      </c>
      <c r="I1409" s="3">
        <v>0.66753413171433651</v>
      </c>
      <c r="J1409" s="128">
        <v>1.1441513254581504E-3</v>
      </c>
      <c r="K1409" s="128"/>
      <c r="L1409" s="128">
        <v>3.5999999999999997E-2</v>
      </c>
      <c r="O1409" s="2"/>
    </row>
    <row r="1410" spans="2:15" x14ac:dyDescent="0.2">
      <c r="B1410" s="1">
        <v>1395</v>
      </c>
      <c r="C1410" s="5">
        <f ca="1">_xlfn.NORM.S.INV(RAND())</f>
        <v>0.44786309727526413</v>
      </c>
      <c r="D1410" s="5">
        <f ca="1">S0*EXP((μ-0.5*σ*σ)*T+σ*SQRT(T)*$C1410)</f>
        <v>0.69450345474123476</v>
      </c>
      <c r="E1410" s="5">
        <f ca="1">MAX(0,CP*(D1410-K))</f>
        <v>0</v>
      </c>
      <c r="F1410" s="4">
        <f ca="1">(CP*(D1410-K)&gt;0)*1</f>
        <v>0</v>
      </c>
      <c r="H1410" s="4">
        <v>1395</v>
      </c>
      <c r="I1410" s="3">
        <v>0.66769720168548219</v>
      </c>
      <c r="J1410" s="128">
        <v>1.3736364870715128E-3</v>
      </c>
      <c r="K1410" s="128"/>
      <c r="L1410" s="128">
        <v>3.9199999999999999E-2</v>
      </c>
      <c r="O1410" s="2"/>
    </row>
    <row r="1411" spans="2:15" x14ac:dyDescent="0.2">
      <c r="B1411" s="1">
        <v>1396</v>
      </c>
      <c r="C1411" s="5">
        <f ca="1">_xlfn.NORM.S.INV(RAND())</f>
        <v>-0.63132807146329073</v>
      </c>
      <c r="D1411" s="5">
        <f ca="1">S0*EXP((μ-0.5*σ*σ)*T+σ*SQRT(T)*$C1411)</f>
        <v>0.62440700660362403</v>
      </c>
      <c r="E1411" s="5">
        <f ca="1">MAX(0,CP*(D1411-K))</f>
        <v>0</v>
      </c>
      <c r="F1411" s="4">
        <f ca="1">(CP*(D1411-K)&gt;0)*1</f>
        <v>0</v>
      </c>
      <c r="H1411" s="4">
        <v>1396</v>
      </c>
      <c r="I1411" s="3">
        <v>0.66771975105179282</v>
      </c>
      <c r="J1411" s="128">
        <v>1.4090508898363114E-3</v>
      </c>
      <c r="K1411" s="128"/>
      <c r="L1411" s="128">
        <v>4.0599999999999997E-2</v>
      </c>
      <c r="O1411" s="2"/>
    </row>
    <row r="1412" spans="2:15" x14ac:dyDescent="0.2">
      <c r="B1412" s="1">
        <v>1397</v>
      </c>
      <c r="C1412" s="5">
        <f ca="1">_xlfn.NORM.S.INV(RAND())</f>
        <v>0.45446501491361591</v>
      </c>
      <c r="D1412" s="5">
        <f ca="1">S0*EXP((μ-0.5*σ*σ)*T+σ*SQRT(T)*$C1412)</f>
        <v>0.6949556308107786</v>
      </c>
      <c r="E1412" s="5">
        <f ca="1">MAX(0,CP*(D1412-K))</f>
        <v>0</v>
      </c>
      <c r="F1412" s="4">
        <f ca="1">(CP*(D1412-K)&gt;0)*1</f>
        <v>0</v>
      </c>
      <c r="H1412" s="4">
        <v>1397</v>
      </c>
      <c r="I1412" s="3">
        <v>0.6676988174769185</v>
      </c>
      <c r="J1412" s="128">
        <v>1.2601032847270877E-3</v>
      </c>
      <c r="K1412" s="128"/>
      <c r="L1412" s="128">
        <v>4.1799999999999997E-2</v>
      </c>
      <c r="O1412" s="2"/>
    </row>
    <row r="1413" spans="2:15" x14ac:dyDescent="0.2">
      <c r="B1413" s="1">
        <v>1398</v>
      </c>
      <c r="C1413" s="5">
        <f ca="1">_xlfn.NORM.S.INV(RAND())</f>
        <v>-1.3131244060030081</v>
      </c>
      <c r="D1413" s="5">
        <f ca="1">S0*EXP((μ-0.5*σ*σ)*T+σ*SQRT(T)*$C1413)</f>
        <v>0.58381598232424492</v>
      </c>
      <c r="E1413" s="5">
        <f ca="1">MAX(0,CP*(D1413-K))</f>
        <v>0</v>
      </c>
      <c r="F1413" s="4">
        <f ca="1">(CP*(D1413-K)&gt;0)*1</f>
        <v>0</v>
      </c>
      <c r="H1413" s="4">
        <v>1398</v>
      </c>
      <c r="I1413" s="3">
        <v>0.66777839592951982</v>
      </c>
      <c r="J1413" s="128">
        <v>1.3389562859309678E-3</v>
      </c>
      <c r="K1413" s="128"/>
      <c r="L1413" s="128">
        <v>4.3200000000000002E-2</v>
      </c>
      <c r="O1413" s="2"/>
    </row>
    <row r="1414" spans="2:15" x14ac:dyDescent="0.2">
      <c r="B1414" s="1">
        <v>1399</v>
      </c>
      <c r="C1414" s="5">
        <f ca="1">_xlfn.NORM.S.INV(RAND())</f>
        <v>0.26162516191558038</v>
      </c>
      <c r="D1414" s="5">
        <f ca="1">S0*EXP((μ-0.5*σ*σ)*T+σ*SQRT(T)*$C1414)</f>
        <v>0.68186821756415683</v>
      </c>
      <c r="E1414" s="5">
        <f ca="1">MAX(0,CP*(D1414-K))</f>
        <v>0</v>
      </c>
      <c r="F1414" s="4">
        <f ca="1">(CP*(D1414-K)&gt;0)*1</f>
        <v>0</v>
      </c>
      <c r="H1414" s="4">
        <v>1399</v>
      </c>
      <c r="I1414" s="3">
        <v>0.66761941963056703</v>
      </c>
      <c r="J1414" s="128">
        <v>1.2340934565542409E-3</v>
      </c>
      <c r="K1414" s="128"/>
      <c r="L1414" s="128">
        <v>4.0399999999999998E-2</v>
      </c>
      <c r="O1414" s="2"/>
    </row>
    <row r="1415" spans="2:15" x14ac:dyDescent="0.2">
      <c r="B1415" s="1">
        <v>1400</v>
      </c>
      <c r="C1415" s="5">
        <f ca="1">_xlfn.NORM.S.INV(RAND())</f>
        <v>6.0799201554603291E-2</v>
      </c>
      <c r="D1415" s="5">
        <f ca="1">S0*EXP((μ-0.5*σ*σ)*T+σ*SQRT(T)*$C1415)</f>
        <v>0.66850072863966725</v>
      </c>
      <c r="E1415" s="5">
        <f ca="1">MAX(0,CP*(D1415-K))</f>
        <v>0</v>
      </c>
      <c r="F1415" s="4">
        <f ca="1">(CP*(D1415-K)&gt;0)*1</f>
        <v>0</v>
      </c>
      <c r="H1415" s="4">
        <v>1400</v>
      </c>
      <c r="I1415" s="3">
        <v>0.66764343914750468</v>
      </c>
      <c r="J1415" s="128">
        <v>1.1986603153452051E-3</v>
      </c>
      <c r="K1415" s="128"/>
      <c r="L1415" s="128">
        <v>0.04</v>
      </c>
      <c r="O1415" s="2"/>
    </row>
    <row r="1416" spans="2:15" x14ac:dyDescent="0.2">
      <c r="B1416" s="1">
        <v>1401</v>
      </c>
      <c r="C1416" s="5">
        <f ca="1">_xlfn.NORM.S.INV(RAND())</f>
        <v>2.1314274973201766</v>
      </c>
      <c r="D1416" s="5">
        <f ca="1">S0*EXP((μ-0.5*σ*σ)*T+σ*SQRT(T)*$C1416)</f>
        <v>0.81989435038292324</v>
      </c>
      <c r="E1416" s="5">
        <f ca="1">MAX(0,CP*(D1416-K))</f>
        <v>3.1694350382923231E-2</v>
      </c>
      <c r="F1416" s="4">
        <f ca="1">(CP*(D1416-K)&gt;0)*1</f>
        <v>1</v>
      </c>
      <c r="H1416" s="4">
        <v>1401</v>
      </c>
      <c r="I1416" s="3">
        <v>0.6679469159218534</v>
      </c>
      <c r="J1416" s="128">
        <v>1.5145157235345868E-3</v>
      </c>
      <c r="K1416" s="128"/>
      <c r="L1416" s="128">
        <v>4.6399999999999997E-2</v>
      </c>
      <c r="O1416" s="2"/>
    </row>
    <row r="1417" spans="2:15" x14ac:dyDescent="0.2">
      <c r="B1417" s="1">
        <v>1402</v>
      </c>
      <c r="C1417" s="5">
        <f ca="1">_xlfn.NORM.S.INV(RAND())</f>
        <v>1.5635654106407126</v>
      </c>
      <c r="D1417" s="5">
        <f ca="1">S0*EXP((μ-0.5*σ*σ)*T+σ*SQRT(T)*$C1417)</f>
        <v>0.77525453266116395</v>
      </c>
      <c r="E1417" s="5">
        <f ca="1">MAX(0,CP*(D1417-K))</f>
        <v>0</v>
      </c>
      <c r="F1417" s="4">
        <f ca="1">(CP*(D1417-K)&gt;0)*1</f>
        <v>0</v>
      </c>
      <c r="H1417" s="4">
        <v>1402</v>
      </c>
      <c r="I1417" s="3">
        <v>0.66782427526789312</v>
      </c>
      <c r="J1417" s="128">
        <v>1.4285453473993166E-3</v>
      </c>
      <c r="K1417" s="128"/>
      <c r="L1417" s="128">
        <v>4.1799999999999997E-2</v>
      </c>
      <c r="O1417" s="2"/>
    </row>
    <row r="1418" spans="2:15" x14ac:dyDescent="0.2">
      <c r="B1418" s="1">
        <v>1403</v>
      </c>
      <c r="C1418" s="5">
        <f ca="1">_xlfn.NORM.S.INV(RAND())</f>
        <v>-2.7738656966863107</v>
      </c>
      <c r="D1418" s="5">
        <f ca="1">S0*EXP((μ-0.5*σ*σ)*T+σ*SQRT(T)*$C1418)</f>
        <v>0.50551365280738469</v>
      </c>
      <c r="E1418" s="5">
        <f ca="1">MAX(0,CP*(D1418-K))</f>
        <v>0</v>
      </c>
      <c r="F1418" s="4">
        <f ca="1">(CP*(D1418-K)&gt;0)*1</f>
        <v>0</v>
      </c>
      <c r="H1418" s="4">
        <v>1403</v>
      </c>
      <c r="I1418" s="3">
        <v>0.6678258231301063</v>
      </c>
      <c r="J1418" s="128">
        <v>1.5259905280167016E-3</v>
      </c>
      <c r="K1418" s="128"/>
      <c r="L1418" s="128">
        <v>4.2999999999999997E-2</v>
      </c>
      <c r="O1418" s="2"/>
    </row>
    <row r="1419" spans="2:15" x14ac:dyDescent="0.2">
      <c r="B1419" s="1">
        <v>1404</v>
      </c>
      <c r="C1419" s="5">
        <f ca="1">_xlfn.NORM.S.INV(RAND())</f>
        <v>3.8819752707658368E-2</v>
      </c>
      <c r="D1419" s="5">
        <f ca="1">S0*EXP((μ-0.5*σ*σ)*T+σ*SQRT(T)*$C1419)</f>
        <v>0.66705372390408924</v>
      </c>
      <c r="E1419" s="5">
        <f ca="1">MAX(0,CP*(D1419-K))</f>
        <v>0</v>
      </c>
      <c r="F1419" s="4">
        <f ca="1">(CP*(D1419-K)&gt;0)*1</f>
        <v>0</v>
      </c>
      <c r="H1419" s="4">
        <v>1404</v>
      </c>
      <c r="I1419" s="3">
        <v>0.66777174360546743</v>
      </c>
      <c r="J1419" s="128">
        <v>1.5403492613654465E-3</v>
      </c>
      <c r="K1419" s="128"/>
      <c r="L1419" s="128">
        <v>4.3200000000000002E-2</v>
      </c>
      <c r="O1419" s="2"/>
    </row>
    <row r="1420" spans="2:15" x14ac:dyDescent="0.2">
      <c r="B1420" s="1">
        <v>1405</v>
      </c>
      <c r="C1420" s="5">
        <f ca="1">_xlfn.NORM.S.INV(RAND())</f>
        <v>0.14363112200189221</v>
      </c>
      <c r="D1420" s="5">
        <f ca="1">S0*EXP((μ-0.5*σ*σ)*T+σ*SQRT(T)*$C1420)</f>
        <v>0.67398218307383606</v>
      </c>
      <c r="E1420" s="5">
        <f ca="1">MAX(0,CP*(D1420-K))</f>
        <v>0</v>
      </c>
      <c r="F1420" s="4">
        <f ca="1">(CP*(D1420-K)&gt;0)*1</f>
        <v>0</v>
      </c>
      <c r="H1420" s="4">
        <v>1405</v>
      </c>
      <c r="I1420" s="3">
        <v>0.66767635816401605</v>
      </c>
      <c r="J1420" s="128">
        <v>1.1772226291518291E-3</v>
      </c>
      <c r="K1420" s="128"/>
      <c r="L1420" s="128">
        <v>0.04</v>
      </c>
      <c r="O1420" s="2"/>
    </row>
    <row r="1421" spans="2:15" x14ac:dyDescent="0.2">
      <c r="B1421" s="1">
        <v>1406</v>
      </c>
      <c r="C1421" s="5">
        <f ca="1">_xlfn.NORM.S.INV(RAND())</f>
        <v>0.63841572457749662</v>
      </c>
      <c r="D1421" s="5">
        <f ca="1">S0*EXP((μ-0.5*σ*σ)*T+σ*SQRT(T)*$C1421)</f>
        <v>0.70767378933559399</v>
      </c>
      <c r="E1421" s="5">
        <f ca="1">MAX(0,CP*(D1421-K))</f>
        <v>0</v>
      </c>
      <c r="F1421" s="4">
        <f ca="1">(CP*(D1421-K)&gt;0)*1</f>
        <v>0</v>
      </c>
      <c r="H1421" s="4">
        <v>1406</v>
      </c>
      <c r="I1421" s="3">
        <v>0.66763037545560611</v>
      </c>
      <c r="J1421" s="128">
        <v>1.2541029319097163E-3</v>
      </c>
      <c r="K1421" s="128"/>
      <c r="L1421" s="128">
        <v>4.1200000000000001E-2</v>
      </c>
      <c r="O1421" s="2"/>
    </row>
    <row r="1422" spans="2:15" x14ac:dyDescent="0.2">
      <c r="B1422" s="1">
        <v>1407</v>
      </c>
      <c r="C1422" s="5">
        <f ca="1">_xlfn.NORM.S.INV(RAND())</f>
        <v>6.4899413138400034E-3</v>
      </c>
      <c r="D1422" s="5">
        <f ca="1">S0*EXP((μ-0.5*σ*σ)*T+σ*SQRT(T)*$C1422)</f>
        <v>0.66493099872252304</v>
      </c>
      <c r="E1422" s="5">
        <f ca="1">MAX(0,CP*(D1422-K))</f>
        <v>0</v>
      </c>
      <c r="F1422" s="4">
        <f ca="1">(CP*(D1422-K)&gt;0)*1</f>
        <v>0</v>
      </c>
      <c r="H1422" s="4">
        <v>1407</v>
      </c>
      <c r="I1422" s="3">
        <v>0.66781596675160315</v>
      </c>
      <c r="J1422" s="128">
        <v>1.4419322494419731E-3</v>
      </c>
      <c r="K1422" s="128"/>
      <c r="L1422" s="128">
        <v>4.3999999999999997E-2</v>
      </c>
      <c r="O1422" s="2"/>
    </row>
    <row r="1423" spans="2:15" x14ac:dyDescent="0.2">
      <c r="B1423" s="1">
        <v>1408</v>
      </c>
      <c r="C1423" s="5">
        <f ca="1">_xlfn.NORM.S.INV(RAND())</f>
        <v>0.92076364780179665</v>
      </c>
      <c r="D1423" s="5">
        <f ca="1">S0*EXP((μ-0.5*σ*σ)*T+σ*SQRT(T)*$C1423)</f>
        <v>0.72764930288875906</v>
      </c>
      <c r="E1423" s="5">
        <f ca="1">MAX(0,CP*(D1423-K))</f>
        <v>0</v>
      </c>
      <c r="F1423" s="4">
        <f ca="1">(CP*(D1423-K)&gt;0)*1</f>
        <v>0</v>
      </c>
      <c r="H1423" s="4">
        <v>1408</v>
      </c>
      <c r="I1423" s="3">
        <v>0.66793639612750311</v>
      </c>
      <c r="J1423" s="128">
        <v>1.6341686903537799E-3</v>
      </c>
      <c r="K1423" s="128"/>
      <c r="L1423" s="128">
        <v>4.5999999999999999E-2</v>
      </c>
      <c r="O1423" s="2"/>
    </row>
    <row r="1424" spans="2:15" x14ac:dyDescent="0.2">
      <c r="B1424" s="1">
        <v>1409</v>
      </c>
      <c r="C1424" s="5">
        <f ca="1">_xlfn.NORM.S.INV(RAND())</f>
        <v>-0.25471678594741815</v>
      </c>
      <c r="D1424" s="5">
        <f ca="1">S0*EXP((μ-0.5*σ*σ)*T+σ*SQRT(T)*$C1424)</f>
        <v>0.64802648253855044</v>
      </c>
      <c r="E1424" s="5">
        <f ca="1">MAX(0,CP*(D1424-K))</f>
        <v>0</v>
      </c>
      <c r="F1424" s="4">
        <f ca="1">(CP*(D1424-K)&gt;0)*1</f>
        <v>0</v>
      </c>
      <c r="H1424" s="4">
        <v>1409</v>
      </c>
      <c r="I1424" s="3">
        <v>0.66774148450294002</v>
      </c>
      <c r="J1424" s="128">
        <v>1.3220026307946906E-3</v>
      </c>
      <c r="K1424" s="128"/>
      <c r="L1424" s="128">
        <v>4.2599999999999999E-2</v>
      </c>
      <c r="O1424" s="2"/>
    </row>
    <row r="1425" spans="2:15" x14ac:dyDescent="0.2">
      <c r="B1425" s="1">
        <v>1410</v>
      </c>
      <c r="C1425" s="5">
        <f ca="1">_xlfn.NORM.S.INV(RAND())</f>
        <v>-0.10122735314117588</v>
      </c>
      <c r="D1425" s="5">
        <f ca="1">S0*EXP((μ-0.5*σ*σ)*T+σ*SQRT(T)*$C1425)</f>
        <v>0.65790707532684156</v>
      </c>
      <c r="E1425" s="5">
        <f ca="1">MAX(0,CP*(D1425-K))</f>
        <v>0</v>
      </c>
      <c r="F1425" s="4">
        <f ca="1">(CP*(D1425-K)&gt;0)*1</f>
        <v>0</v>
      </c>
      <c r="H1425" s="4">
        <v>1410</v>
      </c>
      <c r="I1425" s="3">
        <v>0.66778048306474491</v>
      </c>
      <c r="J1425" s="128">
        <v>1.4306805172140977E-3</v>
      </c>
      <c r="K1425" s="128"/>
      <c r="L1425" s="128">
        <v>4.2200000000000001E-2</v>
      </c>
      <c r="O1425" s="2"/>
    </row>
    <row r="1426" spans="2:15" x14ac:dyDescent="0.2">
      <c r="B1426" s="1">
        <v>1411</v>
      </c>
      <c r="C1426" s="5">
        <f ca="1">_xlfn.NORM.S.INV(RAND())</f>
        <v>-1.3811290169504133</v>
      </c>
      <c r="D1426" s="5">
        <f ca="1">S0*EXP((μ-0.5*σ*σ)*T+σ*SQRT(T)*$C1426)</f>
        <v>0.57991493668117033</v>
      </c>
      <c r="E1426" s="5">
        <f ca="1">MAX(0,CP*(D1426-K))</f>
        <v>0</v>
      </c>
      <c r="F1426" s="4">
        <f ca="1">(CP*(D1426-K)&gt;0)*1</f>
        <v>0</v>
      </c>
      <c r="H1426" s="4">
        <v>1411</v>
      </c>
      <c r="I1426" s="3">
        <v>0.66781911520351345</v>
      </c>
      <c r="J1426" s="128">
        <v>1.4046688694432743E-3</v>
      </c>
      <c r="K1426" s="128"/>
      <c r="L1426" s="128">
        <v>4.2000000000000003E-2</v>
      </c>
      <c r="O1426" s="2"/>
    </row>
    <row r="1427" spans="2:15" x14ac:dyDescent="0.2">
      <c r="B1427" s="1">
        <v>1412</v>
      </c>
      <c r="C1427" s="5">
        <f ca="1">_xlfn.NORM.S.INV(RAND())</f>
        <v>-0.5052821579149388</v>
      </c>
      <c r="D1427" s="5">
        <f ca="1">S0*EXP((μ-0.5*σ*σ)*T+σ*SQRT(T)*$C1427)</f>
        <v>0.6322146405453809</v>
      </c>
      <c r="E1427" s="5">
        <f ca="1">MAX(0,CP*(D1427-K))</f>
        <v>0</v>
      </c>
      <c r="F1427" s="4">
        <f ca="1">(CP*(D1427-K)&gt;0)*1</f>
        <v>0</v>
      </c>
      <c r="H1427" s="4">
        <v>1412</v>
      </c>
      <c r="I1427" s="3">
        <v>0.6678548215713187</v>
      </c>
      <c r="J1427" s="128">
        <v>1.6094505069360781E-3</v>
      </c>
      <c r="K1427" s="128"/>
      <c r="L1427" s="128">
        <v>4.5199999999999997E-2</v>
      </c>
      <c r="O1427" s="2"/>
    </row>
    <row r="1428" spans="2:15" x14ac:dyDescent="0.2">
      <c r="B1428" s="1">
        <v>1413</v>
      </c>
      <c r="C1428" s="5">
        <f ca="1">_xlfn.NORM.S.INV(RAND())</f>
        <v>1.1113413073636533</v>
      </c>
      <c r="D1428" s="5">
        <f ca="1">S0*EXP((μ-0.5*σ*σ)*T+σ*SQRT(T)*$C1428)</f>
        <v>0.74145003421981148</v>
      </c>
      <c r="E1428" s="5">
        <f ca="1">MAX(0,CP*(D1428-K))</f>
        <v>0</v>
      </c>
      <c r="F1428" s="4">
        <f ca="1">(CP*(D1428-K)&gt;0)*1</f>
        <v>0</v>
      </c>
      <c r="H1428" s="4">
        <v>1413</v>
      </c>
      <c r="I1428" s="3">
        <v>0.66781047097838331</v>
      </c>
      <c r="J1428" s="128">
        <v>1.4568775396087592E-3</v>
      </c>
      <c r="K1428" s="128"/>
      <c r="L1428" s="128">
        <v>4.4600000000000001E-2</v>
      </c>
      <c r="O1428" s="2"/>
    </row>
    <row r="1429" spans="2:15" x14ac:dyDescent="0.2">
      <c r="B1429" s="1">
        <v>1414</v>
      </c>
      <c r="C1429" s="5">
        <f ca="1">_xlfn.NORM.S.INV(RAND())</f>
        <v>0.32165790666988214</v>
      </c>
      <c r="D1429" s="5">
        <f ca="1">S0*EXP((μ-0.5*σ*σ)*T+σ*SQRT(T)*$C1429)</f>
        <v>0.68591580448134293</v>
      </c>
      <c r="E1429" s="5">
        <f ca="1">MAX(0,CP*(D1429-K))</f>
        <v>0</v>
      </c>
      <c r="F1429" s="4">
        <f ca="1">(CP*(D1429-K)&gt;0)*1</f>
        <v>0</v>
      </c>
      <c r="H1429" s="4">
        <v>1414</v>
      </c>
      <c r="I1429" s="3">
        <v>0.66774029142499358</v>
      </c>
      <c r="J1429" s="128">
        <v>1.3370458791311542E-3</v>
      </c>
      <c r="K1429" s="128"/>
      <c r="L1429" s="128">
        <v>3.8600000000000002E-2</v>
      </c>
      <c r="O1429" s="2"/>
    </row>
    <row r="1430" spans="2:15" x14ac:dyDescent="0.2">
      <c r="B1430" s="1">
        <v>1415</v>
      </c>
      <c r="C1430" s="5">
        <f ca="1">_xlfn.NORM.S.INV(RAND())</f>
        <v>-0.10879110791736285</v>
      </c>
      <c r="D1430" s="5">
        <f ca="1">S0*EXP((μ-0.5*σ*σ)*T+σ*SQRT(T)*$C1430)</f>
        <v>0.6574166625201151</v>
      </c>
      <c r="E1430" s="5">
        <f ca="1">MAX(0,CP*(D1430-K))</f>
        <v>0</v>
      </c>
      <c r="F1430" s="4">
        <f ca="1">(CP*(D1430-K)&gt;0)*1</f>
        <v>0</v>
      </c>
      <c r="H1430" s="4">
        <v>1415</v>
      </c>
      <c r="I1430" s="3">
        <v>0.66779888196661608</v>
      </c>
      <c r="J1430" s="128">
        <v>1.3852636317880022E-3</v>
      </c>
      <c r="K1430" s="128"/>
      <c r="L1430" s="128">
        <v>4.2200000000000001E-2</v>
      </c>
      <c r="O1430" s="2"/>
    </row>
    <row r="1431" spans="2:15" x14ac:dyDescent="0.2">
      <c r="B1431" s="1">
        <v>1416</v>
      </c>
      <c r="C1431" s="5">
        <f ca="1">_xlfn.NORM.S.INV(RAND())</f>
        <v>-0.12522726070432388</v>
      </c>
      <c r="D1431" s="5">
        <f ca="1">S0*EXP((μ-0.5*σ*σ)*T+σ*SQRT(T)*$C1431)</f>
        <v>0.65635224802541214</v>
      </c>
      <c r="E1431" s="5">
        <f ca="1">MAX(0,CP*(D1431-K))</f>
        <v>0</v>
      </c>
      <c r="F1431" s="4">
        <f ca="1">(CP*(D1431-K)&gt;0)*1</f>
        <v>0</v>
      </c>
      <c r="H1431" s="4">
        <v>1416</v>
      </c>
      <c r="I1431" s="3">
        <v>0.66767323364289988</v>
      </c>
      <c r="J1431" s="128">
        <v>1.3683022192462028E-3</v>
      </c>
      <c r="K1431" s="128"/>
      <c r="L1431" s="128">
        <v>3.8399999999999997E-2</v>
      </c>
      <c r="O1431" s="2"/>
    </row>
    <row r="1432" spans="2:15" x14ac:dyDescent="0.2">
      <c r="B1432" s="1">
        <v>1417</v>
      </c>
      <c r="C1432" s="5">
        <f ca="1">_xlfn.NORM.S.INV(RAND())</f>
        <v>0.15062759592350322</v>
      </c>
      <c r="D1432" s="5">
        <f ca="1">S0*EXP((μ-0.5*σ*σ)*T+σ*SQRT(T)*$C1432)</f>
        <v>0.67444723253480399</v>
      </c>
      <c r="E1432" s="5">
        <f ca="1">MAX(0,CP*(D1432-K))</f>
        <v>0</v>
      </c>
      <c r="F1432" s="4">
        <f ca="1">(CP*(D1432-K)&gt;0)*1</f>
        <v>0</v>
      </c>
      <c r="H1432" s="4">
        <v>1417</v>
      </c>
      <c r="I1432" s="3">
        <v>0.66762189765733204</v>
      </c>
      <c r="J1432" s="128">
        <v>1.2581284222307569E-3</v>
      </c>
      <c r="K1432" s="128"/>
      <c r="L1432" s="128">
        <v>3.8800000000000001E-2</v>
      </c>
      <c r="O1432" s="2"/>
    </row>
    <row r="1433" spans="2:15" x14ac:dyDescent="0.2">
      <c r="B1433" s="1">
        <v>1418</v>
      </c>
      <c r="C1433" s="5">
        <f ca="1">_xlfn.NORM.S.INV(RAND())</f>
        <v>-1.3172406855673877</v>
      </c>
      <c r="D1433" s="5">
        <f ca="1">S0*EXP((μ-0.5*σ*σ)*T+σ*SQRT(T)*$C1433)</f>
        <v>0.58357910993257434</v>
      </c>
      <c r="E1433" s="5">
        <f ca="1">MAX(0,CP*(D1433-K))</f>
        <v>0</v>
      </c>
      <c r="F1433" s="4">
        <f ca="1">(CP*(D1433-K)&gt;0)*1</f>
        <v>0</v>
      </c>
      <c r="H1433" s="4">
        <v>1418</v>
      </c>
      <c r="I1433" s="3">
        <v>0.66774955149254744</v>
      </c>
      <c r="J1433" s="128">
        <v>1.4259586675209829E-3</v>
      </c>
      <c r="K1433" s="128"/>
      <c r="L1433" s="128">
        <v>4.1000000000000002E-2</v>
      </c>
      <c r="O1433" s="2"/>
    </row>
    <row r="1434" spans="2:15" x14ac:dyDescent="0.2">
      <c r="B1434" s="1">
        <v>1419</v>
      </c>
      <c r="C1434" s="5">
        <f ca="1">_xlfn.NORM.S.INV(RAND())</f>
        <v>1.4745729592309891</v>
      </c>
      <c r="D1434" s="5">
        <f ca="1">S0*EXP((μ-0.5*σ*σ)*T+σ*SQRT(T)*$C1434)</f>
        <v>0.76848255608036187</v>
      </c>
      <c r="E1434" s="5">
        <f ca="1">MAX(0,CP*(D1434-K))</f>
        <v>0</v>
      </c>
      <c r="F1434" s="4">
        <f ca="1">(CP*(D1434-K)&gt;0)*1</f>
        <v>0</v>
      </c>
      <c r="H1434" s="4">
        <v>1419</v>
      </c>
      <c r="I1434" s="3">
        <v>0.66772299553718217</v>
      </c>
      <c r="J1434" s="128">
        <v>1.3756040727983193E-3</v>
      </c>
      <c r="K1434" s="128"/>
      <c r="L1434" s="128">
        <v>4.3200000000000002E-2</v>
      </c>
      <c r="O1434" s="2"/>
    </row>
    <row r="1435" spans="2:15" x14ac:dyDescent="0.2">
      <c r="B1435" s="1">
        <v>1420</v>
      </c>
      <c r="C1435" s="5">
        <f ca="1">_xlfn.NORM.S.INV(RAND())</f>
        <v>-0.45200767603531861</v>
      </c>
      <c r="D1435" s="5">
        <f ca="1">S0*EXP((μ-0.5*σ*σ)*T+σ*SQRT(T)*$C1435)</f>
        <v>0.63554389127177457</v>
      </c>
      <c r="E1435" s="5">
        <f ca="1">MAX(0,CP*(D1435-K))</f>
        <v>0</v>
      </c>
      <c r="F1435" s="4">
        <f ca="1">(CP*(D1435-K)&gt;0)*1</f>
        <v>0</v>
      </c>
      <c r="H1435" s="4">
        <v>1420</v>
      </c>
      <c r="I1435" s="3">
        <v>0.66780185634509703</v>
      </c>
      <c r="J1435" s="128">
        <v>1.3665172644737589E-3</v>
      </c>
      <c r="K1435" s="128"/>
      <c r="L1435" s="128">
        <v>4.1599999999999998E-2</v>
      </c>
      <c r="O1435" s="2"/>
    </row>
    <row r="1436" spans="2:15" x14ac:dyDescent="0.2">
      <c r="B1436" s="1">
        <v>1421</v>
      </c>
      <c r="C1436" s="5">
        <f ca="1">_xlfn.NORM.S.INV(RAND())</f>
        <v>1.058306465513476</v>
      </c>
      <c r="D1436" s="5">
        <f ca="1">S0*EXP((μ-0.5*σ*σ)*T+σ*SQRT(T)*$C1436)</f>
        <v>0.73758342739478189</v>
      </c>
      <c r="E1436" s="5">
        <f ca="1">MAX(0,CP*(D1436-K))</f>
        <v>0</v>
      </c>
      <c r="F1436" s="4">
        <f ca="1">(CP*(D1436-K)&gt;0)*1</f>
        <v>0</v>
      </c>
      <c r="H1436" s="4">
        <v>1421</v>
      </c>
      <c r="I1436" s="3">
        <v>0.66777368655278813</v>
      </c>
      <c r="J1436" s="128">
        <v>1.3602284799661309E-3</v>
      </c>
      <c r="K1436" s="128"/>
      <c r="L1436" s="128">
        <v>4.1799999999999997E-2</v>
      </c>
      <c r="O1436" s="2"/>
    </row>
    <row r="1437" spans="2:15" x14ac:dyDescent="0.2">
      <c r="B1437" s="1">
        <v>1422</v>
      </c>
      <c r="C1437" s="5">
        <f ca="1">_xlfn.NORM.S.INV(RAND())</f>
        <v>-1.5515534872800907</v>
      </c>
      <c r="D1437" s="5">
        <f ca="1">S0*EXP((μ-0.5*σ*σ)*T+σ*SQRT(T)*$C1437)</f>
        <v>0.57025276766581678</v>
      </c>
      <c r="E1437" s="5">
        <f ca="1">MAX(0,CP*(D1437-K))</f>
        <v>0</v>
      </c>
      <c r="F1437" s="4">
        <f ca="1">(CP*(D1437-K)&gt;0)*1</f>
        <v>0</v>
      </c>
      <c r="H1437" s="4">
        <v>1422</v>
      </c>
      <c r="I1437" s="3">
        <v>0.66774903670988617</v>
      </c>
      <c r="J1437" s="128">
        <v>1.3739020144771543E-3</v>
      </c>
      <c r="K1437" s="128"/>
      <c r="L1437" s="128">
        <v>4.4400000000000002E-2</v>
      </c>
      <c r="O1437" s="2"/>
    </row>
    <row r="1438" spans="2:15" x14ac:dyDescent="0.2">
      <c r="B1438" s="1">
        <v>1423</v>
      </c>
      <c r="C1438" s="5">
        <f ca="1">_xlfn.NORM.S.INV(RAND())</f>
        <v>-1.1643542103296387</v>
      </c>
      <c r="D1438" s="5">
        <f ca="1">S0*EXP((μ-0.5*σ*σ)*T+σ*SQRT(T)*$C1438)</f>
        <v>0.59244184220698393</v>
      </c>
      <c r="E1438" s="5">
        <f ca="1">MAX(0,CP*(D1438-K))</f>
        <v>0</v>
      </c>
      <c r="F1438" s="4">
        <f ca="1">(CP*(D1438-K)&gt;0)*1</f>
        <v>0</v>
      </c>
      <c r="H1438" s="4">
        <v>1423</v>
      </c>
      <c r="I1438" s="3">
        <v>0.66778525766681018</v>
      </c>
      <c r="J1438" s="128">
        <v>1.4076510380954001E-3</v>
      </c>
      <c r="K1438" s="128"/>
      <c r="L1438" s="128">
        <v>4.3799999999999999E-2</v>
      </c>
      <c r="O1438" s="2"/>
    </row>
    <row r="1439" spans="2:15" x14ac:dyDescent="0.2">
      <c r="B1439" s="1">
        <v>1424</v>
      </c>
      <c r="C1439" s="5">
        <f ca="1">_xlfn.NORM.S.INV(RAND())</f>
        <v>-1.5620267432755341</v>
      </c>
      <c r="D1439" s="5">
        <f ca="1">S0*EXP((μ-0.5*σ*σ)*T+σ*SQRT(T)*$C1439)</f>
        <v>0.56966426741917842</v>
      </c>
      <c r="E1439" s="5">
        <f ca="1">MAX(0,CP*(D1439-K))</f>
        <v>0</v>
      </c>
      <c r="F1439" s="4">
        <f ca="1">(CP*(D1439-K)&gt;0)*1</f>
        <v>0</v>
      </c>
      <c r="H1439" s="4">
        <v>1424</v>
      </c>
      <c r="I1439" s="3">
        <v>0.6676727391081827</v>
      </c>
      <c r="J1439" s="128">
        <v>1.2810886838281789E-3</v>
      </c>
      <c r="K1439" s="128"/>
      <c r="L1439" s="128">
        <v>4.1000000000000002E-2</v>
      </c>
      <c r="O1439" s="2"/>
    </row>
    <row r="1440" spans="2:15" x14ac:dyDescent="0.2">
      <c r="B1440" s="1">
        <v>1425</v>
      </c>
      <c r="C1440" s="5">
        <f ca="1">_xlfn.NORM.S.INV(RAND())</f>
        <v>2.1561473889307687</v>
      </c>
      <c r="D1440" s="5">
        <f ca="1">S0*EXP((μ-0.5*σ*σ)*T+σ*SQRT(T)*$C1440)</f>
        <v>0.82189492837723643</v>
      </c>
      <c r="E1440" s="5">
        <f ca="1">MAX(0,CP*(D1440-K))</f>
        <v>3.3694928377236422E-2</v>
      </c>
      <c r="F1440" s="4">
        <f ca="1">(CP*(D1440-K)&gt;0)*1</f>
        <v>1</v>
      </c>
      <c r="H1440" s="4">
        <v>1425</v>
      </c>
      <c r="I1440" s="3">
        <v>0.66765053292574561</v>
      </c>
      <c r="J1440" s="128">
        <v>1.3646363799780198E-3</v>
      </c>
      <c r="K1440" s="128"/>
      <c r="L1440" s="128">
        <v>3.9800000000000002E-2</v>
      </c>
      <c r="O1440" s="2"/>
    </row>
    <row r="1441" spans="2:15" x14ac:dyDescent="0.2">
      <c r="B1441" s="1">
        <v>1426</v>
      </c>
      <c r="C1441" s="5">
        <f ca="1">_xlfn.NORM.S.INV(RAND())</f>
        <v>-6.6234649833700726E-2</v>
      </c>
      <c r="D1441" s="5">
        <f ca="1">S0*EXP((μ-0.5*σ*σ)*T+σ*SQRT(T)*$C1441)</f>
        <v>0.66018067035606465</v>
      </c>
      <c r="E1441" s="5">
        <f ca="1">MAX(0,CP*(D1441-K))</f>
        <v>0</v>
      </c>
      <c r="F1441" s="4">
        <f ca="1">(CP*(D1441-K)&gt;0)*1</f>
        <v>0</v>
      </c>
      <c r="H1441" s="4">
        <v>1426</v>
      </c>
      <c r="I1441" s="3">
        <v>0.6678009088313811</v>
      </c>
      <c r="J1441" s="128">
        <v>1.479263594918257E-3</v>
      </c>
      <c r="K1441" s="128"/>
      <c r="L1441" s="128">
        <v>4.3400000000000001E-2</v>
      </c>
      <c r="O1441" s="2"/>
    </row>
    <row r="1442" spans="2:15" x14ac:dyDescent="0.2">
      <c r="B1442" s="1">
        <v>1427</v>
      </c>
      <c r="C1442" s="5">
        <f ca="1">_xlfn.NORM.S.INV(RAND())</f>
        <v>1.1085746151603224</v>
      </c>
      <c r="D1442" s="5">
        <f ca="1">S0*EXP((μ-0.5*σ*σ)*T+σ*SQRT(T)*$C1442)</f>
        <v>0.74124782300962511</v>
      </c>
      <c r="E1442" s="5">
        <f ca="1">MAX(0,CP*(D1442-K))</f>
        <v>0</v>
      </c>
      <c r="F1442" s="4">
        <f ca="1">(CP*(D1442-K)&gt;0)*1</f>
        <v>0</v>
      </c>
      <c r="H1442" s="4">
        <v>1427</v>
      </c>
      <c r="I1442" s="3">
        <v>0.66785047223299165</v>
      </c>
      <c r="J1442" s="128">
        <v>1.4049810150977213E-3</v>
      </c>
      <c r="K1442" s="128"/>
      <c r="L1442" s="128">
        <v>4.2200000000000001E-2</v>
      </c>
      <c r="O1442" s="2"/>
    </row>
    <row r="1443" spans="2:15" x14ac:dyDescent="0.2">
      <c r="B1443" s="1">
        <v>1428</v>
      </c>
      <c r="C1443" s="5">
        <f ca="1">_xlfn.NORM.S.INV(RAND())</f>
        <v>-0.29338503234359992</v>
      </c>
      <c r="D1443" s="5">
        <f ca="1">S0*EXP((μ-0.5*σ*σ)*T+σ*SQRT(T)*$C1443)</f>
        <v>0.64556077589452798</v>
      </c>
      <c r="E1443" s="5">
        <f ca="1">MAX(0,CP*(D1443-K))</f>
        <v>0</v>
      </c>
      <c r="F1443" s="4">
        <f ca="1">(CP*(D1443-K)&gt;0)*1</f>
        <v>0</v>
      </c>
      <c r="H1443" s="4">
        <v>1428</v>
      </c>
      <c r="I1443" s="3">
        <v>0.6678522577792001</v>
      </c>
      <c r="J1443" s="128">
        <v>1.3953045090972192E-3</v>
      </c>
      <c r="K1443" s="128"/>
      <c r="L1443" s="128">
        <v>4.2599999999999999E-2</v>
      </c>
      <c r="O1443" s="2"/>
    </row>
    <row r="1444" spans="2:15" x14ac:dyDescent="0.2">
      <c r="B1444" s="1">
        <v>1429</v>
      </c>
      <c r="C1444" s="5">
        <f ca="1">_xlfn.NORM.S.INV(RAND())</f>
        <v>-0.62430004560460695</v>
      </c>
      <c r="D1444" s="5">
        <f ca="1">S0*EXP((μ-0.5*σ*σ)*T+σ*SQRT(T)*$C1444)</f>
        <v>0.62483979270342149</v>
      </c>
      <c r="E1444" s="5">
        <f ca="1">MAX(0,CP*(D1444-K))</f>
        <v>0</v>
      </c>
      <c r="F1444" s="4">
        <f ca="1">(CP*(D1444-K)&gt;0)*1</f>
        <v>0</v>
      </c>
      <c r="H1444" s="4">
        <v>1429</v>
      </c>
      <c r="I1444" s="3">
        <v>0.66768407529081819</v>
      </c>
      <c r="J1444" s="128">
        <v>1.255826863614996E-3</v>
      </c>
      <c r="K1444" s="128"/>
      <c r="L1444" s="128">
        <v>3.8800000000000001E-2</v>
      </c>
      <c r="O1444" s="2"/>
    </row>
    <row r="1445" spans="2:15" x14ac:dyDescent="0.2">
      <c r="B1445" s="1">
        <v>1430</v>
      </c>
      <c r="C1445" s="5">
        <f ca="1">_xlfn.NORM.S.INV(RAND())</f>
        <v>-0.51034706978545197</v>
      </c>
      <c r="D1445" s="5">
        <f ca="1">S0*EXP((μ-0.5*σ*σ)*T+σ*SQRT(T)*$C1445)</f>
        <v>0.63189903128513603</v>
      </c>
      <c r="E1445" s="5">
        <f ca="1">MAX(0,CP*(D1445-K))</f>
        <v>0</v>
      </c>
      <c r="F1445" s="4">
        <f ca="1">(CP*(D1445-K)&gt;0)*1</f>
        <v>0</v>
      </c>
      <c r="H1445" s="4">
        <v>1430</v>
      </c>
      <c r="I1445" s="3">
        <v>0.66785976809657599</v>
      </c>
      <c r="J1445" s="128">
        <v>1.4178531151602519E-3</v>
      </c>
      <c r="K1445" s="128"/>
      <c r="L1445" s="128">
        <v>4.2599999999999999E-2</v>
      </c>
      <c r="O1445" s="2"/>
    </row>
    <row r="1446" spans="2:15" x14ac:dyDescent="0.2">
      <c r="B1446" s="1">
        <v>1431</v>
      </c>
      <c r="C1446" s="5">
        <f ca="1">_xlfn.NORM.S.INV(RAND())</f>
        <v>0.51061170885261153</v>
      </c>
      <c r="D1446" s="5">
        <f ca="1">S0*EXP((μ-0.5*σ*σ)*T+σ*SQRT(T)*$C1446)</f>
        <v>0.69881312721885069</v>
      </c>
      <c r="E1446" s="5">
        <f ca="1">MAX(0,CP*(D1446-K))</f>
        <v>0</v>
      </c>
      <c r="F1446" s="4">
        <f ca="1">(CP*(D1446-K)&gt;0)*1</f>
        <v>0</v>
      </c>
      <c r="H1446" s="4">
        <v>1431</v>
      </c>
      <c r="I1446" s="3">
        <v>0.66796484863798311</v>
      </c>
      <c r="J1446" s="128">
        <v>1.5068529467081484E-3</v>
      </c>
      <c r="K1446" s="128"/>
      <c r="L1446" s="128">
        <v>4.3400000000000001E-2</v>
      </c>
      <c r="O1446" s="2"/>
    </row>
    <row r="1447" spans="2:15" x14ac:dyDescent="0.2">
      <c r="B1447" s="1">
        <v>1432</v>
      </c>
      <c r="C1447" s="5">
        <f ca="1">_xlfn.NORM.S.INV(RAND())</f>
        <v>0.65432572063466732</v>
      </c>
      <c r="D1447" s="5">
        <f ca="1">S0*EXP((μ-0.5*σ*σ)*T+σ*SQRT(T)*$C1447)</f>
        <v>0.70878466524532902</v>
      </c>
      <c r="E1447" s="5">
        <f ca="1">MAX(0,CP*(D1447-K))</f>
        <v>0</v>
      </c>
      <c r="F1447" s="4">
        <f ca="1">(CP*(D1447-K)&gt;0)*1</f>
        <v>0</v>
      </c>
      <c r="H1447" s="4">
        <v>1432</v>
      </c>
      <c r="I1447" s="3">
        <v>0.6676026942340938</v>
      </c>
      <c r="J1447" s="128">
        <v>1.1983434435780312E-3</v>
      </c>
      <c r="K1447" s="128"/>
      <c r="L1447" s="128">
        <v>3.5799999999999998E-2</v>
      </c>
      <c r="O1447" s="2"/>
    </row>
    <row r="1448" spans="2:15" x14ac:dyDescent="0.2">
      <c r="B1448" s="1">
        <v>1433</v>
      </c>
      <c r="C1448" s="5">
        <f ca="1">_xlfn.NORM.S.INV(RAND())</f>
        <v>-0.12482233884711559</v>
      </c>
      <c r="D1448" s="5">
        <f ca="1">S0*EXP((μ-0.5*σ*σ)*T+σ*SQRT(T)*$C1448)</f>
        <v>0.6563784502754304</v>
      </c>
      <c r="E1448" s="5">
        <f ca="1">MAX(0,CP*(D1448-K))</f>
        <v>0</v>
      </c>
      <c r="F1448" s="4">
        <f ca="1">(CP*(D1448-K)&gt;0)*1</f>
        <v>0</v>
      </c>
      <c r="H1448" s="4">
        <v>1433</v>
      </c>
      <c r="I1448" s="3">
        <v>0.6676288692126694</v>
      </c>
      <c r="J1448" s="128">
        <v>1.323068313795256E-3</v>
      </c>
      <c r="K1448" s="128"/>
      <c r="L1448" s="128">
        <v>3.78E-2</v>
      </c>
      <c r="O1448" s="2"/>
    </row>
    <row r="1449" spans="2:15" x14ac:dyDescent="0.2">
      <c r="B1449" s="1">
        <v>1434</v>
      </c>
      <c r="C1449" s="5">
        <f ca="1">_xlfn.NORM.S.INV(RAND())</f>
        <v>-0.98420691278315164</v>
      </c>
      <c r="D1449" s="5">
        <f ca="1">S0*EXP((μ-0.5*σ*σ)*T+σ*SQRT(T)*$C1449)</f>
        <v>0.60305775876807333</v>
      </c>
      <c r="E1449" s="5">
        <f ca="1">MAX(0,CP*(D1449-K))</f>
        <v>0</v>
      </c>
      <c r="F1449" s="4">
        <f ca="1">(CP*(D1449-K)&gt;0)*1</f>
        <v>0</v>
      </c>
      <c r="H1449" s="4">
        <v>1434</v>
      </c>
      <c r="I1449" s="3">
        <v>0.66772767622818852</v>
      </c>
      <c r="J1449" s="128">
        <v>1.3431399531963213E-3</v>
      </c>
      <c r="K1449" s="128"/>
      <c r="L1449" s="128">
        <v>3.9600000000000003E-2</v>
      </c>
      <c r="O1449" s="2"/>
    </row>
    <row r="1450" spans="2:15" x14ac:dyDescent="0.2">
      <c r="B1450" s="1">
        <v>1435</v>
      </c>
      <c r="C1450" s="5">
        <f ca="1">_xlfn.NORM.S.INV(RAND())</f>
        <v>1.0308251851751673</v>
      </c>
      <c r="D1450" s="5">
        <f ca="1">S0*EXP((μ-0.5*σ*σ)*T+σ*SQRT(T)*$C1450)</f>
        <v>0.73558778993827889</v>
      </c>
      <c r="E1450" s="5">
        <f ca="1">MAX(0,CP*(D1450-K))</f>
        <v>0</v>
      </c>
      <c r="F1450" s="4">
        <f ca="1">(CP*(D1450-K)&gt;0)*1</f>
        <v>0</v>
      </c>
      <c r="H1450" s="4">
        <v>1435</v>
      </c>
      <c r="I1450" s="3">
        <v>0.66762606349903131</v>
      </c>
      <c r="J1450" s="128">
        <v>1.1917972259867971E-3</v>
      </c>
      <c r="K1450" s="128"/>
      <c r="L1450" s="128">
        <v>3.9199999999999999E-2</v>
      </c>
      <c r="O1450" s="2"/>
    </row>
    <row r="1451" spans="2:15" x14ac:dyDescent="0.2">
      <c r="B1451" s="1">
        <v>1436</v>
      </c>
      <c r="C1451" s="5">
        <f ca="1">_xlfn.NORM.S.INV(RAND())</f>
        <v>-1.227921109343868</v>
      </c>
      <c r="D1451" s="5">
        <f ca="1">S0*EXP((μ-0.5*σ*σ)*T+σ*SQRT(T)*$C1451)</f>
        <v>0.588740678109553</v>
      </c>
      <c r="E1451" s="5">
        <f ca="1">MAX(0,CP*(D1451-K))</f>
        <v>0</v>
      </c>
      <c r="F1451" s="4">
        <f ca="1">(CP*(D1451-K)&gt;0)*1</f>
        <v>0</v>
      </c>
      <c r="H1451" s="4">
        <v>1436</v>
      </c>
      <c r="I1451" s="3">
        <v>0.66768500616987159</v>
      </c>
      <c r="J1451" s="128">
        <v>1.3509911676942974E-3</v>
      </c>
      <c r="K1451" s="128"/>
      <c r="L1451" s="128">
        <v>4.1000000000000002E-2</v>
      </c>
      <c r="O1451" s="2"/>
    </row>
    <row r="1452" spans="2:15" x14ac:dyDescent="0.2">
      <c r="B1452" s="1">
        <v>1437</v>
      </c>
      <c r="C1452" s="5">
        <f ca="1">_xlfn.NORM.S.INV(RAND())</f>
        <v>1.0675774499687494</v>
      </c>
      <c r="D1452" s="5">
        <f ca="1">S0*EXP((μ-0.5*σ*σ)*T+σ*SQRT(T)*$C1452)</f>
        <v>0.73825788896898614</v>
      </c>
      <c r="E1452" s="5">
        <f ca="1">MAX(0,CP*(D1452-K))</f>
        <v>0</v>
      </c>
      <c r="F1452" s="4">
        <f ca="1">(CP*(D1452-K)&gt;0)*1</f>
        <v>0</v>
      </c>
      <c r="H1452" s="4">
        <v>1437</v>
      </c>
      <c r="I1452" s="3">
        <v>0.66770023007877533</v>
      </c>
      <c r="J1452" s="128">
        <v>1.3479122244907118E-3</v>
      </c>
      <c r="K1452" s="128"/>
      <c r="L1452" s="128">
        <v>4.2999999999999997E-2</v>
      </c>
      <c r="O1452" s="2"/>
    </row>
    <row r="1453" spans="2:15" x14ac:dyDescent="0.2">
      <c r="B1453" s="1">
        <v>1438</v>
      </c>
      <c r="C1453" s="5">
        <f ca="1">_xlfn.NORM.S.INV(RAND())</f>
        <v>0.22331207263958322</v>
      </c>
      <c r="D1453" s="5">
        <f ca="1">S0*EXP((μ-0.5*σ*σ)*T+σ*SQRT(T)*$C1453)</f>
        <v>0.67929752943602772</v>
      </c>
      <c r="E1453" s="5">
        <f ca="1">MAX(0,CP*(D1453-K))</f>
        <v>0</v>
      </c>
      <c r="F1453" s="4">
        <f ca="1">(CP*(D1453-K)&gt;0)*1</f>
        <v>0</v>
      </c>
      <c r="H1453" s="4">
        <v>1438</v>
      </c>
      <c r="I1453" s="3">
        <v>0.66774572067664584</v>
      </c>
      <c r="J1453" s="128">
        <v>1.3813360109242354E-3</v>
      </c>
      <c r="K1453" s="128"/>
      <c r="L1453" s="128">
        <v>3.9600000000000003E-2</v>
      </c>
      <c r="O1453" s="2"/>
    </row>
    <row r="1454" spans="2:15" x14ac:dyDescent="0.2">
      <c r="B1454" s="1">
        <v>1439</v>
      </c>
      <c r="C1454" s="5">
        <f ca="1">_xlfn.NORM.S.INV(RAND())</f>
        <v>-0.77332379837620902</v>
      </c>
      <c r="D1454" s="5">
        <f ca="1">S0*EXP((μ-0.5*σ*σ)*T+σ*SQRT(T)*$C1454)</f>
        <v>0.61572683190944455</v>
      </c>
      <c r="E1454" s="5">
        <f ca="1">MAX(0,CP*(D1454-K))</f>
        <v>0</v>
      </c>
      <c r="F1454" s="4">
        <f ca="1">(CP*(D1454-K)&gt;0)*1</f>
        <v>0</v>
      </c>
      <c r="H1454" s="4">
        <v>1439</v>
      </c>
      <c r="I1454" s="3">
        <v>0.66773929684974942</v>
      </c>
      <c r="J1454" s="128">
        <v>1.4412353695396191E-3</v>
      </c>
      <c r="K1454" s="128"/>
      <c r="L1454" s="128">
        <v>4.2200000000000001E-2</v>
      </c>
      <c r="O1454" s="2"/>
    </row>
    <row r="1455" spans="2:15" x14ac:dyDescent="0.2">
      <c r="B1455" s="1">
        <v>1440</v>
      </c>
      <c r="C1455" s="5">
        <f ca="1">_xlfn.NORM.S.INV(RAND())</f>
        <v>-1.3484990955892009</v>
      </c>
      <c r="D1455" s="5">
        <f ca="1">S0*EXP((μ-0.5*σ*σ)*T+σ*SQRT(T)*$C1455)</f>
        <v>0.58178346967593209</v>
      </c>
      <c r="E1455" s="5">
        <f ca="1">MAX(0,CP*(D1455-K))</f>
        <v>0</v>
      </c>
      <c r="F1455" s="4">
        <f ca="1">(CP*(D1455-K)&gt;0)*1</f>
        <v>0</v>
      </c>
      <c r="H1455" s="4">
        <v>1440</v>
      </c>
      <c r="I1455" s="3">
        <v>0.66770374787942421</v>
      </c>
      <c r="J1455" s="128">
        <v>1.365847096970726E-3</v>
      </c>
      <c r="K1455" s="128"/>
      <c r="L1455" s="128">
        <v>4.2200000000000001E-2</v>
      </c>
      <c r="O1455" s="2"/>
    </row>
    <row r="1456" spans="2:15" x14ac:dyDescent="0.2">
      <c r="B1456" s="1">
        <v>1441</v>
      </c>
      <c r="C1456" s="5">
        <f ca="1">_xlfn.NORM.S.INV(RAND())</f>
        <v>0.40071319908978037</v>
      </c>
      <c r="D1456" s="5">
        <f ca="1">S0*EXP((μ-0.5*σ*σ)*T+σ*SQRT(T)*$C1456)</f>
        <v>0.6912826240468728</v>
      </c>
      <c r="E1456" s="5">
        <f ca="1">MAX(0,CP*(D1456-K))</f>
        <v>0</v>
      </c>
      <c r="F1456" s="4">
        <f ca="1">(CP*(D1456-K)&gt;0)*1</f>
        <v>0</v>
      </c>
      <c r="H1456" s="4">
        <v>1441</v>
      </c>
      <c r="I1456" s="3">
        <v>0.66781833621578768</v>
      </c>
      <c r="J1456" s="128">
        <v>1.4949762438904602E-3</v>
      </c>
      <c r="K1456" s="128"/>
      <c r="L1456" s="128">
        <v>4.24E-2</v>
      </c>
      <c r="O1456" s="2"/>
    </row>
    <row r="1457" spans="2:15" x14ac:dyDescent="0.2">
      <c r="B1457" s="1">
        <v>1442</v>
      </c>
      <c r="C1457" s="5">
        <f ca="1">_xlfn.NORM.S.INV(RAND())</f>
        <v>-0.69066178579929105</v>
      </c>
      <c r="D1457" s="5">
        <f ca="1">S0*EXP((μ-0.5*σ*σ)*T+σ*SQRT(T)*$C1457)</f>
        <v>0.62076516185585617</v>
      </c>
      <c r="E1457" s="5">
        <f ca="1">MAX(0,CP*(D1457-K))</f>
        <v>0</v>
      </c>
      <c r="F1457" s="4">
        <f ca="1">(CP*(D1457-K)&gt;0)*1</f>
        <v>0</v>
      </c>
      <c r="H1457" s="4">
        <v>1442</v>
      </c>
      <c r="I1457" s="3">
        <v>0.66778073000583937</v>
      </c>
      <c r="J1457" s="128">
        <v>1.4749097212621931E-3</v>
      </c>
      <c r="K1457" s="128"/>
      <c r="L1457" s="128">
        <v>4.2999999999999997E-2</v>
      </c>
      <c r="O1457" s="2"/>
    </row>
    <row r="1458" spans="2:15" x14ac:dyDescent="0.2">
      <c r="B1458" s="1">
        <v>1443</v>
      </c>
      <c r="C1458" s="5">
        <f ca="1">_xlfn.NORM.S.INV(RAND())</f>
        <v>0.33889892611097794</v>
      </c>
      <c r="D1458" s="5">
        <f ca="1">S0*EXP((μ-0.5*σ*σ)*T+σ*SQRT(T)*$C1458)</f>
        <v>0.68708268024583896</v>
      </c>
      <c r="E1458" s="5">
        <f ca="1">MAX(0,CP*(D1458-K))</f>
        <v>0</v>
      </c>
      <c r="F1458" s="4">
        <f ca="1">(CP*(D1458-K)&gt;0)*1</f>
        <v>0</v>
      </c>
      <c r="H1458" s="4">
        <v>1443</v>
      </c>
      <c r="I1458" s="3">
        <v>0.66769460848789619</v>
      </c>
      <c r="J1458" s="128">
        <v>1.1741466561229141E-3</v>
      </c>
      <c r="K1458" s="128"/>
      <c r="L1458" s="128">
        <v>4.0399999999999998E-2</v>
      </c>
      <c r="O1458" s="2"/>
    </row>
    <row r="1459" spans="2:15" x14ac:dyDescent="0.2">
      <c r="B1459" s="1">
        <v>1444</v>
      </c>
      <c r="C1459" s="5">
        <f ca="1">_xlfn.NORM.S.INV(RAND())</f>
        <v>-0.12300397825353587</v>
      </c>
      <c r="D1459" s="5">
        <f ca="1">S0*EXP((μ-0.5*σ*σ)*T+σ*SQRT(T)*$C1459)</f>
        <v>0.65649612819281455</v>
      </c>
      <c r="E1459" s="5">
        <f ca="1">MAX(0,CP*(D1459-K))</f>
        <v>0</v>
      </c>
      <c r="F1459" s="4">
        <f ca="1">(CP*(D1459-K)&gt;0)*1</f>
        <v>0</v>
      </c>
      <c r="H1459" s="4">
        <v>1444</v>
      </c>
      <c r="I1459" s="3">
        <v>0.66765187039554064</v>
      </c>
      <c r="J1459" s="128">
        <v>1.2898467735773507E-3</v>
      </c>
      <c r="K1459" s="128"/>
      <c r="L1459" s="128">
        <v>4.3200000000000002E-2</v>
      </c>
      <c r="O1459" s="2"/>
    </row>
    <row r="1460" spans="2:15" x14ac:dyDescent="0.2">
      <c r="B1460" s="1">
        <v>1445</v>
      </c>
      <c r="C1460" s="5">
        <f ca="1">_xlfn.NORM.S.INV(RAND())</f>
        <v>0.32174905215193828</v>
      </c>
      <c r="D1460" s="5">
        <f ca="1">S0*EXP((μ-0.5*σ*σ)*T+σ*SQRT(T)*$C1460)</f>
        <v>0.68592196801295446</v>
      </c>
      <c r="E1460" s="5">
        <f ca="1">MAX(0,CP*(D1460-K))</f>
        <v>0</v>
      </c>
      <c r="F1460" s="4">
        <f ca="1">(CP*(D1460-K)&gt;0)*1</f>
        <v>0</v>
      </c>
      <c r="H1460" s="4">
        <v>1445</v>
      </c>
      <c r="I1460" s="3">
        <v>0.66783312586670374</v>
      </c>
      <c r="J1460" s="128">
        <v>1.4606096531021315E-3</v>
      </c>
      <c r="K1460" s="128"/>
      <c r="L1460" s="128">
        <v>4.6800000000000001E-2</v>
      </c>
      <c r="O1460" s="2"/>
    </row>
    <row r="1461" spans="2:15" x14ac:dyDescent="0.2">
      <c r="B1461" s="1">
        <v>1446</v>
      </c>
      <c r="C1461" s="5">
        <f ca="1">_xlfn.NORM.S.INV(RAND())</f>
        <v>-0.36266106872763315</v>
      </c>
      <c r="D1461" s="5">
        <f ca="1">S0*EXP((μ-0.5*σ*σ)*T+σ*SQRT(T)*$C1461)</f>
        <v>0.64116677976558267</v>
      </c>
      <c r="E1461" s="5">
        <f ca="1">MAX(0,CP*(D1461-K))</f>
        <v>0</v>
      </c>
      <c r="F1461" s="4">
        <f ca="1">(CP*(D1461-K)&gt;0)*1</f>
        <v>0</v>
      </c>
      <c r="H1461" s="4">
        <v>1446</v>
      </c>
      <c r="I1461" s="3">
        <v>0.66765236960078278</v>
      </c>
      <c r="J1461" s="128">
        <v>1.2471790190968968E-3</v>
      </c>
      <c r="K1461" s="128"/>
      <c r="L1461" s="128">
        <v>4.1799999999999997E-2</v>
      </c>
      <c r="O1461" s="2"/>
    </row>
    <row r="1462" spans="2:15" x14ac:dyDescent="0.2">
      <c r="B1462" s="1">
        <v>1447</v>
      </c>
      <c r="C1462" s="5">
        <f ca="1">_xlfn.NORM.S.INV(RAND())</f>
        <v>-1.3775329721474834</v>
      </c>
      <c r="D1462" s="5">
        <f ca="1">S0*EXP((μ-0.5*σ*σ)*T+σ*SQRT(T)*$C1462)</f>
        <v>0.58012056744832441</v>
      </c>
      <c r="E1462" s="5">
        <f ca="1">MAX(0,CP*(D1462-K))</f>
        <v>0</v>
      </c>
      <c r="F1462" s="4">
        <f ca="1">(CP*(D1462-K)&gt;0)*1</f>
        <v>0</v>
      </c>
      <c r="H1462" s="4">
        <v>1447</v>
      </c>
      <c r="I1462" s="3">
        <v>0.66756097758225974</v>
      </c>
      <c r="J1462" s="128">
        <v>1.084417332684572E-3</v>
      </c>
      <c r="K1462" s="128"/>
      <c r="L1462" s="128">
        <v>3.78E-2</v>
      </c>
      <c r="O1462" s="2"/>
    </row>
    <row r="1463" spans="2:15" x14ac:dyDescent="0.2">
      <c r="B1463" s="1">
        <v>1448</v>
      </c>
      <c r="C1463" s="5">
        <f ca="1">_xlfn.NORM.S.INV(RAND())</f>
        <v>-0.90168788008712419</v>
      </c>
      <c r="D1463" s="5">
        <f ca="1">S0*EXP((μ-0.5*σ*σ)*T+σ*SQRT(T)*$C1463)</f>
        <v>0.60798385082127537</v>
      </c>
      <c r="E1463" s="5">
        <f ca="1">MAX(0,CP*(D1463-K))</f>
        <v>0</v>
      </c>
      <c r="F1463" s="4">
        <f ca="1">(CP*(D1463-K)&gt;0)*1</f>
        <v>0</v>
      </c>
      <c r="H1463" s="4">
        <v>1448</v>
      </c>
      <c r="I1463" s="3">
        <v>0.66777709750174563</v>
      </c>
      <c r="J1463" s="128">
        <v>1.3193175350197273E-3</v>
      </c>
      <c r="K1463" s="128"/>
      <c r="L1463" s="128">
        <v>4.2000000000000003E-2</v>
      </c>
      <c r="O1463" s="2"/>
    </row>
    <row r="1464" spans="2:15" x14ac:dyDescent="0.2">
      <c r="B1464" s="1">
        <v>1449</v>
      </c>
      <c r="C1464" s="5">
        <f ca="1">_xlfn.NORM.S.INV(RAND())</f>
        <v>-1.4240947956754326</v>
      </c>
      <c r="D1464" s="5">
        <f ca="1">S0*EXP((μ-0.5*σ*σ)*T+σ*SQRT(T)*$C1464)</f>
        <v>0.57746367759593209</v>
      </c>
      <c r="E1464" s="5">
        <f ca="1">MAX(0,CP*(D1464-K))</f>
        <v>0</v>
      </c>
      <c r="F1464" s="4">
        <f ca="1">(CP*(D1464-K)&gt;0)*1</f>
        <v>0</v>
      </c>
      <c r="H1464" s="4">
        <v>1449</v>
      </c>
      <c r="I1464" s="3">
        <v>0.66783327214599497</v>
      </c>
      <c r="J1464" s="128">
        <v>1.3718994100687817E-3</v>
      </c>
      <c r="K1464" s="128"/>
      <c r="L1464" s="128">
        <v>4.24E-2</v>
      </c>
      <c r="O1464" s="2"/>
    </row>
    <row r="1465" spans="2:15" x14ac:dyDescent="0.2">
      <c r="B1465" s="1">
        <v>1450</v>
      </c>
      <c r="C1465" s="5">
        <f ca="1">_xlfn.NORM.S.INV(RAND())</f>
        <v>0.20961475423309789</v>
      </c>
      <c r="D1465" s="5">
        <f ca="1">S0*EXP((μ-0.5*σ*σ)*T+σ*SQRT(T)*$C1465)</f>
        <v>0.67838083602886112</v>
      </c>
      <c r="E1465" s="5">
        <f ca="1">MAX(0,CP*(D1465-K))</f>
        <v>0</v>
      </c>
      <c r="F1465" s="4">
        <f ca="1">(CP*(D1465-K)&gt;0)*1</f>
        <v>0</v>
      </c>
      <c r="H1465" s="4">
        <v>1450</v>
      </c>
      <c r="I1465" s="3">
        <v>0.66776370318721723</v>
      </c>
      <c r="J1465" s="128">
        <v>1.3655521583865002E-3</v>
      </c>
      <c r="K1465" s="128"/>
      <c r="L1465" s="128">
        <v>3.9199999999999999E-2</v>
      </c>
      <c r="O1465" s="2"/>
    </row>
    <row r="1466" spans="2:15" x14ac:dyDescent="0.2">
      <c r="B1466" s="1">
        <v>1451</v>
      </c>
      <c r="C1466" s="5">
        <f ca="1">_xlfn.NORM.S.INV(RAND())</f>
        <v>-0.27218491625373969</v>
      </c>
      <c r="D1466" s="5">
        <f ca="1">S0*EXP((μ-0.5*σ*σ)*T+σ*SQRT(T)*$C1466)</f>
        <v>0.64691145140500195</v>
      </c>
      <c r="E1466" s="5">
        <f ca="1">MAX(0,CP*(D1466-K))</f>
        <v>0</v>
      </c>
      <c r="F1466" s="4">
        <f ca="1">(CP*(D1466-K)&gt;0)*1</f>
        <v>0</v>
      </c>
      <c r="H1466" s="4">
        <v>1451</v>
      </c>
      <c r="I1466" s="3">
        <v>0.66805532485177677</v>
      </c>
      <c r="J1466" s="128">
        <v>1.7253310015820202E-3</v>
      </c>
      <c r="K1466" s="128"/>
      <c r="L1466" s="128">
        <v>4.7199999999999999E-2</v>
      </c>
      <c r="O1466" s="2"/>
    </row>
    <row r="1467" spans="2:15" x14ac:dyDescent="0.2">
      <c r="B1467" s="1">
        <v>1452</v>
      </c>
      <c r="C1467" s="5">
        <f ca="1">_xlfn.NORM.S.INV(RAND())</f>
        <v>0.16200623892004043</v>
      </c>
      <c r="D1467" s="5">
        <f ca="1">S0*EXP((μ-0.5*σ*σ)*T+σ*SQRT(T)*$C1467)</f>
        <v>0.67520424631630738</v>
      </c>
      <c r="E1467" s="5">
        <f ca="1">MAX(0,CP*(D1467-K))</f>
        <v>0</v>
      </c>
      <c r="F1467" s="4">
        <f ca="1">(CP*(D1467-K)&gt;0)*1</f>
        <v>0</v>
      </c>
      <c r="H1467" s="4">
        <v>1452</v>
      </c>
      <c r="I1467" s="3">
        <v>0.66764130826620982</v>
      </c>
      <c r="J1467" s="128">
        <v>1.3709067409880371E-3</v>
      </c>
      <c r="K1467" s="128"/>
      <c r="L1467" s="128">
        <v>4.1000000000000002E-2</v>
      </c>
      <c r="O1467" s="2"/>
    </row>
    <row r="1468" spans="2:15" x14ac:dyDescent="0.2">
      <c r="B1468" s="1">
        <v>1453</v>
      </c>
      <c r="C1468" s="5">
        <f ca="1">_xlfn.NORM.S.INV(RAND())</f>
        <v>-0.30819282757065736</v>
      </c>
      <c r="D1468" s="5">
        <f ca="1">S0*EXP((μ-0.5*σ*σ)*T+σ*SQRT(T)*$C1468)</f>
        <v>0.64461903313727942</v>
      </c>
      <c r="E1468" s="5">
        <f ca="1">MAX(0,CP*(D1468-K))</f>
        <v>0</v>
      </c>
      <c r="F1468" s="4">
        <f ca="1">(CP*(D1468-K)&gt;0)*1</f>
        <v>0</v>
      </c>
      <c r="H1468" s="4">
        <v>1453</v>
      </c>
      <c r="I1468" s="3">
        <v>0.66773531300726174</v>
      </c>
      <c r="J1468" s="128">
        <v>1.2863618976841934E-3</v>
      </c>
      <c r="K1468" s="128"/>
      <c r="L1468" s="128">
        <v>4.24E-2</v>
      </c>
      <c r="O1468" s="2"/>
    </row>
    <row r="1469" spans="2:15" x14ac:dyDescent="0.2">
      <c r="B1469" s="1">
        <v>1454</v>
      </c>
      <c r="C1469" s="5">
        <f ca="1">_xlfn.NORM.S.INV(RAND())</f>
        <v>0.33367600358515875</v>
      </c>
      <c r="D1469" s="5">
        <f ca="1">S0*EXP((μ-0.5*σ*σ)*T+σ*SQRT(T)*$C1469)</f>
        <v>0.68672898233228463</v>
      </c>
      <c r="E1469" s="5">
        <f ca="1">MAX(0,CP*(D1469-K))</f>
        <v>0</v>
      </c>
      <c r="F1469" s="4">
        <f ca="1">(CP*(D1469-K)&gt;0)*1</f>
        <v>0</v>
      </c>
      <c r="H1469" s="4">
        <v>1454</v>
      </c>
      <c r="I1469" s="3">
        <v>0.66778488089115717</v>
      </c>
      <c r="J1469" s="128">
        <v>1.4630098449214602E-3</v>
      </c>
      <c r="K1469" s="128"/>
      <c r="L1469" s="128">
        <v>4.24E-2</v>
      </c>
      <c r="O1469" s="2"/>
    </row>
    <row r="1470" spans="2:15" x14ac:dyDescent="0.2">
      <c r="B1470" s="1">
        <v>1455</v>
      </c>
      <c r="C1470" s="5">
        <f ca="1">_xlfn.NORM.S.INV(RAND())</f>
        <v>1.0020231517266773</v>
      </c>
      <c r="D1470" s="5">
        <f ca="1">S0*EXP((μ-0.5*σ*σ)*T+σ*SQRT(T)*$C1470)</f>
        <v>0.73350203666047908</v>
      </c>
      <c r="E1470" s="5">
        <f ca="1">MAX(0,CP*(D1470-K))</f>
        <v>0</v>
      </c>
      <c r="F1470" s="4">
        <f ca="1">(CP*(D1470-K)&gt;0)*1</f>
        <v>0</v>
      </c>
      <c r="H1470" s="4">
        <v>1455</v>
      </c>
      <c r="I1470" s="3">
        <v>0.66776325518343327</v>
      </c>
      <c r="J1470" s="128">
        <v>1.3410946847641268E-3</v>
      </c>
      <c r="K1470" s="128"/>
      <c r="L1470" s="128">
        <v>4.1799999999999997E-2</v>
      </c>
      <c r="O1470" s="2"/>
    </row>
    <row r="1471" spans="2:15" x14ac:dyDescent="0.2">
      <c r="B1471" s="1">
        <v>1456</v>
      </c>
      <c r="C1471" s="5">
        <f ca="1">_xlfn.NORM.S.INV(RAND())</f>
        <v>0.69056987025764049</v>
      </c>
      <c r="D1471" s="5">
        <f ca="1">S0*EXP((μ-0.5*σ*σ)*T+σ*SQRT(T)*$C1471)</f>
        <v>0.71132183831914231</v>
      </c>
      <c r="E1471" s="5">
        <f ca="1">MAX(0,CP*(D1471-K))</f>
        <v>0</v>
      </c>
      <c r="F1471" s="4">
        <f ca="1">(CP*(D1471-K)&gt;0)*1</f>
        <v>0</v>
      </c>
      <c r="H1471" s="4">
        <v>1456</v>
      </c>
      <c r="I1471" s="3">
        <v>0.66771297499368187</v>
      </c>
      <c r="J1471" s="128">
        <v>1.4328502410527258E-3</v>
      </c>
      <c r="K1471" s="128"/>
      <c r="L1471" s="128">
        <v>3.8199999999999998E-2</v>
      </c>
      <c r="O1471" s="2"/>
    </row>
    <row r="1472" spans="2:15" x14ac:dyDescent="0.2">
      <c r="B1472" s="1">
        <v>1457</v>
      </c>
      <c r="C1472" s="5">
        <f ca="1">_xlfn.NORM.S.INV(RAND())</f>
        <v>0.36632584342059354</v>
      </c>
      <c r="D1472" s="5">
        <f ca="1">S0*EXP((μ-0.5*σ*σ)*T+σ*SQRT(T)*$C1472)</f>
        <v>0.68894303173604532</v>
      </c>
      <c r="E1472" s="5">
        <f ca="1">MAX(0,CP*(D1472-K))</f>
        <v>0</v>
      </c>
      <c r="F1472" s="4">
        <f ca="1">(CP*(D1472-K)&gt;0)*1</f>
        <v>0</v>
      </c>
      <c r="H1472" s="4">
        <v>1457</v>
      </c>
      <c r="I1472" s="3">
        <v>0.66772759138150073</v>
      </c>
      <c r="J1472" s="128">
        <v>1.3671972024277403E-3</v>
      </c>
      <c r="K1472" s="128"/>
      <c r="L1472" s="128">
        <v>4.0599999999999997E-2</v>
      </c>
      <c r="O1472" s="2"/>
    </row>
    <row r="1473" spans="2:15" x14ac:dyDescent="0.2">
      <c r="B1473" s="1">
        <v>1458</v>
      </c>
      <c r="C1473" s="5">
        <f ca="1">_xlfn.NORM.S.INV(RAND())</f>
        <v>-0.19275073599447276</v>
      </c>
      <c r="D1473" s="5">
        <f ca="1">S0*EXP((μ-0.5*σ*σ)*T+σ*SQRT(T)*$C1473)</f>
        <v>0.65199744271784565</v>
      </c>
      <c r="E1473" s="5">
        <f ca="1">MAX(0,CP*(D1473-K))</f>
        <v>0</v>
      </c>
      <c r="F1473" s="4">
        <f ca="1">(CP*(D1473-K)&gt;0)*1</f>
        <v>0</v>
      </c>
      <c r="H1473" s="4">
        <v>1458</v>
      </c>
      <c r="I1473" s="3">
        <v>0.66778229163636538</v>
      </c>
      <c r="J1473" s="128">
        <v>1.2757572699280805E-3</v>
      </c>
      <c r="K1473" s="128"/>
      <c r="L1473" s="128">
        <v>4.3200000000000002E-2</v>
      </c>
      <c r="O1473" s="2"/>
    </row>
    <row r="1474" spans="2:15" x14ac:dyDescent="0.2">
      <c r="B1474" s="1">
        <v>1459</v>
      </c>
      <c r="C1474" s="5">
        <f ca="1">_xlfn.NORM.S.INV(RAND())</f>
        <v>0.52438048820040517</v>
      </c>
      <c r="D1474" s="5">
        <f ca="1">S0*EXP((μ-0.5*σ*σ)*T+σ*SQRT(T)*$C1474)</f>
        <v>0.69976236061809405</v>
      </c>
      <c r="E1474" s="5">
        <f ca="1">MAX(0,CP*(D1474-K))</f>
        <v>0</v>
      </c>
      <c r="F1474" s="4">
        <f ca="1">(CP*(D1474-K)&gt;0)*1</f>
        <v>0</v>
      </c>
      <c r="H1474" s="4">
        <v>1459</v>
      </c>
      <c r="I1474" s="3">
        <v>0.667732015588824</v>
      </c>
      <c r="J1474" s="128">
        <v>1.3517422652801765E-3</v>
      </c>
      <c r="K1474" s="128"/>
      <c r="L1474" s="128">
        <v>4.0800000000000003E-2</v>
      </c>
      <c r="O1474" s="2"/>
    </row>
    <row r="1475" spans="2:15" x14ac:dyDescent="0.2">
      <c r="B1475" s="1">
        <v>1460</v>
      </c>
      <c r="C1475" s="5">
        <f ca="1">_xlfn.NORM.S.INV(RAND())</f>
        <v>-0.7174286130407469</v>
      </c>
      <c r="D1475" s="5">
        <f ca="1">S0*EXP((μ-0.5*σ*σ)*T+σ*SQRT(T)*$C1475)</f>
        <v>0.61912920044959829</v>
      </c>
      <c r="E1475" s="5">
        <f ca="1">MAX(0,CP*(D1475-K))</f>
        <v>0</v>
      </c>
      <c r="F1475" s="4">
        <f ca="1">(CP*(D1475-K)&gt;0)*1</f>
        <v>0</v>
      </c>
      <c r="H1475" s="4">
        <v>1460</v>
      </c>
      <c r="I1475" s="3">
        <v>0.66782022658250983</v>
      </c>
      <c r="J1475" s="128">
        <v>1.5220092999157009E-3</v>
      </c>
      <c r="K1475" s="128"/>
      <c r="L1475" s="128">
        <v>4.4400000000000002E-2</v>
      </c>
      <c r="O1475" s="2"/>
    </row>
    <row r="1476" spans="2:15" x14ac:dyDescent="0.2">
      <c r="B1476" s="1">
        <v>1461</v>
      </c>
      <c r="C1476" s="5">
        <f ca="1">_xlfn.NORM.S.INV(RAND())</f>
        <v>1.1476395913283628</v>
      </c>
      <c r="D1476" s="5">
        <f ca="1">S0*EXP((μ-0.5*σ*σ)*T+σ*SQRT(T)*$C1476)</f>
        <v>0.74410810786381143</v>
      </c>
      <c r="E1476" s="5">
        <f ca="1">MAX(0,CP*(D1476-K))</f>
        <v>0</v>
      </c>
      <c r="F1476" s="4">
        <f ca="1">(CP*(D1476-K)&gt;0)*1</f>
        <v>0</v>
      </c>
      <c r="H1476" s="4">
        <v>1461</v>
      </c>
      <c r="I1476" s="3">
        <v>0.66766464499264999</v>
      </c>
      <c r="J1476" s="128">
        <v>1.3391279388844594E-3</v>
      </c>
      <c r="K1476" s="128"/>
      <c r="L1476" s="128">
        <v>4.2799999999999998E-2</v>
      </c>
      <c r="O1476" s="2"/>
    </row>
    <row r="1477" spans="2:15" x14ac:dyDescent="0.2">
      <c r="B1477" s="1">
        <v>1462</v>
      </c>
      <c r="C1477" s="5">
        <f ca="1">_xlfn.NORM.S.INV(RAND())</f>
        <v>-0.22724426963528288</v>
      </c>
      <c r="D1477" s="5">
        <f ca="1">S0*EXP((μ-0.5*σ*σ)*T+σ*SQRT(T)*$C1477)</f>
        <v>0.649784006193734</v>
      </c>
      <c r="E1477" s="5">
        <f ca="1">MAX(0,CP*(D1477-K))</f>
        <v>0</v>
      </c>
      <c r="F1477" s="4">
        <f ca="1">(CP*(D1477-K)&gt;0)*1</f>
        <v>0</v>
      </c>
      <c r="H1477" s="4">
        <v>1462</v>
      </c>
      <c r="I1477" s="3">
        <v>0.66767572977581702</v>
      </c>
      <c r="J1477" s="128">
        <v>1.1659528253598753E-3</v>
      </c>
      <c r="K1477" s="128"/>
      <c r="L1477" s="128">
        <v>3.5999999999999997E-2</v>
      </c>
      <c r="O1477" s="2"/>
    </row>
    <row r="1478" spans="2:15" x14ac:dyDescent="0.2">
      <c r="B1478" s="1">
        <v>1463</v>
      </c>
      <c r="C1478" s="5">
        <f ca="1">_xlfn.NORM.S.INV(RAND())</f>
        <v>1.2255888948688385</v>
      </c>
      <c r="D1478" s="5">
        <f ca="1">S0*EXP((μ-0.5*σ*σ)*T+σ*SQRT(T)*$C1478)</f>
        <v>0.74984847677298794</v>
      </c>
      <c r="E1478" s="5">
        <f ca="1">MAX(0,CP*(D1478-K))</f>
        <v>0</v>
      </c>
      <c r="F1478" s="4">
        <f ca="1">(CP*(D1478-K)&gt;0)*1</f>
        <v>0</v>
      </c>
      <c r="H1478" s="4">
        <v>1463</v>
      </c>
      <c r="I1478" s="3">
        <v>0.66785229468603424</v>
      </c>
      <c r="J1478" s="128">
        <v>1.3526992441444392E-3</v>
      </c>
      <c r="K1478" s="128"/>
      <c r="L1478" s="128">
        <v>4.3400000000000001E-2</v>
      </c>
      <c r="O1478" s="2"/>
    </row>
    <row r="1479" spans="2:15" x14ac:dyDescent="0.2">
      <c r="B1479" s="1">
        <v>1464</v>
      </c>
      <c r="C1479" s="5">
        <f ca="1">_xlfn.NORM.S.INV(RAND())</f>
        <v>-0.36816882821014507</v>
      </c>
      <c r="D1479" s="5">
        <f ca="1">S0*EXP((μ-0.5*σ*σ)*T+σ*SQRT(T)*$C1479)</f>
        <v>0.64081872322831845</v>
      </c>
      <c r="E1479" s="5">
        <f ca="1">MAX(0,CP*(D1479-K))</f>
        <v>0</v>
      </c>
      <c r="F1479" s="4">
        <f ca="1">(CP*(D1479-K)&gt;0)*1</f>
        <v>0</v>
      </c>
      <c r="H1479" s="4">
        <v>1464</v>
      </c>
      <c r="I1479" s="3">
        <v>0.66749193895179548</v>
      </c>
      <c r="J1479" s="128">
        <v>1.1269822272933945E-3</v>
      </c>
      <c r="K1479" s="128"/>
      <c r="L1479" s="128">
        <v>3.5999999999999997E-2</v>
      </c>
      <c r="O1479" s="2"/>
    </row>
    <row r="1480" spans="2:15" x14ac:dyDescent="0.2">
      <c r="B1480" s="1">
        <v>1465</v>
      </c>
      <c r="C1480" s="5">
        <f ca="1">_xlfn.NORM.S.INV(RAND())</f>
        <v>-1.1034955693533819</v>
      </c>
      <c r="D1480" s="5">
        <f ca="1">S0*EXP((μ-0.5*σ*σ)*T+σ*SQRT(T)*$C1480)</f>
        <v>0.59600711863040523</v>
      </c>
      <c r="E1480" s="5">
        <f ca="1">MAX(0,CP*(D1480-K))</f>
        <v>0</v>
      </c>
      <c r="F1480" s="4">
        <f ca="1">(CP*(D1480-K)&gt;0)*1</f>
        <v>0</v>
      </c>
      <c r="H1480" s="4">
        <v>1465</v>
      </c>
      <c r="I1480" s="3">
        <v>0.6678437711839047</v>
      </c>
      <c r="J1480" s="128">
        <v>1.5622311619018969E-3</v>
      </c>
      <c r="K1480" s="128"/>
      <c r="L1480" s="128">
        <v>4.5400000000000003E-2</v>
      </c>
      <c r="O1480" s="2"/>
    </row>
    <row r="1481" spans="2:15" x14ac:dyDescent="0.2">
      <c r="B1481" s="1">
        <v>1466</v>
      </c>
      <c r="C1481" s="5">
        <f ca="1">_xlfn.NORM.S.INV(RAND())</f>
        <v>1.2762950186788491</v>
      </c>
      <c r="D1481" s="5">
        <f ca="1">S0*EXP((μ-0.5*σ*σ)*T+σ*SQRT(T)*$C1481)</f>
        <v>0.7536063455909825</v>
      </c>
      <c r="E1481" s="5">
        <f ca="1">MAX(0,CP*(D1481-K))</f>
        <v>0</v>
      </c>
      <c r="F1481" s="4">
        <f ca="1">(CP*(D1481-K)&gt;0)*1</f>
        <v>0</v>
      </c>
      <c r="H1481" s="4">
        <v>1466</v>
      </c>
      <c r="I1481" s="3">
        <v>0.66754194352224561</v>
      </c>
      <c r="J1481" s="128">
        <v>1.2153599834751692E-3</v>
      </c>
      <c r="K1481" s="128"/>
      <c r="L1481" s="128">
        <v>3.5999999999999997E-2</v>
      </c>
      <c r="O1481" s="2"/>
    </row>
    <row r="1482" spans="2:15" x14ac:dyDescent="0.2">
      <c r="B1482" s="1">
        <v>1467</v>
      </c>
      <c r="C1482" s="5">
        <f ca="1">_xlfn.NORM.S.INV(RAND())</f>
        <v>-0.37022072791794947</v>
      </c>
      <c r="D1482" s="5">
        <f ca="1">S0*EXP((μ-0.5*σ*σ)*T+σ*SQRT(T)*$C1482)</f>
        <v>0.64068910409412982</v>
      </c>
      <c r="E1482" s="5">
        <f ca="1">MAX(0,CP*(D1482-K))</f>
        <v>0</v>
      </c>
      <c r="F1482" s="4">
        <f ca="1">(CP*(D1482-K)&gt;0)*1</f>
        <v>0</v>
      </c>
      <c r="H1482" s="4">
        <v>1467</v>
      </c>
      <c r="I1482" s="3">
        <v>0.66771152585652505</v>
      </c>
      <c r="J1482" s="128">
        <v>1.3127541373764648E-3</v>
      </c>
      <c r="K1482" s="128"/>
      <c r="L1482" s="128">
        <v>4.1599999999999998E-2</v>
      </c>
      <c r="O1482" s="2"/>
    </row>
    <row r="1483" spans="2:15" x14ac:dyDescent="0.2">
      <c r="B1483" s="1">
        <v>1468</v>
      </c>
      <c r="C1483" s="5">
        <f ca="1">_xlfn.NORM.S.INV(RAND())</f>
        <v>0.12959479295209742</v>
      </c>
      <c r="D1483" s="5">
        <f ca="1">S0*EXP((μ-0.5*σ*σ)*T+σ*SQRT(T)*$C1483)</f>
        <v>0.67305016738671741</v>
      </c>
      <c r="E1483" s="5">
        <f ca="1">MAX(0,CP*(D1483-K))</f>
        <v>0</v>
      </c>
      <c r="F1483" s="4">
        <f ca="1">(CP*(D1483-K)&gt;0)*1</f>
        <v>0</v>
      </c>
      <c r="H1483" s="4">
        <v>1468</v>
      </c>
      <c r="I1483" s="3">
        <v>0.66770496263880619</v>
      </c>
      <c r="J1483" s="128">
        <v>1.3272379097498614E-3</v>
      </c>
      <c r="K1483" s="128"/>
      <c r="L1483" s="128">
        <v>0.04</v>
      </c>
      <c r="O1483" s="2"/>
    </row>
    <row r="1484" spans="2:15" x14ac:dyDescent="0.2">
      <c r="B1484" s="1">
        <v>1469</v>
      </c>
      <c r="C1484" s="5">
        <f ca="1">_xlfn.NORM.S.INV(RAND())</f>
        <v>-2.0866831152978058</v>
      </c>
      <c r="D1484" s="5">
        <f ca="1">S0*EXP((μ-0.5*σ*σ)*T+σ*SQRT(T)*$C1484)</f>
        <v>0.54094772013519954</v>
      </c>
      <c r="E1484" s="5">
        <f ca="1">MAX(0,CP*(D1484-K))</f>
        <v>0</v>
      </c>
      <c r="F1484" s="4">
        <f ca="1">(CP*(D1484-K)&gt;0)*1</f>
        <v>0</v>
      </c>
      <c r="H1484" s="4">
        <v>1469</v>
      </c>
      <c r="I1484" s="3">
        <v>0.66753878734814476</v>
      </c>
      <c r="J1484" s="128">
        <v>1.1526701765353228E-3</v>
      </c>
      <c r="K1484" s="128"/>
      <c r="L1484" s="128">
        <v>3.5200000000000002E-2</v>
      </c>
      <c r="O1484" s="2"/>
    </row>
    <row r="1485" spans="2:15" x14ac:dyDescent="0.2">
      <c r="B1485" s="1">
        <v>1470</v>
      </c>
      <c r="C1485" s="5">
        <f ca="1">_xlfn.NORM.S.INV(RAND())</f>
        <v>0.71046902719009597</v>
      </c>
      <c r="D1485" s="5">
        <f ca="1">S0*EXP((μ-0.5*σ*σ)*T+σ*SQRT(T)*$C1485)</f>
        <v>0.71271868458298315</v>
      </c>
      <c r="E1485" s="5">
        <f ca="1">MAX(0,CP*(D1485-K))</f>
        <v>0</v>
      </c>
      <c r="F1485" s="4">
        <f ca="1">(CP*(D1485-K)&gt;0)*1</f>
        <v>0</v>
      </c>
      <c r="H1485" s="4">
        <v>1470</v>
      </c>
      <c r="I1485" s="3">
        <v>0.66775462590595291</v>
      </c>
      <c r="J1485" s="128">
        <v>1.3956350481765221E-3</v>
      </c>
      <c r="K1485" s="128"/>
      <c r="L1485" s="128">
        <v>3.9600000000000003E-2</v>
      </c>
      <c r="O1485" s="2"/>
    </row>
    <row r="1486" spans="2:15" x14ac:dyDescent="0.2">
      <c r="B1486" s="1">
        <v>1471</v>
      </c>
      <c r="C1486" s="5">
        <f ca="1">_xlfn.NORM.S.INV(RAND())</f>
        <v>-1.0679804472928625</v>
      </c>
      <c r="D1486" s="5">
        <f ca="1">S0*EXP((μ-0.5*σ*σ)*T+σ*SQRT(T)*$C1486)</f>
        <v>0.59809760340363616</v>
      </c>
      <c r="E1486" s="5">
        <f ca="1">MAX(0,CP*(D1486-K))</f>
        <v>0</v>
      </c>
      <c r="F1486" s="4">
        <f ca="1">(CP*(D1486-K)&gt;0)*1</f>
        <v>0</v>
      </c>
      <c r="H1486" s="4">
        <v>1471</v>
      </c>
      <c r="I1486" s="3">
        <v>0.66781874854491274</v>
      </c>
      <c r="J1486" s="128">
        <v>1.6339421055745699E-3</v>
      </c>
      <c r="K1486" s="128"/>
      <c r="L1486" s="128">
        <v>4.7399999999999998E-2</v>
      </c>
      <c r="O1486" s="2"/>
    </row>
    <row r="1487" spans="2:15" x14ac:dyDescent="0.2">
      <c r="B1487" s="1">
        <v>1472</v>
      </c>
      <c r="C1487" s="5">
        <f ca="1">_xlfn.NORM.S.INV(RAND())</f>
        <v>5.9559642426238173E-2</v>
      </c>
      <c r="D1487" s="5">
        <f ca="1">S0*EXP((μ-0.5*σ*σ)*T+σ*SQRT(T)*$C1487)</f>
        <v>0.6684190395009314</v>
      </c>
      <c r="E1487" s="5">
        <f ca="1">MAX(0,CP*(D1487-K))</f>
        <v>0</v>
      </c>
      <c r="F1487" s="4">
        <f ca="1">(CP*(D1487-K)&gt;0)*1</f>
        <v>0</v>
      </c>
      <c r="H1487" s="4">
        <v>1472</v>
      </c>
      <c r="I1487" s="3">
        <v>0.66775722254504932</v>
      </c>
      <c r="J1487" s="128">
        <v>1.3489373292263377E-3</v>
      </c>
      <c r="K1487" s="128"/>
      <c r="L1487" s="128">
        <v>3.9600000000000003E-2</v>
      </c>
      <c r="O1487" s="2"/>
    </row>
    <row r="1488" spans="2:15" x14ac:dyDescent="0.2">
      <c r="B1488" s="1">
        <v>1473</v>
      </c>
      <c r="C1488" s="5">
        <f ca="1">_xlfn.NORM.S.INV(RAND())</f>
        <v>-2.4972625492358406E-2</v>
      </c>
      <c r="D1488" s="5">
        <f ca="1">S0*EXP((μ-0.5*σ*σ)*T+σ*SQRT(T)*$C1488)</f>
        <v>0.66287170130518136</v>
      </c>
      <c r="E1488" s="5">
        <f ca="1">MAX(0,CP*(D1488-K))</f>
        <v>0</v>
      </c>
      <c r="F1488" s="4">
        <f ca="1">(CP*(D1488-K)&gt;0)*1</f>
        <v>0</v>
      </c>
      <c r="H1488" s="4">
        <v>1473</v>
      </c>
      <c r="I1488" s="3">
        <v>0.66781391045159333</v>
      </c>
      <c r="J1488" s="128">
        <v>1.4423159250336931E-3</v>
      </c>
      <c r="K1488" s="128"/>
      <c r="L1488" s="128">
        <v>4.4400000000000002E-2</v>
      </c>
      <c r="O1488" s="2"/>
    </row>
    <row r="1489" spans="2:15" x14ac:dyDescent="0.2">
      <c r="B1489" s="1">
        <v>1474</v>
      </c>
      <c r="C1489" s="5">
        <f ca="1">_xlfn.NORM.S.INV(RAND())</f>
        <v>-7.3860828339582657E-2</v>
      </c>
      <c r="D1489" s="5">
        <f ca="1">S0*EXP((μ-0.5*σ*σ)*T+σ*SQRT(T)*$C1489)</f>
        <v>0.65968450293968828</v>
      </c>
      <c r="E1489" s="5">
        <f ca="1">MAX(0,CP*(D1489-K))</f>
        <v>0</v>
      </c>
      <c r="F1489" s="4">
        <f ca="1">(CP*(D1489-K)&gt;0)*1</f>
        <v>0</v>
      </c>
      <c r="H1489" s="4">
        <v>1474</v>
      </c>
      <c r="I1489" s="3">
        <v>0.66784770257087189</v>
      </c>
      <c r="J1489" s="128">
        <v>1.5075765002626484E-3</v>
      </c>
      <c r="K1489" s="128"/>
      <c r="L1489" s="128">
        <v>4.2799999999999998E-2</v>
      </c>
      <c r="O1489" s="2"/>
    </row>
    <row r="1490" spans="2:15" x14ac:dyDescent="0.2">
      <c r="B1490" s="1">
        <v>1475</v>
      </c>
      <c r="C1490" s="5">
        <f ca="1">_xlfn.NORM.S.INV(RAND())</f>
        <v>0.27090878557449555</v>
      </c>
      <c r="D1490" s="5">
        <f ca="1">S0*EXP((μ-0.5*σ*σ)*T+σ*SQRT(T)*$C1490)</f>
        <v>0.68249258242668742</v>
      </c>
      <c r="E1490" s="5">
        <f ca="1">MAX(0,CP*(D1490-K))</f>
        <v>0</v>
      </c>
      <c r="F1490" s="4">
        <f ca="1">(CP*(D1490-K)&gt;0)*1</f>
        <v>0</v>
      </c>
      <c r="H1490" s="4">
        <v>1475</v>
      </c>
      <c r="I1490" s="3">
        <v>0.66778757252905074</v>
      </c>
      <c r="J1490" s="128">
        <v>1.4557430930127297E-3</v>
      </c>
      <c r="K1490" s="128"/>
      <c r="L1490" s="128">
        <v>4.5199999999999997E-2</v>
      </c>
      <c r="O1490" s="2"/>
    </row>
    <row r="1491" spans="2:15" x14ac:dyDescent="0.2">
      <c r="B1491" s="1">
        <v>1476</v>
      </c>
      <c r="C1491" s="5">
        <f ca="1">_xlfn.NORM.S.INV(RAND())</f>
        <v>-0.18727755664763523</v>
      </c>
      <c r="D1491" s="5">
        <f ca="1">S0*EXP((μ-0.5*σ*σ)*T+σ*SQRT(T)*$C1491)</f>
        <v>0.65234934693180557</v>
      </c>
      <c r="E1491" s="5">
        <f ca="1">MAX(0,CP*(D1491-K))</f>
        <v>0</v>
      </c>
      <c r="F1491" s="4">
        <f ca="1">(CP*(D1491-K)&gt;0)*1</f>
        <v>0</v>
      </c>
      <c r="H1491" s="4">
        <v>1476</v>
      </c>
      <c r="I1491" s="3">
        <v>0.66775104831617016</v>
      </c>
      <c r="J1491" s="128">
        <v>1.317842792876603E-3</v>
      </c>
      <c r="K1491" s="128"/>
      <c r="L1491" s="128">
        <v>4.02E-2</v>
      </c>
      <c r="O1491" s="2"/>
    </row>
    <row r="1492" spans="2:15" x14ac:dyDescent="0.2">
      <c r="B1492" s="1">
        <v>1477</v>
      </c>
      <c r="C1492" s="5">
        <f ca="1">_xlfn.NORM.S.INV(RAND())</f>
        <v>-1.3012039319623068</v>
      </c>
      <c r="D1492" s="5">
        <f ca="1">S0*EXP((μ-0.5*σ*σ)*T+σ*SQRT(T)*$C1492)</f>
        <v>0.58450249165634061</v>
      </c>
      <c r="E1492" s="5">
        <f ca="1">MAX(0,CP*(D1492-K))</f>
        <v>0</v>
      </c>
      <c r="F1492" s="4">
        <f ca="1">(CP*(D1492-K)&gt;0)*1</f>
        <v>0</v>
      </c>
      <c r="H1492" s="4">
        <v>1477</v>
      </c>
      <c r="I1492" s="3">
        <v>0.66766237134884343</v>
      </c>
      <c r="J1492" s="128">
        <v>1.301764813406797E-3</v>
      </c>
      <c r="K1492" s="128"/>
      <c r="L1492" s="128">
        <v>3.6799999999999999E-2</v>
      </c>
      <c r="O1492" s="2"/>
    </row>
    <row r="1493" spans="2:15" x14ac:dyDescent="0.2">
      <c r="B1493" s="1">
        <v>1478</v>
      </c>
      <c r="C1493" s="5">
        <f ca="1">_xlfn.NORM.S.INV(RAND())</f>
        <v>0.7673472327989791</v>
      </c>
      <c r="D1493" s="5">
        <f ca="1">S0*EXP((μ-0.5*σ*σ)*T+σ*SQRT(T)*$C1493)</f>
        <v>0.71672646546454011</v>
      </c>
      <c r="E1493" s="5">
        <f ca="1">MAX(0,CP*(D1493-K))</f>
        <v>0</v>
      </c>
      <c r="F1493" s="4">
        <f ca="1">(CP*(D1493-K)&gt;0)*1</f>
        <v>0</v>
      </c>
      <c r="H1493" s="4">
        <v>1478</v>
      </c>
      <c r="I1493" s="3">
        <v>0.66768971616092809</v>
      </c>
      <c r="J1493" s="128">
        <v>1.3101148638547037E-3</v>
      </c>
      <c r="K1493" s="128"/>
      <c r="L1493" s="128">
        <v>4.02E-2</v>
      </c>
      <c r="O1493" s="2"/>
    </row>
    <row r="1494" spans="2:15" x14ac:dyDescent="0.2">
      <c r="B1494" s="1">
        <v>1479</v>
      </c>
      <c r="C1494" s="5">
        <f ca="1">_xlfn.NORM.S.INV(RAND())</f>
        <v>1.2140429437754161</v>
      </c>
      <c r="D1494" s="5">
        <f ca="1">S0*EXP((μ-0.5*σ*σ)*T+σ*SQRT(T)*$C1494)</f>
        <v>0.74899542027500188</v>
      </c>
      <c r="E1494" s="5">
        <f ca="1">MAX(0,CP*(D1494-K))</f>
        <v>0</v>
      </c>
      <c r="F1494" s="4">
        <f ca="1">(CP*(D1494-K)&gt;0)*1</f>
        <v>0</v>
      </c>
      <c r="H1494" s="4">
        <v>1479</v>
      </c>
      <c r="I1494" s="3">
        <v>0.66786956898864569</v>
      </c>
      <c r="J1494" s="128">
        <v>1.4670308318798589E-3</v>
      </c>
      <c r="K1494" s="128"/>
      <c r="L1494" s="128">
        <v>4.5199999999999997E-2</v>
      </c>
      <c r="O1494" s="2"/>
    </row>
    <row r="1495" spans="2:15" x14ac:dyDescent="0.2">
      <c r="B1495" s="1">
        <v>1480</v>
      </c>
      <c r="C1495" s="5">
        <f ca="1">_xlfn.NORM.S.INV(RAND())</f>
        <v>1.4171270889052119</v>
      </c>
      <c r="D1495" s="5">
        <f ca="1">S0*EXP((μ-0.5*σ*σ)*T+σ*SQRT(T)*$C1495)</f>
        <v>0.76414260007243673</v>
      </c>
      <c r="E1495" s="5">
        <f ca="1">MAX(0,CP*(D1495-K))</f>
        <v>0</v>
      </c>
      <c r="F1495" s="4">
        <f ca="1">(CP*(D1495-K)&gt;0)*1</f>
        <v>0</v>
      </c>
      <c r="H1495" s="4">
        <v>1480</v>
      </c>
      <c r="I1495" s="3">
        <v>0.66784424015122468</v>
      </c>
      <c r="J1495" s="128">
        <v>1.3868622126507106E-3</v>
      </c>
      <c r="K1495" s="128"/>
      <c r="L1495" s="128">
        <v>4.4400000000000002E-2</v>
      </c>
      <c r="O1495" s="2"/>
    </row>
    <row r="1496" spans="2:15" x14ac:dyDescent="0.2">
      <c r="B1496" s="1">
        <v>1481</v>
      </c>
      <c r="C1496" s="5">
        <f ca="1">_xlfn.NORM.S.INV(RAND())</f>
        <v>-1.9847792060490106</v>
      </c>
      <c r="D1496" s="5">
        <f ca="1">S0*EXP((μ-0.5*σ*σ)*T+σ*SQRT(T)*$C1496)</f>
        <v>0.54640971446667141</v>
      </c>
      <c r="E1496" s="5">
        <f ca="1">MAX(0,CP*(D1496-K))</f>
        <v>0</v>
      </c>
      <c r="F1496" s="4">
        <f ca="1">(CP*(D1496-K)&gt;0)*1</f>
        <v>0</v>
      </c>
      <c r="H1496" s="4">
        <v>1481</v>
      </c>
      <c r="I1496" s="3">
        <v>0.66779395988636348</v>
      </c>
      <c r="J1496" s="128">
        <v>1.4778013453665786E-3</v>
      </c>
      <c r="K1496" s="128"/>
      <c r="L1496" s="128">
        <v>4.2200000000000001E-2</v>
      </c>
      <c r="O1496" s="2"/>
    </row>
    <row r="1497" spans="2:15" x14ac:dyDescent="0.2">
      <c r="B1497" s="1">
        <v>1482</v>
      </c>
      <c r="C1497" s="5">
        <f ca="1">_xlfn.NORM.S.INV(RAND())</f>
        <v>1.8623559388859778</v>
      </c>
      <c r="D1497" s="5">
        <f ca="1">S0*EXP((μ-0.5*σ*σ)*T+σ*SQRT(T)*$C1497)</f>
        <v>0.79843088417684838</v>
      </c>
      <c r="E1497" s="5">
        <f ca="1">MAX(0,CP*(D1497-K))</f>
        <v>1.0230884176848365E-2</v>
      </c>
      <c r="F1497" s="4">
        <f ca="1">(CP*(D1497-K)&gt;0)*1</f>
        <v>1</v>
      </c>
      <c r="H1497" s="4">
        <v>1482</v>
      </c>
      <c r="I1497" s="3">
        <v>0.667610136154551</v>
      </c>
      <c r="J1497" s="128">
        <v>1.2222389897617195E-3</v>
      </c>
      <c r="K1497" s="128"/>
      <c r="L1497" s="128">
        <v>3.7199999999999997E-2</v>
      </c>
      <c r="O1497" s="2"/>
    </row>
    <row r="1498" spans="2:15" x14ac:dyDescent="0.2">
      <c r="B1498" s="1">
        <v>1483</v>
      </c>
      <c r="C1498" s="5">
        <f ca="1">_xlfn.NORM.S.INV(RAND())</f>
        <v>0.39517463452727858</v>
      </c>
      <c r="D1498" s="5">
        <f ca="1">S0*EXP((μ-0.5*σ*σ)*T+σ*SQRT(T)*$C1498)</f>
        <v>0.69090526391096851</v>
      </c>
      <c r="E1498" s="5">
        <f ca="1">MAX(0,CP*(D1498-K))</f>
        <v>0</v>
      </c>
      <c r="F1498" s="4">
        <f ca="1">(CP*(D1498-K)&gt;0)*1</f>
        <v>0</v>
      </c>
      <c r="H1498" s="4">
        <v>1483</v>
      </c>
      <c r="I1498" s="3">
        <v>0.66759492304168111</v>
      </c>
      <c r="J1498" s="128">
        <v>1.182274839801449E-3</v>
      </c>
      <c r="K1498" s="128"/>
      <c r="L1498" s="128">
        <v>3.7999999999999999E-2</v>
      </c>
      <c r="O1498" s="2"/>
    </row>
    <row r="1499" spans="2:15" x14ac:dyDescent="0.2">
      <c r="B1499" s="1">
        <v>1484</v>
      </c>
      <c r="C1499" s="5">
        <f ca="1">_xlfn.NORM.S.INV(RAND())</f>
        <v>-0.46876251227635579</v>
      </c>
      <c r="D1499" s="5">
        <f ca="1">S0*EXP((μ-0.5*σ*σ)*T+σ*SQRT(T)*$C1499)</f>
        <v>0.63449495568778358</v>
      </c>
      <c r="E1499" s="5">
        <f ca="1">MAX(0,CP*(D1499-K))</f>
        <v>0</v>
      </c>
      <c r="F1499" s="4">
        <f ca="1">(CP*(D1499-K)&gt;0)*1</f>
        <v>0</v>
      </c>
      <c r="H1499" s="4">
        <v>1484</v>
      </c>
      <c r="I1499" s="3">
        <v>0.66777160837277705</v>
      </c>
      <c r="J1499" s="128">
        <v>1.4137758975133962E-3</v>
      </c>
      <c r="K1499" s="128"/>
      <c r="L1499" s="128">
        <v>4.48E-2</v>
      </c>
      <c r="O1499" s="2"/>
    </row>
    <row r="1500" spans="2:15" x14ac:dyDescent="0.2">
      <c r="B1500" s="1">
        <v>1485</v>
      </c>
      <c r="C1500" s="5">
        <f ca="1">_xlfn.NORM.S.INV(RAND())</f>
        <v>-1.4057870433882331</v>
      </c>
      <c r="D1500" s="5">
        <f ca="1">S0*EXP((μ-0.5*σ*σ)*T+σ*SQRT(T)*$C1500)</f>
        <v>0.57850689160804414</v>
      </c>
      <c r="E1500" s="5">
        <f ca="1">MAX(0,CP*(D1500-K))</f>
        <v>0</v>
      </c>
      <c r="F1500" s="4">
        <f ca="1">(CP*(D1500-K)&gt;0)*1</f>
        <v>0</v>
      </c>
      <c r="H1500" s="4">
        <v>1485</v>
      </c>
      <c r="I1500" s="3">
        <v>0.66778181342689691</v>
      </c>
      <c r="J1500" s="128">
        <v>1.3930130659765504E-3</v>
      </c>
      <c r="K1500" s="128"/>
      <c r="L1500" s="128">
        <v>4.1200000000000001E-2</v>
      </c>
      <c r="O1500" s="2"/>
    </row>
    <row r="1501" spans="2:15" x14ac:dyDescent="0.2">
      <c r="B1501" s="1">
        <v>1486</v>
      </c>
      <c r="C1501" s="5">
        <f ca="1">_xlfn.NORM.S.INV(RAND())</f>
        <v>-0.2733374017244618</v>
      </c>
      <c r="D1501" s="5">
        <f ca="1">S0*EXP((μ-0.5*σ*σ)*T+σ*SQRT(T)*$C1501)</f>
        <v>0.6468379530961611</v>
      </c>
      <c r="E1501" s="5">
        <f ca="1">MAX(0,CP*(D1501-K))</f>
        <v>0</v>
      </c>
      <c r="F1501" s="4">
        <f ca="1">(CP*(D1501-K)&gt;0)*1</f>
        <v>0</v>
      </c>
      <c r="H1501" s="4">
        <v>1486</v>
      </c>
      <c r="I1501" s="3">
        <v>0.66772186119002896</v>
      </c>
      <c r="J1501" s="128">
        <v>1.4028411300940308E-3</v>
      </c>
      <c r="K1501" s="128"/>
      <c r="L1501" s="128">
        <v>3.9800000000000002E-2</v>
      </c>
      <c r="O1501" s="2"/>
    </row>
    <row r="1502" spans="2:15" x14ac:dyDescent="0.2">
      <c r="B1502" s="1">
        <v>1487</v>
      </c>
      <c r="C1502" s="5">
        <f ca="1">_xlfn.NORM.S.INV(RAND())</f>
        <v>0.75297356602376386</v>
      </c>
      <c r="D1502" s="5">
        <f ca="1">S0*EXP((μ-0.5*σ*σ)*T+σ*SQRT(T)*$C1502)</f>
        <v>0.715711537873299</v>
      </c>
      <c r="E1502" s="5">
        <f ca="1">MAX(0,CP*(D1502-K))</f>
        <v>0</v>
      </c>
      <c r="F1502" s="4">
        <f ca="1">(CP*(D1502-K)&gt;0)*1</f>
        <v>0</v>
      </c>
      <c r="H1502" s="4">
        <v>1487</v>
      </c>
      <c r="I1502" s="3">
        <v>0.66780861934783819</v>
      </c>
      <c r="J1502" s="128">
        <v>1.4411040210050648E-3</v>
      </c>
      <c r="K1502" s="128"/>
      <c r="L1502" s="128">
        <v>4.3400000000000001E-2</v>
      </c>
      <c r="O1502" s="2"/>
    </row>
    <row r="1503" spans="2:15" x14ac:dyDescent="0.2">
      <c r="B1503" s="1">
        <v>1488</v>
      </c>
      <c r="C1503" s="5">
        <f ca="1">_xlfn.NORM.S.INV(RAND())</f>
        <v>-1.0374457248447924</v>
      </c>
      <c r="D1503" s="5">
        <f ca="1">S0*EXP((μ-0.5*σ*σ)*T+σ*SQRT(T)*$C1503)</f>
        <v>0.59990079390382767</v>
      </c>
      <c r="E1503" s="5">
        <f ca="1">MAX(0,CP*(D1503-K))</f>
        <v>0</v>
      </c>
      <c r="F1503" s="4">
        <f ca="1">(CP*(D1503-K)&gt;0)*1</f>
        <v>0</v>
      </c>
      <c r="H1503" s="4">
        <v>1488</v>
      </c>
      <c r="I1503" s="3">
        <v>0.66751346190349337</v>
      </c>
      <c r="J1503" s="128">
        <v>9.8016371842572997E-4</v>
      </c>
      <c r="K1503" s="128"/>
      <c r="L1503" s="128">
        <v>3.4799999999999998E-2</v>
      </c>
      <c r="O1503" s="2"/>
    </row>
    <row r="1504" spans="2:15" x14ac:dyDescent="0.2">
      <c r="B1504" s="1">
        <v>1489</v>
      </c>
      <c r="C1504" s="5">
        <f ca="1">_xlfn.NORM.S.INV(RAND())</f>
        <v>-0.1751670840851221</v>
      </c>
      <c r="D1504" s="5">
        <f ca="1">S0*EXP((μ-0.5*σ*σ)*T+σ*SQRT(T)*$C1504)</f>
        <v>0.65312867860921997</v>
      </c>
      <c r="E1504" s="5">
        <f ca="1">MAX(0,CP*(D1504-K))</f>
        <v>0</v>
      </c>
      <c r="F1504" s="4">
        <f ca="1">(CP*(D1504-K)&gt;0)*1</f>
        <v>0</v>
      </c>
      <c r="H1504" s="4">
        <v>1489</v>
      </c>
      <c r="I1504" s="3">
        <v>0.66779312492249632</v>
      </c>
      <c r="J1504" s="128">
        <v>1.3894295436148814E-3</v>
      </c>
      <c r="K1504" s="128"/>
      <c r="L1504" s="128">
        <v>4.1200000000000001E-2</v>
      </c>
      <c r="O1504" s="2"/>
    </row>
    <row r="1505" spans="2:15" x14ac:dyDescent="0.2">
      <c r="B1505" s="1">
        <v>1490</v>
      </c>
      <c r="C1505" s="5">
        <f ca="1">_xlfn.NORM.S.INV(RAND())</f>
        <v>1.9268081706135507</v>
      </c>
      <c r="D1505" s="5">
        <f ca="1">S0*EXP((μ-0.5*σ*σ)*T+σ*SQRT(T)*$C1505)</f>
        <v>0.80352041245609918</v>
      </c>
      <c r="E1505" s="5">
        <f ca="1">MAX(0,CP*(D1505-K))</f>
        <v>1.5320412456099164E-2</v>
      </c>
      <c r="F1505" s="4">
        <f ca="1">(CP*(D1505-K)&gt;0)*1</f>
        <v>1</v>
      </c>
      <c r="H1505" s="4">
        <v>1490</v>
      </c>
      <c r="I1505" s="3">
        <v>0.6676930700421001</v>
      </c>
      <c r="J1505" s="128">
        <v>1.3069617619245735E-3</v>
      </c>
      <c r="K1505" s="128"/>
      <c r="L1505" s="128">
        <v>3.8600000000000002E-2</v>
      </c>
      <c r="O1505" s="2"/>
    </row>
    <row r="1506" spans="2:15" x14ac:dyDescent="0.2">
      <c r="B1506" s="1">
        <v>1491</v>
      </c>
      <c r="C1506" s="5">
        <f ca="1">_xlfn.NORM.S.INV(RAND())</f>
        <v>-0.24939605183261421</v>
      </c>
      <c r="D1506" s="5">
        <f ca="1">S0*EXP((μ-0.5*σ*σ)*T+σ*SQRT(T)*$C1506)</f>
        <v>0.64836649899988508</v>
      </c>
      <c r="E1506" s="5">
        <f ca="1">MAX(0,CP*(D1506-K))</f>
        <v>0</v>
      </c>
      <c r="F1506" s="4">
        <f ca="1">(CP*(D1506-K)&gt;0)*1</f>
        <v>0</v>
      </c>
      <c r="H1506" s="4">
        <v>1491</v>
      </c>
      <c r="I1506" s="3">
        <v>0.6676025793057303</v>
      </c>
      <c r="J1506" s="128">
        <v>1.3286936098211583E-3</v>
      </c>
      <c r="K1506" s="128"/>
      <c r="L1506" s="128">
        <v>4.1799999999999997E-2</v>
      </c>
      <c r="O1506" s="2"/>
    </row>
    <row r="1507" spans="2:15" x14ac:dyDescent="0.2">
      <c r="B1507" s="1">
        <v>1492</v>
      </c>
      <c r="C1507" s="5">
        <f ca="1">_xlfn.NORM.S.INV(RAND())</f>
        <v>-0.53876528966654247</v>
      </c>
      <c r="D1507" s="5">
        <f ca="1">S0*EXP((μ-0.5*σ*σ)*T+σ*SQRT(T)*$C1507)</f>
        <v>0.63013112986282527</v>
      </c>
      <c r="E1507" s="5">
        <f ca="1">MAX(0,CP*(D1507-K))</f>
        <v>0</v>
      </c>
      <c r="F1507" s="4">
        <f ca="1">(CP*(D1507-K)&gt;0)*1</f>
        <v>0</v>
      </c>
      <c r="H1507" s="4">
        <v>1492</v>
      </c>
      <c r="I1507" s="3">
        <v>0.66771214255767941</v>
      </c>
      <c r="J1507" s="128">
        <v>1.3375615576139647E-3</v>
      </c>
      <c r="K1507" s="128"/>
      <c r="L1507" s="128">
        <v>4.0599999999999997E-2</v>
      </c>
      <c r="O1507" s="2"/>
    </row>
    <row r="1508" spans="2:15" x14ac:dyDescent="0.2">
      <c r="B1508" s="1">
        <v>1493</v>
      </c>
      <c r="C1508" s="5">
        <f ca="1">_xlfn.NORM.S.INV(RAND())</f>
        <v>-0.61008884360280224</v>
      </c>
      <c r="D1508" s="5">
        <f ca="1">S0*EXP((μ-0.5*σ*σ)*T+σ*SQRT(T)*$C1508)</f>
        <v>0.62571583582040735</v>
      </c>
      <c r="E1508" s="5">
        <f ca="1">MAX(0,CP*(D1508-K))</f>
        <v>0</v>
      </c>
      <c r="F1508" s="4">
        <f ca="1">(CP*(D1508-K)&gt;0)*1</f>
        <v>0</v>
      </c>
      <c r="H1508" s="4">
        <v>1493</v>
      </c>
      <c r="I1508" s="3">
        <v>0.66792634489611025</v>
      </c>
      <c r="J1508" s="128">
        <v>1.7751390285736929E-3</v>
      </c>
      <c r="K1508" s="128"/>
      <c r="L1508" s="128">
        <v>4.7600000000000003E-2</v>
      </c>
      <c r="O1508" s="2"/>
    </row>
    <row r="1509" spans="2:15" x14ac:dyDescent="0.2">
      <c r="B1509" s="1">
        <v>1494</v>
      </c>
      <c r="C1509" s="5">
        <f ca="1">_xlfn.NORM.S.INV(RAND())</f>
        <v>0.12600062045473984</v>
      </c>
      <c r="D1509" s="5">
        <f ca="1">S0*EXP((μ-0.5*σ*σ)*T+σ*SQRT(T)*$C1509)</f>
        <v>0.67281172078792928</v>
      </c>
      <c r="E1509" s="5">
        <f ca="1">MAX(0,CP*(D1509-K))</f>
        <v>0</v>
      </c>
      <c r="F1509" s="4">
        <f ca="1">(CP*(D1509-K)&gt;0)*1</f>
        <v>0</v>
      </c>
      <c r="H1509" s="4">
        <v>1494</v>
      </c>
      <c r="I1509" s="3">
        <v>0.66799297317079176</v>
      </c>
      <c r="J1509" s="128">
        <v>1.6309319842916733E-3</v>
      </c>
      <c r="K1509" s="128"/>
      <c r="L1509" s="128">
        <v>4.7199999999999999E-2</v>
      </c>
      <c r="O1509" s="2"/>
    </row>
    <row r="1510" spans="2:15" x14ac:dyDescent="0.2">
      <c r="B1510" s="1">
        <v>1495</v>
      </c>
      <c r="C1510" s="5">
        <f ca="1">_xlfn.NORM.S.INV(RAND())</f>
        <v>-1.2782712609350837</v>
      </c>
      <c r="D1510" s="5">
        <f ca="1">S0*EXP((μ-0.5*σ*σ)*T+σ*SQRT(T)*$C1510)</f>
        <v>0.58582547313278133</v>
      </c>
      <c r="E1510" s="5">
        <f ca="1">MAX(0,CP*(D1510-K))</f>
        <v>0</v>
      </c>
      <c r="F1510" s="4">
        <f ca="1">(CP*(D1510-K)&gt;0)*1</f>
        <v>0</v>
      </c>
      <c r="H1510" s="4">
        <v>1495</v>
      </c>
      <c r="I1510" s="3">
        <v>0.66773823144545608</v>
      </c>
      <c r="J1510" s="128">
        <v>1.3880762556941527E-3</v>
      </c>
      <c r="K1510" s="128"/>
      <c r="L1510" s="128">
        <v>4.2000000000000003E-2</v>
      </c>
      <c r="O1510" s="2"/>
    </row>
    <row r="1511" spans="2:15" x14ac:dyDescent="0.2">
      <c r="B1511" s="1">
        <v>1496</v>
      </c>
      <c r="C1511" s="5">
        <f ca="1">_xlfn.NORM.S.INV(RAND())</f>
        <v>0.98711853721352771</v>
      </c>
      <c r="D1511" s="5">
        <f ca="1">S0*EXP((μ-0.5*σ*σ)*T+σ*SQRT(T)*$C1511)</f>
        <v>0.73242501421598005</v>
      </c>
      <c r="E1511" s="5">
        <f ca="1">MAX(0,CP*(D1511-K))</f>
        <v>0</v>
      </c>
      <c r="F1511" s="4">
        <f ca="1">(CP*(D1511-K)&gt;0)*1</f>
        <v>0</v>
      </c>
      <c r="H1511" s="4">
        <v>1496</v>
      </c>
      <c r="I1511" s="3">
        <v>0.66785303897682102</v>
      </c>
      <c r="J1511" s="128">
        <v>1.3796733405986791E-3</v>
      </c>
      <c r="K1511" s="128"/>
      <c r="L1511" s="128">
        <v>4.2599999999999999E-2</v>
      </c>
      <c r="O1511" s="2"/>
    </row>
    <row r="1512" spans="2:15" x14ac:dyDescent="0.2">
      <c r="B1512" s="1">
        <v>1497</v>
      </c>
      <c r="C1512" s="5">
        <f ca="1">_xlfn.NORM.S.INV(RAND())</f>
        <v>0.64054325415816504</v>
      </c>
      <c r="D1512" s="5">
        <f ca="1">S0*EXP((μ-0.5*σ*σ)*T+σ*SQRT(T)*$C1512)</f>
        <v>0.70782223789424858</v>
      </c>
      <c r="E1512" s="5">
        <f ca="1">MAX(0,CP*(D1512-K))</f>
        <v>0</v>
      </c>
      <c r="F1512" s="4">
        <f ca="1">(CP*(D1512-K)&gt;0)*1</f>
        <v>0</v>
      </c>
      <c r="H1512" s="4">
        <v>1497</v>
      </c>
      <c r="I1512" s="3">
        <v>0.66778501785674094</v>
      </c>
      <c r="J1512" s="128">
        <v>1.3425317311021323E-3</v>
      </c>
      <c r="K1512" s="128"/>
      <c r="L1512" s="128">
        <v>4.2200000000000001E-2</v>
      </c>
      <c r="O1512" s="2"/>
    </row>
    <row r="1513" spans="2:15" x14ac:dyDescent="0.2">
      <c r="B1513" s="1">
        <v>1498</v>
      </c>
      <c r="C1513" s="5">
        <f ca="1">_xlfn.NORM.S.INV(RAND())</f>
        <v>0.23894325848900916</v>
      </c>
      <c r="D1513" s="5">
        <f ca="1">S0*EXP((μ-0.5*σ*σ)*T+σ*SQRT(T)*$C1513)</f>
        <v>0.68034516047644422</v>
      </c>
      <c r="E1513" s="5">
        <f ca="1">MAX(0,CP*(D1513-K))</f>
        <v>0</v>
      </c>
      <c r="F1513" s="4">
        <f ca="1">(CP*(D1513-K)&gt;0)*1</f>
        <v>0</v>
      </c>
      <c r="H1513" s="4">
        <v>1498</v>
      </c>
      <c r="I1513" s="3">
        <v>0.66782614276184671</v>
      </c>
      <c r="J1513" s="128">
        <v>1.3609087295535622E-3</v>
      </c>
      <c r="K1513" s="128"/>
      <c r="L1513" s="128">
        <v>4.2200000000000001E-2</v>
      </c>
      <c r="O1513" s="2"/>
    </row>
    <row r="1514" spans="2:15" x14ac:dyDescent="0.2">
      <c r="B1514" s="1">
        <v>1499</v>
      </c>
      <c r="C1514" s="5">
        <f ca="1">_xlfn.NORM.S.INV(RAND())</f>
        <v>-1.377428547858031</v>
      </c>
      <c r="D1514" s="5">
        <f ca="1">S0*EXP((μ-0.5*σ*σ)*T+σ*SQRT(T)*$C1514)</f>
        <v>0.58012653977765627</v>
      </c>
      <c r="E1514" s="5">
        <f ca="1">MAX(0,CP*(D1514-K))</f>
        <v>0</v>
      </c>
      <c r="F1514" s="4">
        <f ca="1">(CP*(D1514-K)&gt;0)*1</f>
        <v>0</v>
      </c>
      <c r="H1514" s="4">
        <v>1499</v>
      </c>
      <c r="I1514" s="3">
        <v>0.66772579930042597</v>
      </c>
      <c r="J1514" s="128">
        <v>1.3023965587090815E-3</v>
      </c>
      <c r="K1514" s="128"/>
      <c r="L1514" s="128">
        <v>4.2000000000000003E-2</v>
      </c>
      <c r="O1514" s="2"/>
    </row>
    <row r="1515" spans="2:15" x14ac:dyDescent="0.2">
      <c r="B1515" s="1">
        <v>1500</v>
      </c>
      <c r="C1515" s="5">
        <f ca="1">_xlfn.NORM.S.INV(RAND())</f>
        <v>0.56271188810264272</v>
      </c>
      <c r="D1515" s="5">
        <f ca="1">S0*EXP((μ-0.5*σ*σ)*T+σ*SQRT(T)*$C1515)</f>
        <v>0.70241176247571613</v>
      </c>
      <c r="E1515" s="5">
        <f ca="1">MAX(0,CP*(D1515-K))</f>
        <v>0</v>
      </c>
      <c r="F1515" s="4">
        <f ca="1">(CP*(D1515-K)&gt;0)*1</f>
        <v>0</v>
      </c>
      <c r="H1515" s="4">
        <v>1500</v>
      </c>
      <c r="I1515" s="3">
        <v>0.66790352703700961</v>
      </c>
      <c r="J1515" s="128">
        <v>1.6505267141934152E-3</v>
      </c>
      <c r="K1515" s="128"/>
      <c r="L1515" s="128">
        <v>4.58E-2</v>
      </c>
      <c r="O1515" s="2"/>
    </row>
    <row r="1516" spans="2:15" x14ac:dyDescent="0.2">
      <c r="B1516" s="1">
        <v>1501</v>
      </c>
      <c r="C1516" s="5">
        <f ca="1">_xlfn.NORM.S.INV(RAND())</f>
        <v>0.34750779605436888</v>
      </c>
      <c r="D1516" s="5">
        <f ca="1">S0*EXP((μ-0.5*σ*σ)*T+σ*SQRT(T)*$C1516)</f>
        <v>0.68766607320072137</v>
      </c>
      <c r="E1516" s="5">
        <f ca="1">MAX(0,CP*(D1516-K))</f>
        <v>0</v>
      </c>
      <c r="F1516" s="4">
        <f ca="1">(CP*(D1516-K)&gt;0)*1</f>
        <v>0</v>
      </c>
      <c r="H1516" s="4">
        <v>1501</v>
      </c>
      <c r="I1516" s="3">
        <v>0.66775255312096682</v>
      </c>
      <c r="J1516" s="128">
        <v>1.5108707563030528E-3</v>
      </c>
      <c r="K1516" s="128"/>
      <c r="L1516" s="128">
        <v>4.0599999999999997E-2</v>
      </c>
      <c r="O1516" s="2"/>
    </row>
    <row r="1517" spans="2:15" x14ac:dyDescent="0.2">
      <c r="B1517" s="1">
        <v>1502</v>
      </c>
      <c r="C1517" s="5">
        <f ca="1">_xlfn.NORM.S.INV(RAND())</f>
        <v>-1.4695186899750099</v>
      </c>
      <c r="D1517" s="5">
        <f ca="1">S0*EXP((μ-0.5*σ*σ)*T+σ*SQRT(T)*$C1517)</f>
        <v>0.57488344601929675</v>
      </c>
      <c r="E1517" s="5">
        <f ca="1">MAX(0,CP*(D1517-K))</f>
        <v>0</v>
      </c>
      <c r="F1517" s="4">
        <f ca="1">(CP*(D1517-K)&gt;0)*1</f>
        <v>0</v>
      </c>
      <c r="H1517" s="4">
        <v>1502</v>
      </c>
      <c r="I1517" s="3">
        <v>0.66762364261026297</v>
      </c>
      <c r="J1517" s="128">
        <v>1.2998219067683885E-3</v>
      </c>
      <c r="K1517" s="128"/>
      <c r="L1517" s="128">
        <v>3.7199999999999997E-2</v>
      </c>
      <c r="O1517" s="2"/>
    </row>
    <row r="1518" spans="2:15" x14ac:dyDescent="0.2">
      <c r="B1518" s="1">
        <v>1503</v>
      </c>
      <c r="C1518" s="5">
        <f ca="1">_xlfn.NORM.S.INV(RAND())</f>
        <v>-1.1526895596662585</v>
      </c>
      <c r="D1518" s="5">
        <f ca="1">S0*EXP((μ-0.5*σ*σ)*T+σ*SQRT(T)*$C1518)</f>
        <v>0.5931235353443135</v>
      </c>
      <c r="E1518" s="5">
        <f ca="1">MAX(0,CP*(D1518-K))</f>
        <v>0</v>
      </c>
      <c r="F1518" s="4">
        <f ca="1">(CP*(D1518-K)&gt;0)*1</f>
        <v>0</v>
      </c>
      <c r="H1518" s="4">
        <v>1503</v>
      </c>
      <c r="I1518" s="3">
        <v>0.667701144126021</v>
      </c>
      <c r="J1518" s="128">
        <v>1.4411004300153901E-3</v>
      </c>
      <c r="K1518" s="128"/>
      <c r="L1518" s="128">
        <v>4.2000000000000003E-2</v>
      </c>
      <c r="O1518" s="2"/>
    </row>
    <row r="1519" spans="2:15" x14ac:dyDescent="0.2">
      <c r="B1519" s="1">
        <v>1504</v>
      </c>
      <c r="C1519" s="5">
        <f ca="1">_xlfn.NORM.S.INV(RAND())</f>
        <v>-0.98006272682086826</v>
      </c>
      <c r="D1519" s="5">
        <f ca="1">S0*EXP((μ-0.5*σ*σ)*T+σ*SQRT(T)*$C1519)</f>
        <v>0.60330419728522189</v>
      </c>
      <c r="E1519" s="5">
        <f ca="1">MAX(0,CP*(D1519-K))</f>
        <v>0</v>
      </c>
      <c r="F1519" s="4">
        <f ca="1">(CP*(D1519-K)&gt;0)*1</f>
        <v>0</v>
      </c>
      <c r="H1519" s="4">
        <v>1504</v>
      </c>
      <c r="I1519" s="3">
        <v>0.6678722000189985</v>
      </c>
      <c r="J1519" s="128">
        <v>1.5658932939242871E-3</v>
      </c>
      <c r="K1519" s="128"/>
      <c r="L1519" s="128">
        <v>4.2000000000000003E-2</v>
      </c>
      <c r="O1519" s="2"/>
    </row>
    <row r="1520" spans="2:15" x14ac:dyDescent="0.2">
      <c r="B1520" s="1">
        <v>1505</v>
      </c>
      <c r="C1520" s="5">
        <f ca="1">_xlfn.NORM.S.INV(RAND())</f>
        <v>-0.29580162046398156</v>
      </c>
      <c r="D1520" s="5">
        <f ca="1">S0*EXP((μ-0.5*σ*σ)*T+σ*SQRT(T)*$C1520)</f>
        <v>0.64540699238834043</v>
      </c>
      <c r="E1520" s="5">
        <f ca="1">MAX(0,CP*(D1520-K))</f>
        <v>0</v>
      </c>
      <c r="F1520" s="4">
        <f ca="1">(CP*(D1520-K)&gt;0)*1</f>
        <v>0</v>
      </c>
      <c r="H1520" s="4">
        <v>1505</v>
      </c>
      <c r="I1520" s="3">
        <v>0.66774649347620096</v>
      </c>
      <c r="J1520" s="128">
        <v>1.4376273302502628E-3</v>
      </c>
      <c r="K1520" s="128"/>
      <c r="L1520" s="128">
        <v>4.2000000000000003E-2</v>
      </c>
      <c r="O1520" s="2"/>
    </row>
    <row r="1521" spans="2:15" x14ac:dyDescent="0.2">
      <c r="B1521" s="1">
        <v>1506</v>
      </c>
      <c r="C1521" s="5">
        <f ca="1">_xlfn.NORM.S.INV(RAND())</f>
        <v>1.053710777804896</v>
      </c>
      <c r="D1521" s="5">
        <f ca="1">S0*EXP((μ-0.5*σ*σ)*T+σ*SQRT(T)*$C1521)</f>
        <v>0.73724932083757877</v>
      </c>
      <c r="E1521" s="5">
        <f ca="1">MAX(0,CP*(D1521-K))</f>
        <v>0</v>
      </c>
      <c r="F1521" s="4">
        <f ca="1">(CP*(D1521-K)&gt;0)*1</f>
        <v>0</v>
      </c>
      <c r="H1521" s="4">
        <v>1506</v>
      </c>
      <c r="I1521" s="3">
        <v>0.66765183307390452</v>
      </c>
      <c r="J1521" s="128">
        <v>1.2063135586595371E-3</v>
      </c>
      <c r="K1521" s="128"/>
      <c r="L1521" s="128">
        <v>3.9800000000000002E-2</v>
      </c>
      <c r="O1521" s="2"/>
    </row>
    <row r="1522" spans="2:15" x14ac:dyDescent="0.2">
      <c r="B1522" s="1">
        <v>1507</v>
      </c>
      <c r="C1522" s="5">
        <f ca="1">_xlfn.NORM.S.INV(RAND())</f>
        <v>1.3332318449584717</v>
      </c>
      <c r="D1522" s="5">
        <f ca="1">S0*EXP((μ-0.5*σ*σ)*T+σ*SQRT(T)*$C1522)</f>
        <v>0.75784842697584009</v>
      </c>
      <c r="E1522" s="5">
        <f ca="1">MAX(0,CP*(D1522-K))</f>
        <v>0</v>
      </c>
      <c r="F1522" s="4">
        <f ca="1">(CP*(D1522-K)&gt;0)*1</f>
        <v>0</v>
      </c>
      <c r="H1522" s="4">
        <v>1507</v>
      </c>
      <c r="I1522" s="3">
        <v>0.66765386561398665</v>
      </c>
      <c r="J1522" s="128">
        <v>1.2830505008271497E-3</v>
      </c>
      <c r="K1522" s="128"/>
      <c r="L1522" s="128">
        <v>4.0599999999999997E-2</v>
      </c>
      <c r="O1522" s="2"/>
    </row>
    <row r="1523" spans="2:15" x14ac:dyDescent="0.2">
      <c r="B1523" s="1">
        <v>1508</v>
      </c>
      <c r="C1523" s="5">
        <f ca="1">_xlfn.NORM.S.INV(RAND())</f>
        <v>-0.50491163019226781</v>
      </c>
      <c r="D1523" s="5">
        <f ca="1">S0*EXP((μ-0.5*σ*σ)*T+σ*SQRT(T)*$C1523)</f>
        <v>0.63223773538277617</v>
      </c>
      <c r="E1523" s="5">
        <f ca="1">MAX(0,CP*(D1523-K))</f>
        <v>0</v>
      </c>
      <c r="F1523" s="4">
        <f ca="1">(CP*(D1523-K)&gt;0)*1</f>
        <v>0</v>
      </c>
      <c r="H1523" s="4">
        <v>1508</v>
      </c>
      <c r="I1523" s="3">
        <v>0.66767146773981045</v>
      </c>
      <c r="J1523" s="128">
        <v>1.3226115747751598E-3</v>
      </c>
      <c r="K1523" s="128"/>
      <c r="L1523" s="128">
        <v>3.9399999999999998E-2</v>
      </c>
      <c r="O1523" s="2"/>
    </row>
    <row r="1524" spans="2:15" x14ac:dyDescent="0.2">
      <c r="B1524" s="1">
        <v>1509</v>
      </c>
      <c r="C1524" s="5">
        <f ca="1">_xlfn.NORM.S.INV(RAND())</f>
        <v>-1.1332351002810521</v>
      </c>
      <c r="D1524" s="5">
        <f ca="1">S0*EXP((μ-0.5*σ*σ)*T+σ*SQRT(T)*$C1524)</f>
        <v>0.59426221770293475</v>
      </c>
      <c r="E1524" s="5">
        <f ca="1">MAX(0,CP*(D1524-K))</f>
        <v>0</v>
      </c>
      <c r="F1524" s="4">
        <f ca="1">(CP*(D1524-K)&gt;0)*1</f>
        <v>0</v>
      </c>
      <c r="H1524" s="4">
        <v>1509</v>
      </c>
      <c r="I1524" s="3">
        <v>0.66780839450620966</v>
      </c>
      <c r="J1524" s="128">
        <v>1.4406266695600849E-3</v>
      </c>
      <c r="K1524" s="128"/>
      <c r="L1524" s="128">
        <v>4.24E-2</v>
      </c>
      <c r="O1524" s="2"/>
    </row>
    <row r="1525" spans="2:15" x14ac:dyDescent="0.2">
      <c r="B1525" s="1">
        <v>1510</v>
      </c>
      <c r="C1525" s="5">
        <f ca="1">_xlfn.NORM.S.INV(RAND())</f>
        <v>-1.1758983860684025</v>
      </c>
      <c r="D1525" s="5">
        <f ca="1">S0*EXP((μ-0.5*σ*σ)*T+σ*SQRT(T)*$C1525)</f>
        <v>0.59176796113277053</v>
      </c>
      <c r="E1525" s="5">
        <f ca="1">MAX(0,CP*(D1525-K))</f>
        <v>0</v>
      </c>
      <c r="F1525" s="4">
        <f ca="1">(CP*(D1525-K)&gt;0)*1</f>
        <v>0</v>
      </c>
      <c r="H1525" s="4">
        <v>1510</v>
      </c>
      <c r="I1525" s="3">
        <v>0.66763719626965645</v>
      </c>
      <c r="J1525" s="128">
        <v>1.1441831424853081E-3</v>
      </c>
      <c r="K1525" s="128"/>
      <c r="L1525" s="128">
        <v>3.8600000000000002E-2</v>
      </c>
      <c r="O1525" s="2"/>
    </row>
    <row r="1526" spans="2:15" x14ac:dyDescent="0.2">
      <c r="B1526" s="1">
        <v>1511</v>
      </c>
      <c r="C1526" s="5">
        <f ca="1">_xlfn.NORM.S.INV(RAND())</f>
        <v>-0.50327212778539043</v>
      </c>
      <c r="D1526" s="5">
        <f ca="1">S0*EXP((μ-0.5*σ*σ)*T+σ*SQRT(T)*$C1526)</f>
        <v>0.6323399350052199</v>
      </c>
      <c r="E1526" s="5">
        <f ca="1">MAX(0,CP*(D1526-K))</f>
        <v>0</v>
      </c>
      <c r="F1526" s="4">
        <f ca="1">(CP*(D1526-K)&gt;0)*1</f>
        <v>0</v>
      </c>
      <c r="H1526" s="4">
        <v>1511</v>
      </c>
      <c r="I1526" s="3">
        <v>0.66762513793094136</v>
      </c>
      <c r="J1526" s="128">
        <v>1.1811751790079779E-3</v>
      </c>
      <c r="K1526" s="128"/>
      <c r="L1526" s="128">
        <v>3.6999999999999998E-2</v>
      </c>
      <c r="O1526" s="2"/>
    </row>
    <row r="1527" spans="2:15" x14ac:dyDescent="0.2">
      <c r="B1527" s="1">
        <v>1512</v>
      </c>
      <c r="C1527" s="5">
        <f ca="1">_xlfn.NORM.S.INV(RAND())</f>
        <v>-2.1023891164929371</v>
      </c>
      <c r="D1527" s="5">
        <f ca="1">S0*EXP((μ-0.5*σ*σ)*T+σ*SQRT(T)*$C1527)</f>
        <v>0.54011075676620401</v>
      </c>
      <c r="E1527" s="5">
        <f ca="1">MAX(0,CP*(D1527-K))</f>
        <v>0</v>
      </c>
      <c r="F1527" s="4">
        <f ca="1">(CP*(D1527-K)&gt;0)*1</f>
        <v>0</v>
      </c>
      <c r="H1527" s="4">
        <v>1512</v>
      </c>
      <c r="I1527" s="3">
        <v>0.66776017593146086</v>
      </c>
      <c r="J1527" s="128">
        <v>1.5702240886899034E-3</v>
      </c>
      <c r="K1527" s="128"/>
      <c r="L1527" s="128">
        <v>4.3200000000000002E-2</v>
      </c>
      <c r="O1527" s="2"/>
    </row>
    <row r="1528" spans="2:15" x14ac:dyDescent="0.2">
      <c r="B1528" s="1">
        <v>1513</v>
      </c>
      <c r="C1528" s="5">
        <f ca="1">_xlfn.NORM.S.INV(RAND())</f>
        <v>0.2907440561269562</v>
      </c>
      <c r="D1528" s="5">
        <f ca="1">S0*EXP((μ-0.5*σ*σ)*T+σ*SQRT(T)*$C1528)</f>
        <v>0.68382850868877654</v>
      </c>
      <c r="E1528" s="5">
        <f ca="1">MAX(0,CP*(D1528-K))</f>
        <v>0</v>
      </c>
      <c r="F1528" s="4">
        <f ca="1">(CP*(D1528-K)&gt;0)*1</f>
        <v>0</v>
      </c>
      <c r="H1528" s="4">
        <v>1513</v>
      </c>
      <c r="I1528" s="3">
        <v>0.66771991460820079</v>
      </c>
      <c r="J1528" s="128">
        <v>1.3706150919179938E-3</v>
      </c>
      <c r="K1528" s="128"/>
      <c r="L1528" s="128">
        <v>4.1000000000000002E-2</v>
      </c>
      <c r="O1528" s="2"/>
    </row>
    <row r="1529" spans="2:15" x14ac:dyDescent="0.2">
      <c r="B1529" s="1">
        <v>1514</v>
      </c>
      <c r="C1529" s="5">
        <f ca="1">_xlfn.NORM.S.INV(RAND())</f>
        <v>-0.78410854523840023</v>
      </c>
      <c r="D1529" s="5">
        <f ca="1">S0*EXP((μ-0.5*σ*σ)*T+σ*SQRT(T)*$C1529)</f>
        <v>0.61507251386597162</v>
      </c>
      <c r="E1529" s="5">
        <f ca="1">MAX(0,CP*(D1529-K))</f>
        <v>0</v>
      </c>
      <c r="F1529" s="4">
        <f ca="1">(CP*(D1529-K)&gt;0)*1</f>
        <v>0</v>
      </c>
      <c r="H1529" s="4">
        <v>1514</v>
      </c>
      <c r="I1529" s="3">
        <v>0.66769016657523939</v>
      </c>
      <c r="J1529" s="128">
        <v>1.310341757205128E-3</v>
      </c>
      <c r="K1529" s="128"/>
      <c r="L1529" s="128">
        <v>3.8199999999999998E-2</v>
      </c>
      <c r="O1529" s="2"/>
    </row>
    <row r="1530" spans="2:15" x14ac:dyDescent="0.2">
      <c r="B1530" s="1">
        <v>1515</v>
      </c>
      <c r="C1530" s="5">
        <f ca="1">_xlfn.NORM.S.INV(RAND())</f>
        <v>0.6117449139101927</v>
      </c>
      <c r="D1530" s="5">
        <f ca="1">S0*EXP((μ-0.5*σ*σ)*T+σ*SQRT(T)*$C1530)</f>
        <v>0.70581547060623739</v>
      </c>
      <c r="E1530" s="5">
        <f ca="1">MAX(0,CP*(D1530-K))</f>
        <v>0</v>
      </c>
      <c r="F1530" s="4">
        <f ca="1">(CP*(D1530-K)&gt;0)*1</f>
        <v>0</v>
      </c>
      <c r="H1530" s="4">
        <v>1515</v>
      </c>
      <c r="I1530" s="3">
        <v>0.6676713714618342</v>
      </c>
      <c r="J1530" s="128">
        <v>1.3555065324967657E-3</v>
      </c>
      <c r="K1530" s="128"/>
      <c r="L1530" s="128">
        <v>4.1399999999999999E-2</v>
      </c>
      <c r="O1530" s="2"/>
    </row>
    <row r="1531" spans="2:15" x14ac:dyDescent="0.2">
      <c r="B1531" s="1">
        <v>1516</v>
      </c>
      <c r="C1531" s="5">
        <f ca="1">_xlfn.NORM.S.INV(RAND())</f>
        <v>-0.11888161007851174</v>
      </c>
      <c r="D1531" s="5">
        <f ca="1">S0*EXP((μ-0.5*σ*σ)*T+σ*SQRT(T)*$C1531)</f>
        <v>0.65676299153509521</v>
      </c>
      <c r="E1531" s="5">
        <f ca="1">MAX(0,CP*(D1531-K))</f>
        <v>0</v>
      </c>
      <c r="F1531" s="4">
        <f ca="1">(CP*(D1531-K)&gt;0)*1</f>
        <v>0</v>
      </c>
      <c r="H1531" s="4">
        <v>1516</v>
      </c>
      <c r="I1531" s="3">
        <v>0.66799794860069628</v>
      </c>
      <c r="J1531" s="128">
        <v>1.8147220917897897E-3</v>
      </c>
      <c r="K1531" s="128"/>
      <c r="L1531" s="128">
        <v>4.9000000000000002E-2</v>
      </c>
      <c r="O1531" s="2"/>
    </row>
    <row r="1532" spans="2:15" x14ac:dyDescent="0.2">
      <c r="B1532" s="1">
        <v>1517</v>
      </c>
      <c r="C1532" s="5">
        <f ca="1">_xlfn.NORM.S.INV(RAND())</f>
        <v>1.1222699153703337</v>
      </c>
      <c r="D1532" s="5">
        <f ca="1">S0*EXP((μ-0.5*σ*σ)*T+σ*SQRT(T)*$C1532)</f>
        <v>0.74224932064928328</v>
      </c>
      <c r="E1532" s="5">
        <f ca="1">MAX(0,CP*(D1532-K))</f>
        <v>0</v>
      </c>
      <c r="F1532" s="4">
        <f ca="1">(CP*(D1532-K)&gt;0)*1</f>
        <v>0</v>
      </c>
      <c r="H1532" s="4">
        <v>1517</v>
      </c>
      <c r="I1532" s="3">
        <v>0.66790561977947738</v>
      </c>
      <c r="J1532" s="128">
        <v>1.6394665182428614E-3</v>
      </c>
      <c r="K1532" s="128"/>
      <c r="L1532" s="128">
        <v>4.5999999999999999E-2</v>
      </c>
      <c r="O1532" s="2"/>
    </row>
    <row r="1533" spans="2:15" x14ac:dyDescent="0.2">
      <c r="B1533" s="1">
        <v>1518</v>
      </c>
      <c r="C1533" s="5">
        <f ca="1">_xlfn.NORM.S.INV(RAND())</f>
        <v>-0.91612828299787274</v>
      </c>
      <c r="D1533" s="5">
        <f ca="1">S0*EXP((μ-0.5*σ*σ)*T+σ*SQRT(T)*$C1533)</f>
        <v>0.60711891482466362</v>
      </c>
      <c r="E1533" s="5">
        <f ca="1">MAX(0,CP*(D1533-K))</f>
        <v>0</v>
      </c>
      <c r="F1533" s="4">
        <f ca="1">(CP*(D1533-K)&gt;0)*1</f>
        <v>0</v>
      </c>
      <c r="H1533" s="4">
        <v>1518</v>
      </c>
      <c r="I1533" s="3">
        <v>0.66771394080482982</v>
      </c>
      <c r="J1533" s="128">
        <v>1.3272848375674748E-3</v>
      </c>
      <c r="K1533" s="128"/>
      <c r="L1533" s="128">
        <v>4.2599999999999999E-2</v>
      </c>
      <c r="O1533" s="2"/>
    </row>
    <row r="1534" spans="2:15" x14ac:dyDescent="0.2">
      <c r="B1534" s="1">
        <v>1519</v>
      </c>
      <c r="C1534" s="5">
        <f ca="1">_xlfn.NORM.S.INV(RAND())</f>
        <v>-3.4146198956250248E-2</v>
      </c>
      <c r="D1534" s="5">
        <f ca="1">S0*EXP((μ-0.5*σ*σ)*T+σ*SQRT(T)*$C1534)</f>
        <v>0.66227247155105107</v>
      </c>
      <c r="E1534" s="5">
        <f ca="1">MAX(0,CP*(D1534-K))</f>
        <v>0</v>
      </c>
      <c r="F1534" s="4">
        <f ca="1">(CP*(D1534-K)&gt;0)*1</f>
        <v>0</v>
      </c>
      <c r="H1534" s="4">
        <v>1519</v>
      </c>
      <c r="I1534" s="3">
        <v>0.66779674392553257</v>
      </c>
      <c r="J1534" s="128">
        <v>1.4129174102319876E-3</v>
      </c>
      <c r="K1534" s="128"/>
      <c r="L1534" s="128">
        <v>4.4200000000000003E-2</v>
      </c>
      <c r="O1534" s="2"/>
    </row>
    <row r="1535" spans="2:15" x14ac:dyDescent="0.2">
      <c r="B1535" s="1">
        <v>1520</v>
      </c>
      <c r="C1535" s="5">
        <f ca="1">_xlfn.NORM.S.INV(RAND())</f>
        <v>-0.65063674663917281</v>
      </c>
      <c r="D1535" s="5">
        <f ca="1">S0*EXP((μ-0.5*σ*σ)*T+σ*SQRT(T)*$C1535)</f>
        <v>0.62321952013271831</v>
      </c>
      <c r="E1535" s="5">
        <f ca="1">MAX(0,CP*(D1535-K))</f>
        <v>0</v>
      </c>
      <c r="F1535" s="4">
        <f ca="1">(CP*(D1535-K)&gt;0)*1</f>
        <v>0</v>
      </c>
      <c r="H1535" s="4">
        <v>1520</v>
      </c>
      <c r="I1535" s="3">
        <v>0.66786961609828266</v>
      </c>
      <c r="J1535" s="128">
        <v>1.4378559203515984E-3</v>
      </c>
      <c r="K1535" s="128"/>
      <c r="L1535" s="128">
        <v>4.3999999999999997E-2</v>
      </c>
      <c r="O1535" s="2"/>
    </row>
    <row r="1536" spans="2:15" x14ac:dyDescent="0.2">
      <c r="B1536" s="1">
        <v>1521</v>
      </c>
      <c r="C1536" s="5">
        <f ca="1">_xlfn.NORM.S.INV(RAND())</f>
        <v>-1.7070349478416049</v>
      </c>
      <c r="D1536" s="5">
        <f ca="1">S0*EXP((μ-0.5*σ*σ)*T+σ*SQRT(T)*$C1536)</f>
        <v>0.56157828788420716</v>
      </c>
      <c r="E1536" s="5">
        <f ca="1">MAX(0,CP*(D1536-K))</f>
        <v>0</v>
      </c>
      <c r="F1536" s="4">
        <f ca="1">(CP*(D1536-K)&gt;0)*1</f>
        <v>0</v>
      </c>
      <c r="H1536" s="4">
        <v>1521</v>
      </c>
      <c r="I1536" s="3">
        <v>0.66785217094456639</v>
      </c>
      <c r="J1536" s="128">
        <v>1.4981493515163649E-3</v>
      </c>
      <c r="K1536" s="128"/>
      <c r="L1536" s="128">
        <v>4.2999999999999997E-2</v>
      </c>
      <c r="O1536" s="2"/>
    </row>
    <row r="1537" spans="2:15" x14ac:dyDescent="0.2">
      <c r="B1537" s="1">
        <v>1522</v>
      </c>
      <c r="C1537" s="5">
        <f ca="1">_xlfn.NORM.S.INV(RAND())</f>
        <v>0.60048638540487198</v>
      </c>
      <c r="D1537" s="5">
        <f ca="1">S0*EXP((μ-0.5*σ*σ)*T+σ*SQRT(T)*$C1537)</f>
        <v>0.70503248545622643</v>
      </c>
      <c r="E1537" s="5">
        <f ca="1">MAX(0,CP*(D1537-K))</f>
        <v>0</v>
      </c>
      <c r="F1537" s="4">
        <f ca="1">(CP*(D1537-K)&gt;0)*1</f>
        <v>0</v>
      </c>
      <c r="H1537" s="4">
        <v>1522</v>
      </c>
      <c r="I1537" s="3">
        <v>0.66762577589623218</v>
      </c>
      <c r="J1537" s="128">
        <v>1.1599743811214992E-3</v>
      </c>
      <c r="K1537" s="128"/>
      <c r="L1537" s="128">
        <v>3.78E-2</v>
      </c>
      <c r="O1537" s="2"/>
    </row>
    <row r="1538" spans="2:15" x14ac:dyDescent="0.2">
      <c r="B1538" s="1">
        <v>1523</v>
      </c>
      <c r="C1538" s="5">
        <f ca="1">_xlfn.NORM.S.INV(RAND())</f>
        <v>0.39869037303199573</v>
      </c>
      <c r="D1538" s="5">
        <f ca="1">S0*EXP((μ-0.5*σ*σ)*T+σ*SQRT(T)*$C1538)</f>
        <v>0.69114477854567191</v>
      </c>
      <c r="E1538" s="5">
        <f ca="1">MAX(0,CP*(D1538-K))</f>
        <v>0</v>
      </c>
      <c r="F1538" s="4">
        <f ca="1">(CP*(D1538-K)&gt;0)*1</f>
        <v>0</v>
      </c>
      <c r="H1538" s="4">
        <v>1523</v>
      </c>
      <c r="I1538" s="3">
        <v>0.66775731289689799</v>
      </c>
      <c r="J1538" s="128">
        <v>1.3983278305517712E-3</v>
      </c>
      <c r="K1538" s="128"/>
      <c r="L1538" s="128">
        <v>3.9399999999999998E-2</v>
      </c>
      <c r="O1538" s="2"/>
    </row>
    <row r="1539" spans="2:15" x14ac:dyDescent="0.2">
      <c r="B1539" s="1">
        <v>1524</v>
      </c>
      <c r="C1539" s="5">
        <f ca="1">_xlfn.NORM.S.INV(RAND())</f>
        <v>0.17685951131845146</v>
      </c>
      <c r="D1539" s="5">
        <f ca="1">S0*EXP((μ-0.5*σ*σ)*T+σ*SQRT(T)*$C1539)</f>
        <v>0.67619370359769482</v>
      </c>
      <c r="E1539" s="5">
        <f ca="1">MAX(0,CP*(D1539-K))</f>
        <v>0</v>
      </c>
      <c r="F1539" s="4">
        <f ca="1">(CP*(D1539-K)&gt;0)*1</f>
        <v>0</v>
      </c>
      <c r="H1539" s="4">
        <v>1524</v>
      </c>
      <c r="I1539" s="3">
        <v>0.66787532171394226</v>
      </c>
      <c r="J1539" s="128">
        <v>1.6028929496205162E-3</v>
      </c>
      <c r="K1539" s="128"/>
      <c r="L1539" s="128">
        <v>4.48E-2</v>
      </c>
      <c r="O1539" s="2"/>
    </row>
    <row r="1540" spans="2:15" x14ac:dyDescent="0.2">
      <c r="B1540" s="1">
        <v>1525</v>
      </c>
      <c r="C1540" s="5">
        <f ca="1">_xlfn.NORM.S.INV(RAND())</f>
        <v>0.90144968509129009</v>
      </c>
      <c r="D1540" s="5">
        <f ca="1">S0*EXP((μ-0.5*σ*σ)*T+σ*SQRT(T)*$C1540)</f>
        <v>0.72626509340929135</v>
      </c>
      <c r="E1540" s="5">
        <f ca="1">MAX(0,CP*(D1540-K))</f>
        <v>0</v>
      </c>
      <c r="F1540" s="4">
        <f ca="1">(CP*(D1540-K)&gt;0)*1</f>
        <v>0</v>
      </c>
      <c r="H1540" s="4">
        <v>1525</v>
      </c>
      <c r="I1540" s="3">
        <v>0.66775749921058536</v>
      </c>
      <c r="J1540" s="128">
        <v>1.3559943645582064E-3</v>
      </c>
      <c r="K1540" s="128"/>
      <c r="L1540" s="128">
        <v>4.24E-2</v>
      </c>
      <c r="O1540" s="2"/>
    </row>
    <row r="1541" spans="2:15" x14ac:dyDescent="0.2">
      <c r="B1541" s="1">
        <v>1526</v>
      </c>
      <c r="C1541" s="5">
        <f ca="1">_xlfn.NORM.S.INV(RAND())</f>
        <v>0.60618471486695946</v>
      </c>
      <c r="D1541" s="5">
        <f ca="1">S0*EXP((μ-0.5*σ*σ)*T+σ*SQRT(T)*$C1541)</f>
        <v>0.70542867261921116</v>
      </c>
      <c r="E1541" s="5">
        <f ca="1">MAX(0,CP*(D1541-K))</f>
        <v>0</v>
      </c>
      <c r="F1541" s="4">
        <f ca="1">(CP*(D1541-K)&gt;0)*1</f>
        <v>0</v>
      </c>
      <c r="H1541" s="4">
        <v>1526</v>
      </c>
      <c r="I1541" s="3">
        <v>0.66770459140712457</v>
      </c>
      <c r="J1541" s="128">
        <v>1.31309630988054E-3</v>
      </c>
      <c r="K1541" s="128"/>
      <c r="L1541" s="128">
        <v>4.0800000000000003E-2</v>
      </c>
      <c r="O1541" s="2"/>
    </row>
    <row r="1542" spans="2:15" x14ac:dyDescent="0.2">
      <c r="B1542" s="1">
        <v>1527</v>
      </c>
      <c r="C1542" s="5">
        <f ca="1">_xlfn.NORM.S.INV(RAND())</f>
        <v>0.9383338572566684</v>
      </c>
      <c r="D1542" s="5">
        <f ca="1">S0*EXP((μ-0.5*σ*σ)*T+σ*SQRT(T)*$C1542)</f>
        <v>0.72891083112099642</v>
      </c>
      <c r="E1542" s="5">
        <f ca="1">MAX(0,CP*(D1542-K))</f>
        <v>0</v>
      </c>
      <c r="F1542" s="4">
        <f ca="1">(CP*(D1542-K)&gt;0)*1</f>
        <v>0</v>
      </c>
      <c r="H1542" s="4">
        <v>1527</v>
      </c>
      <c r="I1542" s="3">
        <v>0.66767861777303994</v>
      </c>
      <c r="J1542" s="128">
        <v>1.334985448012319E-3</v>
      </c>
      <c r="K1542" s="128"/>
      <c r="L1542" s="128">
        <v>4.0800000000000003E-2</v>
      </c>
      <c r="O1542" s="2"/>
    </row>
    <row r="1543" spans="2:15" x14ac:dyDescent="0.2">
      <c r="B1543" s="1">
        <v>1528</v>
      </c>
      <c r="C1543" s="5">
        <f ca="1">_xlfn.NORM.S.INV(RAND())</f>
        <v>-1.1228978111814282E-2</v>
      </c>
      <c r="D1543" s="5">
        <f ca="1">S0*EXP((μ-0.5*σ*σ)*T+σ*SQRT(T)*$C1543)</f>
        <v>0.66377046901412118</v>
      </c>
      <c r="E1543" s="5">
        <f ca="1">MAX(0,CP*(D1543-K))</f>
        <v>0</v>
      </c>
      <c r="F1543" s="4">
        <f ca="1">(CP*(D1543-K)&gt;0)*1</f>
        <v>0</v>
      </c>
      <c r="H1543" s="4">
        <v>1528</v>
      </c>
      <c r="I1543" s="3">
        <v>0.66768322253699597</v>
      </c>
      <c r="J1543" s="128">
        <v>1.3135072467697084E-3</v>
      </c>
      <c r="K1543" s="128"/>
      <c r="L1543" s="128">
        <v>4.0800000000000003E-2</v>
      </c>
      <c r="O1543" s="2"/>
    </row>
    <row r="1544" spans="2:15" x14ac:dyDescent="0.2">
      <c r="B1544" s="1">
        <v>1529</v>
      </c>
      <c r="C1544" s="5">
        <f ca="1">_xlfn.NORM.S.INV(RAND())</f>
        <v>-0.59177061940218989</v>
      </c>
      <c r="D1544" s="5">
        <f ca="1">S0*EXP((μ-0.5*σ*σ)*T+σ*SQRT(T)*$C1544)</f>
        <v>0.62684686667475498</v>
      </c>
      <c r="E1544" s="5">
        <f ca="1">MAX(0,CP*(D1544-K))</f>
        <v>0</v>
      </c>
      <c r="F1544" s="4">
        <f ca="1">(CP*(D1544-K)&gt;0)*1</f>
        <v>0</v>
      </c>
      <c r="H1544" s="4">
        <v>1529</v>
      </c>
      <c r="I1544" s="3">
        <v>0.66765013996370237</v>
      </c>
      <c r="J1544" s="128">
        <v>1.3189893002894801E-3</v>
      </c>
      <c r="K1544" s="128"/>
      <c r="L1544" s="128">
        <v>3.9E-2</v>
      </c>
      <c r="O1544" s="2"/>
    </row>
    <row r="1545" spans="2:15" x14ac:dyDescent="0.2">
      <c r="B1545" s="1">
        <v>1530</v>
      </c>
      <c r="C1545" s="5">
        <f ca="1">_xlfn.NORM.S.INV(RAND())</f>
        <v>-0.59034933300229375</v>
      </c>
      <c r="D1545" s="5">
        <f ca="1">S0*EXP((μ-0.5*σ*σ)*T+σ*SQRT(T)*$C1545)</f>
        <v>0.62693470725734446</v>
      </c>
      <c r="E1545" s="5">
        <f ca="1">MAX(0,CP*(D1545-K))</f>
        <v>0</v>
      </c>
      <c r="F1545" s="4">
        <f ca="1">(CP*(D1545-K)&gt;0)*1</f>
        <v>0</v>
      </c>
      <c r="H1545" s="4">
        <v>1530</v>
      </c>
      <c r="I1545" s="3">
        <v>0.66769440549190384</v>
      </c>
      <c r="J1545" s="128">
        <v>1.3462595123329331E-3</v>
      </c>
      <c r="K1545" s="128"/>
      <c r="L1545" s="128">
        <v>4.1599999999999998E-2</v>
      </c>
      <c r="O1545" s="2"/>
    </row>
    <row r="1546" spans="2:15" x14ac:dyDescent="0.2">
      <c r="B1546" s="1">
        <v>1531</v>
      </c>
      <c r="C1546" s="5">
        <f ca="1">_xlfn.NORM.S.INV(RAND())</f>
        <v>1.1240598609974097</v>
      </c>
      <c r="D1546" s="5">
        <f ca="1">S0*EXP((μ-0.5*σ*σ)*T+σ*SQRT(T)*$C1546)</f>
        <v>0.74238031413165551</v>
      </c>
      <c r="E1546" s="5">
        <f ca="1">MAX(0,CP*(D1546-K))</f>
        <v>0</v>
      </c>
      <c r="F1546" s="4">
        <f ca="1">(CP*(D1546-K)&gt;0)*1</f>
        <v>0</v>
      </c>
      <c r="H1546" s="4">
        <v>1531</v>
      </c>
      <c r="I1546" s="3">
        <v>0.66769004743762816</v>
      </c>
      <c r="J1546" s="128">
        <v>1.2601705997748621E-3</v>
      </c>
      <c r="K1546" s="128"/>
      <c r="L1546" s="128">
        <v>3.9199999999999999E-2</v>
      </c>
      <c r="O1546" s="2"/>
    </row>
    <row r="1547" spans="2:15" x14ac:dyDescent="0.2">
      <c r="B1547" s="1">
        <v>1532</v>
      </c>
      <c r="C1547" s="5">
        <f ca="1">_xlfn.NORM.S.INV(RAND())</f>
        <v>-0.93169381129179651</v>
      </c>
      <c r="D1547" s="5">
        <f ca="1">S0*EXP((μ-0.5*σ*σ)*T+σ*SQRT(T)*$C1547)</f>
        <v>0.60618796523434515</v>
      </c>
      <c r="E1547" s="5">
        <f ca="1">MAX(0,CP*(D1547-K))</f>
        <v>0</v>
      </c>
      <c r="F1547" s="4">
        <f ca="1">(CP*(D1547-K)&gt;0)*1</f>
        <v>0</v>
      </c>
      <c r="H1547" s="4">
        <v>1532</v>
      </c>
      <c r="I1547" s="3">
        <v>0.66764865668744344</v>
      </c>
      <c r="J1547" s="128">
        <v>1.1138296135944771E-3</v>
      </c>
      <c r="K1547" s="128"/>
      <c r="L1547" s="128">
        <v>3.6999999999999998E-2</v>
      </c>
      <c r="O1547" s="2"/>
    </row>
    <row r="1548" spans="2:15" x14ac:dyDescent="0.2">
      <c r="B1548" s="1">
        <v>1533</v>
      </c>
      <c r="C1548" s="5">
        <f ca="1">_xlfn.NORM.S.INV(RAND())</f>
        <v>0.12506999206738251</v>
      </c>
      <c r="D1548" s="5">
        <f ca="1">S0*EXP((μ-0.5*σ*σ)*T+σ*SQRT(T)*$C1548)</f>
        <v>0.67274999428937943</v>
      </c>
      <c r="E1548" s="5">
        <f ca="1">MAX(0,CP*(D1548-K))</f>
        <v>0</v>
      </c>
      <c r="F1548" s="4">
        <f ca="1">(CP*(D1548-K)&gt;0)*1</f>
        <v>0</v>
      </c>
      <c r="H1548" s="4">
        <v>1533</v>
      </c>
      <c r="I1548" s="3">
        <v>0.66762013694359634</v>
      </c>
      <c r="J1548" s="128">
        <v>1.1049502809402122E-3</v>
      </c>
      <c r="K1548" s="128"/>
      <c r="L1548" s="128">
        <v>3.6799999999999999E-2</v>
      </c>
      <c r="O1548" s="2"/>
    </row>
    <row r="1549" spans="2:15" x14ac:dyDescent="0.2">
      <c r="B1549" s="1">
        <v>1534</v>
      </c>
      <c r="C1549" s="5">
        <f ca="1">_xlfn.NORM.S.INV(RAND())</f>
        <v>0.79173806724159379</v>
      </c>
      <c r="D1549" s="5">
        <f ca="1">S0*EXP((μ-0.5*σ*σ)*T+σ*SQRT(T)*$C1549)</f>
        <v>0.71845200170014301</v>
      </c>
      <c r="E1549" s="5">
        <f ca="1">MAX(0,CP*(D1549-K))</f>
        <v>0</v>
      </c>
      <c r="F1549" s="4">
        <f ca="1">(CP*(D1549-K)&gt;0)*1</f>
        <v>0</v>
      </c>
      <c r="H1549" s="4">
        <v>1534</v>
      </c>
      <c r="I1549" s="3">
        <v>0.66770893201197545</v>
      </c>
      <c r="J1549" s="128">
        <v>1.249318929044126E-3</v>
      </c>
      <c r="K1549" s="128"/>
      <c r="L1549" s="128">
        <v>3.8600000000000002E-2</v>
      </c>
      <c r="O1549" s="2"/>
    </row>
    <row r="1550" spans="2:15" x14ac:dyDescent="0.2">
      <c r="B1550" s="1">
        <v>1535</v>
      </c>
      <c r="C1550" s="5">
        <f ca="1">_xlfn.NORM.S.INV(RAND())</f>
        <v>-1.3487506144401809</v>
      </c>
      <c r="D1550" s="5">
        <f ca="1">S0*EXP((μ-0.5*σ*σ)*T+σ*SQRT(T)*$C1550)</f>
        <v>0.58176904359867054</v>
      </c>
      <c r="E1550" s="5">
        <f ca="1">MAX(0,CP*(D1550-K))</f>
        <v>0</v>
      </c>
      <c r="F1550" s="4">
        <f ca="1">(CP*(D1550-K)&gt;0)*1</f>
        <v>0</v>
      </c>
      <c r="H1550" s="4">
        <v>1535</v>
      </c>
      <c r="I1550" s="3">
        <v>0.66788891794032124</v>
      </c>
      <c r="J1550" s="128">
        <v>1.3705626566382003E-3</v>
      </c>
      <c r="K1550" s="128"/>
      <c r="L1550" s="128">
        <v>4.2000000000000003E-2</v>
      </c>
      <c r="O1550" s="2"/>
    </row>
    <row r="1551" spans="2:15" x14ac:dyDescent="0.2">
      <c r="B1551" s="1">
        <v>1536</v>
      </c>
      <c r="C1551" s="5">
        <f ca="1">_xlfn.NORM.S.INV(RAND())</f>
        <v>9.5311258045404385E-2</v>
      </c>
      <c r="D1551" s="5">
        <f ca="1">S0*EXP((μ-0.5*σ*σ)*T+σ*SQRT(T)*$C1551)</f>
        <v>0.67077914708370445</v>
      </c>
      <c r="E1551" s="5">
        <f ca="1">MAX(0,CP*(D1551-K))</f>
        <v>0</v>
      </c>
      <c r="F1551" s="4">
        <f ca="1">(CP*(D1551-K)&gt;0)*1</f>
        <v>0</v>
      </c>
      <c r="H1551" s="4">
        <v>1536</v>
      </c>
      <c r="I1551" s="3">
        <v>0.66776753670261757</v>
      </c>
      <c r="J1551" s="128">
        <v>1.3116682869479756E-3</v>
      </c>
      <c r="K1551" s="128"/>
      <c r="L1551" s="128">
        <v>4.1599999999999998E-2</v>
      </c>
      <c r="O1551" s="2"/>
    </row>
    <row r="1552" spans="2:15" x14ac:dyDescent="0.2">
      <c r="B1552" s="1">
        <v>1537</v>
      </c>
      <c r="C1552" s="5">
        <f ca="1">_xlfn.NORM.S.INV(RAND())</f>
        <v>0.55394633516732228</v>
      </c>
      <c r="D1552" s="5">
        <f ca="1">S0*EXP((μ-0.5*σ*σ)*T+σ*SQRT(T)*$C1552)</f>
        <v>0.70180501891836433</v>
      </c>
      <c r="E1552" s="5">
        <f ca="1">MAX(0,CP*(D1552-K))</f>
        <v>0</v>
      </c>
      <c r="F1552" s="4">
        <f ca="1">(CP*(D1552-K)&gt;0)*1</f>
        <v>0</v>
      </c>
      <c r="H1552" s="4">
        <v>1537</v>
      </c>
      <c r="I1552" s="3">
        <v>0.66777835858031198</v>
      </c>
      <c r="J1552" s="128">
        <v>1.4677913702156552E-3</v>
      </c>
      <c r="K1552" s="128"/>
      <c r="L1552" s="128">
        <v>4.1799999999999997E-2</v>
      </c>
      <c r="O1552" s="2"/>
    </row>
    <row r="1553" spans="2:15" x14ac:dyDescent="0.2">
      <c r="B1553" s="1">
        <v>1538</v>
      </c>
      <c r="C1553" s="5">
        <f ca="1">_xlfn.NORM.S.INV(RAND())</f>
        <v>-1.4577714920917587E-2</v>
      </c>
      <c r="D1553" s="5">
        <f ca="1">S0*EXP((μ-0.5*σ*σ)*T+σ*SQRT(T)*$C1553)</f>
        <v>0.6635513656854477</v>
      </c>
      <c r="E1553" s="5">
        <f ca="1">MAX(0,CP*(D1553-K))</f>
        <v>0</v>
      </c>
      <c r="F1553" s="4">
        <f ca="1">(CP*(D1553-K)&gt;0)*1</f>
        <v>0</v>
      </c>
      <c r="H1553" s="4">
        <v>1538</v>
      </c>
      <c r="I1553" s="3">
        <v>0.66778225907467537</v>
      </c>
      <c r="J1553" s="128">
        <v>1.4701239773068223E-3</v>
      </c>
      <c r="K1553" s="128"/>
      <c r="L1553" s="128">
        <v>4.6600000000000003E-2</v>
      </c>
      <c r="O1553" s="2"/>
    </row>
    <row r="1554" spans="2:15" x14ac:dyDescent="0.2">
      <c r="B1554" s="1">
        <v>1539</v>
      </c>
      <c r="C1554" s="5">
        <f ca="1">_xlfn.NORM.S.INV(RAND())</f>
        <v>-0.11289482173629213</v>
      </c>
      <c r="D1554" s="5">
        <f ca="1">S0*EXP((μ-0.5*σ*σ)*T+σ*SQRT(T)*$C1554)</f>
        <v>0.6571507421263364</v>
      </c>
      <c r="E1554" s="5">
        <f ca="1">MAX(0,CP*(D1554-K))</f>
        <v>0</v>
      </c>
      <c r="F1554" s="4">
        <f ca="1">(CP*(D1554-K)&gt;0)*1</f>
        <v>0</v>
      </c>
      <c r="H1554" s="4">
        <v>1539</v>
      </c>
      <c r="I1554" s="3">
        <v>0.66760512924941273</v>
      </c>
      <c r="J1554" s="128">
        <v>1.2905315979918235E-3</v>
      </c>
      <c r="K1554" s="128"/>
      <c r="L1554" s="128">
        <v>3.6600000000000001E-2</v>
      </c>
      <c r="O1554" s="2"/>
    </row>
    <row r="1555" spans="2:15" x14ac:dyDescent="0.2">
      <c r="B1555" s="1">
        <v>1540</v>
      </c>
      <c r="C1555" s="5">
        <f ca="1">_xlfn.NORM.S.INV(RAND())</f>
        <v>-0.35973585113469775</v>
      </c>
      <c r="D1555" s="5">
        <f ca="1">S0*EXP((μ-0.5*σ*σ)*T+σ*SQRT(T)*$C1555)</f>
        <v>0.64135171239062516</v>
      </c>
      <c r="E1555" s="5">
        <f ca="1">MAX(0,CP*(D1555-K))</f>
        <v>0</v>
      </c>
      <c r="F1555" s="4">
        <f ca="1">(CP*(D1555-K)&gt;0)*1</f>
        <v>0</v>
      </c>
      <c r="H1555" s="4">
        <v>1540</v>
      </c>
      <c r="I1555" s="3">
        <v>0.66770694034293487</v>
      </c>
      <c r="J1555" s="128">
        <v>1.3336988041618139E-3</v>
      </c>
      <c r="K1555" s="128"/>
      <c r="L1555" s="128">
        <v>4.0800000000000003E-2</v>
      </c>
      <c r="O1555" s="2"/>
    </row>
    <row r="1556" spans="2:15" x14ac:dyDescent="0.2">
      <c r="B1556" s="1">
        <v>1541</v>
      </c>
      <c r="C1556" s="5">
        <f ca="1">_xlfn.NORM.S.INV(RAND())</f>
        <v>-2.1908075525951411</v>
      </c>
      <c r="D1556" s="5">
        <f ca="1">S0*EXP((μ-0.5*σ*σ)*T+σ*SQRT(T)*$C1556)</f>
        <v>0.53542309908354879</v>
      </c>
      <c r="E1556" s="5">
        <f ca="1">MAX(0,CP*(D1556-K))</f>
        <v>0</v>
      </c>
      <c r="F1556" s="4">
        <f ca="1">(CP*(D1556-K)&gt;0)*1</f>
        <v>0</v>
      </c>
      <c r="H1556" s="4">
        <v>1541</v>
      </c>
      <c r="I1556" s="3">
        <v>0.66766334261752569</v>
      </c>
      <c r="J1556" s="128">
        <v>1.2301380374756927E-3</v>
      </c>
      <c r="K1556" s="128"/>
      <c r="L1556" s="128">
        <v>4.0399999999999998E-2</v>
      </c>
      <c r="O1556" s="2"/>
    </row>
    <row r="1557" spans="2:15" x14ac:dyDescent="0.2">
      <c r="B1557" s="1">
        <v>1542</v>
      </c>
      <c r="C1557" s="5">
        <f ca="1">_xlfn.NORM.S.INV(RAND())</f>
        <v>-0.31685151630222752</v>
      </c>
      <c r="D1557" s="5">
        <f ca="1">S0*EXP((μ-0.5*σ*σ)*T+σ*SQRT(T)*$C1557)</f>
        <v>0.64406899649709737</v>
      </c>
      <c r="E1557" s="5">
        <f ca="1">MAX(0,CP*(D1557-K))</f>
        <v>0</v>
      </c>
      <c r="F1557" s="4">
        <f ca="1">(CP*(D1557-K)&gt;0)*1</f>
        <v>0</v>
      </c>
      <c r="H1557" s="4">
        <v>1542</v>
      </c>
      <c r="I1557" s="3">
        <v>0.66771833155998161</v>
      </c>
      <c r="J1557" s="128">
        <v>1.2957383359184283E-3</v>
      </c>
      <c r="K1557" s="128"/>
      <c r="L1557" s="128">
        <v>4.0599999999999997E-2</v>
      </c>
      <c r="O1557" s="2"/>
    </row>
    <row r="1558" spans="2:15" x14ac:dyDescent="0.2">
      <c r="B1558" s="1">
        <v>1543</v>
      </c>
      <c r="C1558" s="5">
        <f ca="1">_xlfn.NORM.S.INV(RAND())</f>
        <v>0.42845116410201761</v>
      </c>
      <c r="D1558" s="5">
        <f ca="1">S0*EXP((μ-0.5*σ*σ)*T+σ*SQRT(T)*$C1558)</f>
        <v>0.69317560352956498</v>
      </c>
      <c r="E1558" s="5">
        <f ca="1">MAX(0,CP*(D1558-K))</f>
        <v>0</v>
      </c>
      <c r="F1558" s="4">
        <f ca="1">(CP*(D1558-K)&gt;0)*1</f>
        <v>0</v>
      </c>
      <c r="H1558" s="4">
        <v>1543</v>
      </c>
      <c r="I1558" s="3">
        <v>0.66768387783733385</v>
      </c>
      <c r="J1558" s="128">
        <v>1.3692192964127952E-3</v>
      </c>
      <c r="K1558" s="128"/>
      <c r="L1558" s="128">
        <v>3.7999999999999999E-2</v>
      </c>
      <c r="O1558" s="2"/>
    </row>
    <row r="1559" spans="2:15" x14ac:dyDescent="0.2">
      <c r="B1559" s="1">
        <v>1544</v>
      </c>
      <c r="C1559" s="5">
        <f ca="1">_xlfn.NORM.S.INV(RAND())</f>
        <v>-0.43284854841454612</v>
      </c>
      <c r="D1559" s="5">
        <f ca="1">S0*EXP((μ-0.5*σ*σ)*T+σ*SQRT(T)*$C1559)</f>
        <v>0.63674547274282045</v>
      </c>
      <c r="E1559" s="5">
        <f ca="1">MAX(0,CP*(D1559-K))</f>
        <v>0</v>
      </c>
      <c r="F1559" s="4">
        <f ca="1">(CP*(D1559-K)&gt;0)*1</f>
        <v>0</v>
      </c>
      <c r="H1559" s="4">
        <v>1544</v>
      </c>
      <c r="I1559" s="3">
        <v>0.66770365312964908</v>
      </c>
      <c r="J1559" s="128">
        <v>1.223280409320314E-3</v>
      </c>
      <c r="K1559" s="128"/>
      <c r="L1559" s="128">
        <v>3.9600000000000003E-2</v>
      </c>
      <c r="O1559" s="2"/>
    </row>
    <row r="1560" spans="2:15" x14ac:dyDescent="0.2">
      <c r="B1560" s="1">
        <v>1545</v>
      </c>
      <c r="C1560" s="5">
        <f ca="1">_xlfn.NORM.S.INV(RAND())</f>
        <v>-1.8440328897662068</v>
      </c>
      <c r="D1560" s="5">
        <f ca="1">S0*EXP((μ-0.5*σ*σ)*T+σ*SQRT(T)*$C1560)</f>
        <v>0.55404444565039834</v>
      </c>
      <c r="E1560" s="5">
        <f ca="1">MAX(0,CP*(D1560-K))</f>
        <v>0</v>
      </c>
      <c r="F1560" s="4">
        <f ca="1">(CP*(D1560-K)&gt;0)*1</f>
        <v>0</v>
      </c>
      <c r="H1560" s="4">
        <v>1545</v>
      </c>
      <c r="I1560" s="3">
        <v>0.66770638451908604</v>
      </c>
      <c r="J1560" s="128">
        <v>1.3305981695471236E-3</v>
      </c>
      <c r="K1560" s="128"/>
      <c r="L1560" s="128">
        <v>4.58E-2</v>
      </c>
      <c r="O1560" s="2"/>
    </row>
    <row r="1561" spans="2:15" x14ac:dyDescent="0.2">
      <c r="B1561" s="1">
        <v>1546</v>
      </c>
      <c r="C1561" s="5">
        <f ca="1">_xlfn.NORM.S.INV(RAND())</f>
        <v>0.26932086376200681</v>
      </c>
      <c r="D1561" s="5">
        <f ca="1">S0*EXP((μ-0.5*σ*σ)*T+σ*SQRT(T)*$C1561)</f>
        <v>0.68238574712594957</v>
      </c>
      <c r="E1561" s="5">
        <f ca="1">MAX(0,CP*(D1561-K))</f>
        <v>0</v>
      </c>
      <c r="F1561" s="4">
        <f ca="1">(CP*(D1561-K)&gt;0)*1</f>
        <v>0</v>
      </c>
      <c r="H1561" s="4">
        <v>1546</v>
      </c>
      <c r="I1561" s="3">
        <v>0.66767018884086493</v>
      </c>
      <c r="J1561" s="128">
        <v>1.3533305055480056E-3</v>
      </c>
      <c r="K1561" s="128"/>
      <c r="L1561" s="128">
        <v>0.04</v>
      </c>
      <c r="O1561" s="2"/>
    </row>
    <row r="1562" spans="2:15" x14ac:dyDescent="0.2">
      <c r="B1562" s="1">
        <v>1547</v>
      </c>
      <c r="C1562" s="5">
        <f ca="1">_xlfn.NORM.S.INV(RAND())</f>
        <v>0.13116215701272649</v>
      </c>
      <c r="D1562" s="5">
        <f ca="1">S0*EXP((μ-0.5*σ*σ)*T+σ*SQRT(T)*$C1562)</f>
        <v>0.67315417678788836</v>
      </c>
      <c r="E1562" s="5">
        <f ca="1">MAX(0,CP*(D1562-K))</f>
        <v>0</v>
      </c>
      <c r="F1562" s="4">
        <f ca="1">(CP*(D1562-K)&gt;0)*1</f>
        <v>0</v>
      </c>
      <c r="H1562" s="4">
        <v>1547</v>
      </c>
      <c r="I1562" s="3">
        <v>0.6678149604632051</v>
      </c>
      <c r="J1562" s="128">
        <v>1.3947990099084386E-3</v>
      </c>
      <c r="K1562" s="128"/>
      <c r="L1562" s="128">
        <v>4.3799999999999999E-2</v>
      </c>
      <c r="O1562" s="2"/>
    </row>
    <row r="1563" spans="2:15" x14ac:dyDescent="0.2">
      <c r="B1563" s="1">
        <v>1548</v>
      </c>
      <c r="C1563" s="5">
        <f ca="1">_xlfn.NORM.S.INV(RAND())</f>
        <v>0.44267782617310963</v>
      </c>
      <c r="D1563" s="5">
        <f ca="1">S0*EXP((μ-0.5*σ*σ)*T+σ*SQRT(T)*$C1563)</f>
        <v>0.69414851339103334</v>
      </c>
      <c r="E1563" s="5">
        <f ca="1">MAX(0,CP*(D1563-K))</f>
        <v>0</v>
      </c>
      <c r="F1563" s="4">
        <f ca="1">(CP*(D1563-K)&gt;0)*1</f>
        <v>0</v>
      </c>
      <c r="H1563" s="4">
        <v>1548</v>
      </c>
      <c r="I1563" s="3">
        <v>0.66772223826294241</v>
      </c>
      <c r="J1563" s="128">
        <v>1.289254324899299E-3</v>
      </c>
      <c r="K1563" s="128"/>
      <c r="L1563" s="128">
        <v>4.1200000000000001E-2</v>
      </c>
      <c r="O1563" s="2"/>
    </row>
    <row r="1564" spans="2:15" x14ac:dyDescent="0.2">
      <c r="B1564" s="1">
        <v>1549</v>
      </c>
      <c r="C1564" s="5">
        <f ca="1">_xlfn.NORM.S.INV(RAND())</f>
        <v>0.60243214546856871</v>
      </c>
      <c r="D1564" s="5">
        <f ca="1">S0*EXP((μ-0.5*σ*σ)*T+σ*SQRT(T)*$C1564)</f>
        <v>0.70516774309128039</v>
      </c>
      <c r="E1564" s="5">
        <f ca="1">MAX(0,CP*(D1564-K))</f>
        <v>0</v>
      </c>
      <c r="F1564" s="4">
        <f ca="1">(CP*(D1564-K)&gt;0)*1</f>
        <v>0</v>
      </c>
      <c r="H1564" s="4">
        <v>1549</v>
      </c>
      <c r="I1564" s="3">
        <v>0.66760797011685424</v>
      </c>
      <c r="J1564" s="128">
        <v>1.158197800478394E-3</v>
      </c>
      <c r="K1564" s="128"/>
      <c r="L1564" s="128">
        <v>3.5999999999999997E-2</v>
      </c>
      <c r="O1564" s="2"/>
    </row>
    <row r="1565" spans="2:15" x14ac:dyDescent="0.2">
      <c r="B1565" s="1">
        <v>1550</v>
      </c>
      <c r="C1565" s="5">
        <f ca="1">_xlfn.NORM.S.INV(RAND())</f>
        <v>-0.88055192262159387</v>
      </c>
      <c r="D1565" s="5">
        <f ca="1">S0*EXP((μ-0.5*σ*σ)*T+σ*SQRT(T)*$C1565)</f>
        <v>0.60925205227792234</v>
      </c>
      <c r="E1565" s="5">
        <f ca="1">MAX(0,CP*(D1565-K))</f>
        <v>0</v>
      </c>
      <c r="F1565" s="4">
        <f ca="1">(CP*(D1565-K)&gt;0)*1</f>
        <v>0</v>
      </c>
      <c r="H1565" s="4">
        <v>1550</v>
      </c>
      <c r="I1565" s="3">
        <v>0.66781589473105574</v>
      </c>
      <c r="J1565" s="128">
        <v>1.4928591427368796E-3</v>
      </c>
      <c r="K1565" s="128"/>
      <c r="L1565" s="128">
        <v>4.1000000000000002E-2</v>
      </c>
      <c r="O1565" s="2"/>
    </row>
    <row r="1566" spans="2:15" x14ac:dyDescent="0.2">
      <c r="B1566" s="1">
        <v>1551</v>
      </c>
      <c r="C1566" s="5">
        <f ca="1">_xlfn.NORM.S.INV(RAND())</f>
        <v>-1.2685743164073602</v>
      </c>
      <c r="D1566" s="5">
        <f ca="1">S0*EXP((μ-0.5*σ*σ)*T+σ*SQRT(T)*$C1566)</f>
        <v>0.58638578844683142</v>
      </c>
      <c r="E1566" s="5">
        <f ca="1">MAX(0,CP*(D1566-K))</f>
        <v>0</v>
      </c>
      <c r="F1566" s="4">
        <f ca="1">(CP*(D1566-K)&gt;0)*1</f>
        <v>0</v>
      </c>
      <c r="H1566" s="4">
        <v>1551</v>
      </c>
      <c r="I1566" s="3">
        <v>0.66775017277470539</v>
      </c>
      <c r="J1566" s="128">
        <v>1.2815713544848031E-3</v>
      </c>
      <c r="K1566" s="128"/>
      <c r="L1566" s="128">
        <v>3.9E-2</v>
      </c>
      <c r="O1566" s="2"/>
    </row>
    <row r="1567" spans="2:15" x14ac:dyDescent="0.2">
      <c r="B1567" s="1">
        <v>1552</v>
      </c>
      <c r="C1567" s="5">
        <f ca="1">_xlfn.NORM.S.INV(RAND())</f>
        <v>-0.36507446310937813</v>
      </c>
      <c r="D1567" s="5">
        <f ca="1">S0*EXP((μ-0.5*σ*σ)*T+σ*SQRT(T)*$C1567)</f>
        <v>0.64101424481505076</v>
      </c>
      <c r="E1567" s="5">
        <f ca="1">MAX(0,CP*(D1567-K))</f>
        <v>0</v>
      </c>
      <c r="F1567" s="4">
        <f ca="1">(CP*(D1567-K)&gt;0)*1</f>
        <v>0</v>
      </c>
      <c r="H1567" s="4">
        <v>1552</v>
      </c>
      <c r="I1567" s="3">
        <v>0.66767345768803465</v>
      </c>
      <c r="J1567" s="128">
        <v>1.3159455697331862E-3</v>
      </c>
      <c r="K1567" s="128"/>
      <c r="L1567" s="128">
        <v>4.0800000000000003E-2</v>
      </c>
      <c r="O1567" s="2"/>
    </row>
    <row r="1568" spans="2:15" x14ac:dyDescent="0.2">
      <c r="B1568" s="1">
        <v>1553</v>
      </c>
      <c r="C1568" s="5">
        <f ca="1">_xlfn.NORM.S.INV(RAND())</f>
        <v>0.75983573972266938</v>
      </c>
      <c r="D1568" s="5">
        <f ca="1">S0*EXP((μ-0.5*σ*σ)*T+σ*SQRT(T)*$C1568)</f>
        <v>0.71619589797268235</v>
      </c>
      <c r="E1568" s="5">
        <f ca="1">MAX(0,CP*(D1568-K))</f>
        <v>0</v>
      </c>
      <c r="F1568" s="4">
        <f ca="1">(CP*(D1568-K)&gt;0)*1</f>
        <v>0</v>
      </c>
      <c r="H1568" s="4">
        <v>1553</v>
      </c>
      <c r="I1568" s="3">
        <v>0.66781255505625281</v>
      </c>
      <c r="J1568" s="128">
        <v>1.3785293245174208E-3</v>
      </c>
      <c r="K1568" s="128"/>
      <c r="L1568" s="128">
        <v>4.24E-2</v>
      </c>
      <c r="O1568" s="2"/>
    </row>
    <row r="1569" spans="2:15" x14ac:dyDescent="0.2">
      <c r="B1569" s="1">
        <v>1554</v>
      </c>
      <c r="C1569" s="5">
        <f ca="1">_xlfn.NORM.S.INV(RAND())</f>
        <v>0.14426274598275576</v>
      </c>
      <c r="D1569" s="5">
        <f ca="1">S0*EXP((μ-0.5*σ*σ)*T+σ*SQRT(T)*$C1569)</f>
        <v>0.67402415339271793</v>
      </c>
      <c r="E1569" s="5">
        <f ca="1">MAX(0,CP*(D1569-K))</f>
        <v>0</v>
      </c>
      <c r="F1569" s="4">
        <f ca="1">(CP*(D1569-K)&gt;0)*1</f>
        <v>0</v>
      </c>
      <c r="H1569" s="4">
        <v>1554</v>
      </c>
      <c r="I1569" s="3">
        <v>0.66774444243799835</v>
      </c>
      <c r="J1569" s="128">
        <v>1.3598847457313035E-3</v>
      </c>
      <c r="K1569" s="128"/>
      <c r="L1569" s="128">
        <v>4.0800000000000003E-2</v>
      </c>
      <c r="O1569" s="2"/>
    </row>
    <row r="1570" spans="2:15" x14ac:dyDescent="0.2">
      <c r="B1570" s="1">
        <v>1555</v>
      </c>
      <c r="C1570" s="5">
        <f ca="1">_xlfn.NORM.S.INV(RAND())</f>
        <v>-0.45824371979242362</v>
      </c>
      <c r="D1570" s="5">
        <f ca="1">S0*EXP((μ-0.5*σ*σ)*T+σ*SQRT(T)*$C1570)</f>
        <v>0.63515328165732798</v>
      </c>
      <c r="E1570" s="5">
        <f ca="1">MAX(0,CP*(D1570-K))</f>
        <v>0</v>
      </c>
      <c r="F1570" s="4">
        <f ca="1">(CP*(D1570-K)&gt;0)*1</f>
        <v>0</v>
      </c>
      <c r="H1570" s="4">
        <v>1555</v>
      </c>
      <c r="I1570" s="3">
        <v>0.66770048429738516</v>
      </c>
      <c r="J1570" s="128">
        <v>1.468884258417325E-3</v>
      </c>
      <c r="K1570" s="128"/>
      <c r="L1570" s="128">
        <v>4.2999999999999997E-2</v>
      </c>
      <c r="O1570" s="2"/>
    </row>
    <row r="1571" spans="2:15" x14ac:dyDescent="0.2">
      <c r="B1571" s="1">
        <v>1556</v>
      </c>
      <c r="C1571" s="5">
        <f ca="1">_xlfn.NORM.S.INV(RAND())</f>
        <v>-0.54168222075893746</v>
      </c>
      <c r="D1571" s="5">
        <f ca="1">S0*EXP((μ-0.5*σ*σ)*T+σ*SQRT(T)*$C1571)</f>
        <v>0.62994994730711462</v>
      </c>
      <c r="E1571" s="5">
        <f ca="1">MAX(0,CP*(D1571-K))</f>
        <v>0</v>
      </c>
      <c r="F1571" s="4">
        <f ca="1">(CP*(D1571-K)&gt;0)*1</f>
        <v>0</v>
      </c>
      <c r="H1571" s="4">
        <v>1556</v>
      </c>
      <c r="I1571" s="3">
        <v>0.66777945149161588</v>
      </c>
      <c r="J1571" s="128">
        <v>1.3992455992864077E-3</v>
      </c>
      <c r="K1571" s="128"/>
      <c r="L1571" s="128">
        <v>4.36E-2</v>
      </c>
      <c r="O1571" s="2"/>
    </row>
    <row r="1572" spans="2:15" x14ac:dyDescent="0.2">
      <c r="B1572" s="1">
        <v>1557</v>
      </c>
      <c r="C1572" s="5">
        <f ca="1">_xlfn.NORM.S.INV(RAND())</f>
        <v>1.3520677914417827</v>
      </c>
      <c r="D1572" s="5">
        <f ca="1">S0*EXP((μ-0.5*σ*σ)*T+σ*SQRT(T)*$C1572)</f>
        <v>0.7592570501345145</v>
      </c>
      <c r="E1572" s="5">
        <f ca="1">MAX(0,CP*(D1572-K))</f>
        <v>0</v>
      </c>
      <c r="F1572" s="4">
        <f ca="1">(CP*(D1572-K)&gt;0)*1</f>
        <v>0</v>
      </c>
      <c r="H1572" s="4">
        <v>1557</v>
      </c>
      <c r="I1572" s="3">
        <v>0.66780111060111125</v>
      </c>
      <c r="J1572" s="128">
        <v>1.4260675595646785E-3</v>
      </c>
      <c r="K1572" s="128"/>
      <c r="L1572" s="128">
        <v>4.5199999999999997E-2</v>
      </c>
      <c r="O1572" s="2"/>
    </row>
    <row r="1573" spans="2:15" x14ac:dyDescent="0.2">
      <c r="B1573" s="1">
        <v>1558</v>
      </c>
      <c r="C1573" s="5">
        <f ca="1">_xlfn.NORM.S.INV(RAND())</f>
        <v>-0.34148825336404426</v>
      </c>
      <c r="D1573" s="5">
        <f ca="1">S0*EXP((μ-0.5*σ*σ)*T+σ*SQRT(T)*$C1573)</f>
        <v>0.64250653261622548</v>
      </c>
      <c r="E1573" s="5">
        <f ca="1">MAX(0,CP*(D1573-K))</f>
        <v>0</v>
      </c>
      <c r="F1573" s="4">
        <f ca="1">(CP*(D1573-K)&gt;0)*1</f>
        <v>0</v>
      </c>
      <c r="H1573" s="4">
        <v>1558</v>
      </c>
      <c r="I1573" s="3">
        <v>0.66785403823633249</v>
      </c>
      <c r="J1573" s="128">
        <v>1.5295839528420363E-3</v>
      </c>
      <c r="K1573" s="128"/>
      <c r="L1573" s="128">
        <v>4.2200000000000001E-2</v>
      </c>
      <c r="O1573" s="2"/>
    </row>
    <row r="1574" spans="2:15" x14ac:dyDescent="0.2">
      <c r="B1574" s="1">
        <v>1559</v>
      </c>
      <c r="C1574" s="5">
        <f ca="1">_xlfn.NORM.S.INV(RAND())</f>
        <v>-0.64996429530575706</v>
      </c>
      <c r="D1574" s="5">
        <f ca="1">S0*EXP((μ-0.5*σ*σ)*T+σ*SQRT(T)*$C1574)</f>
        <v>0.62326083801206911</v>
      </c>
      <c r="E1574" s="5">
        <f ca="1">MAX(0,CP*(D1574-K))</f>
        <v>0</v>
      </c>
      <c r="F1574" s="4">
        <f ca="1">(CP*(D1574-K)&gt;0)*1</f>
        <v>0</v>
      </c>
      <c r="H1574" s="4">
        <v>1559</v>
      </c>
      <c r="I1574" s="3">
        <v>0.66779024141550314</v>
      </c>
      <c r="J1574" s="128">
        <v>1.4768402125600163E-3</v>
      </c>
      <c r="K1574" s="128"/>
      <c r="L1574" s="128">
        <v>4.36E-2</v>
      </c>
      <c r="O1574" s="2"/>
    </row>
    <row r="1575" spans="2:15" x14ac:dyDescent="0.2">
      <c r="B1575" s="1">
        <v>1560</v>
      </c>
      <c r="C1575" s="5">
        <f ca="1">_xlfn.NORM.S.INV(RAND())</f>
        <v>-1.2305897651081872</v>
      </c>
      <c r="D1575" s="5">
        <f ca="1">S0*EXP((μ-0.5*σ*σ)*T+σ*SQRT(T)*$C1575)</f>
        <v>0.5885858031550576</v>
      </c>
      <c r="E1575" s="5">
        <f ca="1">MAX(0,CP*(D1575-K))</f>
        <v>0</v>
      </c>
      <c r="F1575" s="4">
        <f ca="1">(CP*(D1575-K)&gt;0)*1</f>
        <v>0</v>
      </c>
      <c r="H1575" s="4">
        <v>1560</v>
      </c>
      <c r="I1575" s="3">
        <v>0.6676849741407922</v>
      </c>
      <c r="J1575" s="128">
        <v>1.2998046340259102E-3</v>
      </c>
      <c r="K1575" s="128"/>
      <c r="L1575" s="128">
        <v>3.6600000000000001E-2</v>
      </c>
      <c r="O1575" s="2"/>
    </row>
    <row r="1576" spans="2:15" x14ac:dyDescent="0.2">
      <c r="B1576" s="1">
        <v>1561</v>
      </c>
      <c r="C1576" s="5">
        <f ca="1">_xlfn.NORM.S.INV(RAND())</f>
        <v>0.32534726955004323</v>
      </c>
      <c r="D1576" s="5">
        <f ca="1">S0*EXP((μ-0.5*σ*σ)*T+σ*SQRT(T)*$C1576)</f>
        <v>0.68616533455134188</v>
      </c>
      <c r="E1576" s="5">
        <f ca="1">MAX(0,CP*(D1576-K))</f>
        <v>0</v>
      </c>
      <c r="F1576" s="4">
        <f ca="1">(CP*(D1576-K)&gt;0)*1</f>
        <v>0</v>
      </c>
      <c r="H1576" s="4">
        <v>1561</v>
      </c>
      <c r="I1576" s="3">
        <v>0.66779447243404644</v>
      </c>
      <c r="J1576" s="128">
        <v>1.3647974119092758E-3</v>
      </c>
      <c r="K1576" s="128"/>
      <c r="L1576" s="128">
        <v>4.2200000000000001E-2</v>
      </c>
      <c r="O1576" s="2"/>
    </row>
    <row r="1577" spans="2:15" x14ac:dyDescent="0.2">
      <c r="B1577" s="1">
        <v>1562</v>
      </c>
      <c r="C1577" s="5">
        <f ca="1">_xlfn.NORM.S.INV(RAND())</f>
        <v>-2.9427067993460933E-2</v>
      </c>
      <c r="D1577" s="5">
        <f ca="1">S0*EXP((μ-0.5*σ*σ)*T+σ*SQRT(T)*$C1577)</f>
        <v>0.6625806636386895</v>
      </c>
      <c r="E1577" s="5">
        <f ca="1">MAX(0,CP*(D1577-K))</f>
        <v>0</v>
      </c>
      <c r="F1577" s="4">
        <f ca="1">(CP*(D1577-K)&gt;0)*1</f>
        <v>0</v>
      </c>
      <c r="H1577" s="4">
        <v>1562</v>
      </c>
      <c r="I1577" s="3">
        <v>0.66779103293536957</v>
      </c>
      <c r="J1577" s="128">
        <v>1.4413191546678564E-3</v>
      </c>
      <c r="K1577" s="128"/>
      <c r="L1577" s="128">
        <v>4.2799999999999998E-2</v>
      </c>
      <c r="O1577" s="2"/>
    </row>
    <row r="1578" spans="2:15" x14ac:dyDescent="0.2">
      <c r="B1578" s="1">
        <v>1563</v>
      </c>
      <c r="C1578" s="5">
        <f ca="1">_xlfn.NORM.S.INV(RAND())</f>
        <v>-1.8037267718558885</v>
      </c>
      <c r="D1578" s="5">
        <f ca="1">S0*EXP((μ-0.5*σ*σ)*T+σ*SQRT(T)*$C1578)</f>
        <v>0.55625041998812552</v>
      </c>
      <c r="E1578" s="5">
        <f ca="1">MAX(0,CP*(D1578-K))</f>
        <v>0</v>
      </c>
      <c r="F1578" s="4">
        <f ca="1">(CP*(D1578-K)&gt;0)*1</f>
        <v>0</v>
      </c>
      <c r="H1578" s="4">
        <v>1563</v>
      </c>
      <c r="I1578" s="3">
        <v>0.6677594718303046</v>
      </c>
      <c r="J1578" s="128">
        <v>1.2562324797619391E-3</v>
      </c>
      <c r="K1578" s="128"/>
      <c r="L1578" s="128">
        <v>3.9E-2</v>
      </c>
      <c r="O1578" s="2"/>
    </row>
    <row r="1579" spans="2:15" x14ac:dyDescent="0.2">
      <c r="B1579" s="1">
        <v>1564</v>
      </c>
      <c r="C1579" s="5">
        <f ca="1">_xlfn.NORM.S.INV(RAND())</f>
        <v>-1.5249357448284435</v>
      </c>
      <c r="D1579" s="5">
        <f ca="1">S0*EXP((μ-0.5*σ*σ)*T+σ*SQRT(T)*$C1579)</f>
        <v>0.57175117640758111</v>
      </c>
      <c r="E1579" s="5">
        <f ca="1">MAX(0,CP*(D1579-K))</f>
        <v>0</v>
      </c>
      <c r="F1579" s="4">
        <f ca="1">(CP*(D1579-K)&gt;0)*1</f>
        <v>0</v>
      </c>
      <c r="H1579" s="4">
        <v>1564</v>
      </c>
      <c r="I1579" s="3">
        <v>0.66779305538532119</v>
      </c>
      <c r="J1579" s="128">
        <v>1.3076244644271372E-3</v>
      </c>
      <c r="K1579" s="128"/>
      <c r="L1579" s="128">
        <v>3.9600000000000003E-2</v>
      </c>
      <c r="O1579" s="2"/>
    </row>
    <row r="1580" spans="2:15" x14ac:dyDescent="0.2">
      <c r="B1580" s="1">
        <v>1565</v>
      </c>
      <c r="C1580" s="5">
        <f ca="1">_xlfn.NORM.S.INV(RAND())</f>
        <v>-0.5866948804726666</v>
      </c>
      <c r="D1580" s="5">
        <f ca="1">S0*EXP((μ-0.5*σ*σ)*T+σ*SQRT(T)*$C1580)</f>
        <v>0.62716062201174527</v>
      </c>
      <c r="E1580" s="5">
        <f ca="1">MAX(0,CP*(D1580-K))</f>
        <v>0</v>
      </c>
      <c r="F1580" s="4">
        <f ca="1">(CP*(D1580-K)&gt;0)*1</f>
        <v>0</v>
      </c>
      <c r="H1580" s="4">
        <v>1565</v>
      </c>
      <c r="I1580" s="3">
        <v>0.66784294910965447</v>
      </c>
      <c r="J1580" s="128">
        <v>1.5639265323024547E-3</v>
      </c>
      <c r="K1580" s="128"/>
      <c r="L1580" s="128">
        <v>4.2799999999999998E-2</v>
      </c>
      <c r="O1580" s="2"/>
    </row>
    <row r="1581" spans="2:15" x14ac:dyDescent="0.2">
      <c r="B1581" s="1">
        <v>1566</v>
      </c>
      <c r="C1581" s="5">
        <f ca="1">_xlfn.NORM.S.INV(RAND())</f>
        <v>0.4702797135165554</v>
      </c>
      <c r="D1581" s="5">
        <f ca="1">S0*EXP((μ-0.5*σ*σ)*T+σ*SQRT(T)*$C1581)</f>
        <v>0.696040002881257</v>
      </c>
      <c r="E1581" s="5">
        <f ca="1">MAX(0,CP*(D1581-K))</f>
        <v>0</v>
      </c>
      <c r="F1581" s="4">
        <f ca="1">(CP*(D1581-K)&gt;0)*1</f>
        <v>0</v>
      </c>
      <c r="H1581" s="4">
        <v>1566</v>
      </c>
      <c r="I1581" s="3">
        <v>0.66768940740806593</v>
      </c>
      <c r="J1581" s="128">
        <v>1.3782490026737944E-3</v>
      </c>
      <c r="K1581" s="128"/>
      <c r="L1581" s="128">
        <v>4.1200000000000001E-2</v>
      </c>
      <c r="O1581" s="2"/>
    </row>
    <row r="1582" spans="2:15" x14ac:dyDescent="0.2">
      <c r="B1582" s="1">
        <v>1567</v>
      </c>
      <c r="C1582" s="5">
        <f ca="1">_xlfn.NORM.S.INV(RAND())</f>
        <v>0.54784542812448178</v>
      </c>
      <c r="D1582" s="5">
        <f ca="1">S0*EXP((μ-0.5*σ*σ)*T+σ*SQRT(T)*$C1582)</f>
        <v>0.70138302907676531</v>
      </c>
      <c r="E1582" s="5">
        <f ca="1">MAX(0,CP*(D1582-K))</f>
        <v>0</v>
      </c>
      <c r="F1582" s="4">
        <f ca="1">(CP*(D1582-K)&gt;0)*1</f>
        <v>0</v>
      </c>
      <c r="H1582" s="4">
        <v>1567</v>
      </c>
      <c r="I1582" s="3">
        <v>0.66780346778538391</v>
      </c>
      <c r="J1582" s="128">
        <v>1.4615602694383321E-3</v>
      </c>
      <c r="K1582" s="128"/>
      <c r="L1582" s="128">
        <v>4.6600000000000003E-2</v>
      </c>
      <c r="O1582" s="2"/>
    </row>
    <row r="1583" spans="2:15" x14ac:dyDescent="0.2">
      <c r="B1583" s="1">
        <v>1568</v>
      </c>
      <c r="C1583" s="5">
        <f ca="1">_xlfn.NORM.S.INV(RAND())</f>
        <v>0.29966955580373711</v>
      </c>
      <c r="D1583" s="5">
        <f ca="1">S0*EXP((μ-0.5*σ*σ)*T+σ*SQRT(T)*$C1583)</f>
        <v>0.68443050322937959</v>
      </c>
      <c r="E1583" s="5">
        <f ca="1">MAX(0,CP*(D1583-K))</f>
        <v>0</v>
      </c>
      <c r="F1583" s="4">
        <f ca="1">(CP*(D1583-K)&gt;0)*1</f>
        <v>0</v>
      </c>
      <c r="H1583" s="4">
        <v>1568</v>
      </c>
      <c r="I1583" s="3">
        <v>0.66788661514551173</v>
      </c>
      <c r="J1583" s="128">
        <v>1.5666689281011409E-3</v>
      </c>
      <c r="K1583" s="128"/>
      <c r="L1583" s="128">
        <v>4.4999999999999998E-2</v>
      </c>
      <c r="O1583" s="2"/>
    </row>
    <row r="1584" spans="2:15" x14ac:dyDescent="0.2">
      <c r="B1584" s="1">
        <v>1569</v>
      </c>
      <c r="C1584" s="5">
        <f ca="1">_xlfn.NORM.S.INV(RAND())</f>
        <v>0.26357275536372921</v>
      </c>
      <c r="D1584" s="5">
        <f ca="1">S0*EXP((μ-0.5*σ*σ)*T+σ*SQRT(T)*$C1584)</f>
        <v>0.68199915449843751</v>
      </c>
      <c r="E1584" s="5">
        <f ca="1">MAX(0,CP*(D1584-K))</f>
        <v>0</v>
      </c>
      <c r="F1584" s="4">
        <f ca="1">(CP*(D1584-K)&gt;0)*1</f>
        <v>0</v>
      </c>
      <c r="H1584" s="4">
        <v>1569</v>
      </c>
      <c r="I1584" s="3">
        <v>0.66775747133498387</v>
      </c>
      <c r="J1584" s="128">
        <v>1.2703093701756688E-3</v>
      </c>
      <c r="K1584" s="128"/>
      <c r="L1584" s="128">
        <v>4.3200000000000002E-2</v>
      </c>
      <c r="O1584" s="2"/>
    </row>
    <row r="1585" spans="2:15" x14ac:dyDescent="0.2">
      <c r="B1585" s="1">
        <v>1570</v>
      </c>
      <c r="C1585" s="5">
        <f ca="1">_xlfn.NORM.S.INV(RAND())</f>
        <v>0.87673197091514554</v>
      </c>
      <c r="D1585" s="5">
        <f ca="1">S0*EXP((μ-0.5*σ*σ)*T+σ*SQRT(T)*$C1585)</f>
        <v>0.7244974439354489</v>
      </c>
      <c r="E1585" s="5">
        <f ca="1">MAX(0,CP*(D1585-K))</f>
        <v>0</v>
      </c>
      <c r="F1585" s="4">
        <f ca="1">(CP*(D1585-K)&gt;0)*1</f>
        <v>0</v>
      </c>
      <c r="H1585" s="4">
        <v>1570</v>
      </c>
      <c r="I1585" s="3">
        <v>0.66774681752173481</v>
      </c>
      <c r="J1585" s="128">
        <v>1.3627520747747951E-3</v>
      </c>
      <c r="K1585" s="128"/>
      <c r="L1585" s="128">
        <v>4.2799999999999998E-2</v>
      </c>
      <c r="O1585" s="2"/>
    </row>
    <row r="1586" spans="2:15" x14ac:dyDescent="0.2">
      <c r="B1586" s="1">
        <v>1571</v>
      </c>
      <c r="C1586" s="5">
        <f ca="1">_xlfn.NORM.S.INV(RAND())</f>
        <v>-0.48428543631428955</v>
      </c>
      <c r="D1586" s="5">
        <f ca="1">S0*EXP((μ-0.5*σ*σ)*T+σ*SQRT(T)*$C1586)</f>
        <v>0.63352468892574654</v>
      </c>
      <c r="E1586" s="5">
        <f ca="1">MAX(0,CP*(D1586-K))</f>
        <v>0</v>
      </c>
      <c r="F1586" s="4">
        <f ca="1">(CP*(D1586-K)&gt;0)*1</f>
        <v>0</v>
      </c>
      <c r="H1586" s="4">
        <v>1571</v>
      </c>
      <c r="I1586" s="3">
        <v>0.66756627646815092</v>
      </c>
      <c r="J1586" s="128">
        <v>1.2563288606702817E-3</v>
      </c>
      <c r="K1586" s="128"/>
      <c r="L1586" s="128">
        <v>3.7999999999999999E-2</v>
      </c>
      <c r="O1586" s="2"/>
    </row>
    <row r="1587" spans="2:15" x14ac:dyDescent="0.2">
      <c r="B1587" s="1">
        <v>1572</v>
      </c>
      <c r="C1587" s="5">
        <f ca="1">_xlfn.NORM.S.INV(RAND())</f>
        <v>-0.68153081440246743</v>
      </c>
      <c r="D1587" s="5">
        <f ca="1">S0*EXP((μ-0.5*σ*σ)*T+σ*SQRT(T)*$C1587)</f>
        <v>0.62132422585796154</v>
      </c>
      <c r="E1587" s="5">
        <f ca="1">MAX(0,CP*(D1587-K))</f>
        <v>0</v>
      </c>
      <c r="F1587" s="4">
        <f ca="1">(CP*(D1587-K)&gt;0)*1</f>
        <v>0</v>
      </c>
      <c r="H1587" s="4">
        <v>1572</v>
      </c>
      <c r="I1587" s="3">
        <v>0.66777520063456186</v>
      </c>
      <c r="J1587" s="128">
        <v>1.4546347516237992E-3</v>
      </c>
      <c r="K1587" s="128"/>
      <c r="L1587" s="128">
        <v>4.24E-2</v>
      </c>
      <c r="O1587" s="2"/>
    </row>
    <row r="1588" spans="2:15" x14ac:dyDescent="0.2">
      <c r="B1588" s="1">
        <v>1573</v>
      </c>
      <c r="C1588" s="5">
        <f ca="1">_xlfn.NORM.S.INV(RAND())</f>
        <v>-1.1085533808447088</v>
      </c>
      <c r="D1588" s="5">
        <f ca="1">S0*EXP((μ-0.5*σ*σ)*T+σ*SQRT(T)*$C1588)</f>
        <v>0.59571000160862564</v>
      </c>
      <c r="E1588" s="5">
        <f ca="1">MAX(0,CP*(D1588-K))</f>
        <v>0</v>
      </c>
      <c r="F1588" s="4">
        <f ca="1">(CP*(D1588-K)&gt;0)*1</f>
        <v>0</v>
      </c>
      <c r="H1588" s="4">
        <v>1573</v>
      </c>
      <c r="I1588" s="3">
        <v>0.66785232491625868</v>
      </c>
      <c r="J1588" s="128">
        <v>1.5311778183406462E-3</v>
      </c>
      <c r="K1588" s="128"/>
      <c r="L1588" s="128">
        <v>4.5999999999999999E-2</v>
      </c>
      <c r="O1588" s="2"/>
    </row>
    <row r="1589" spans="2:15" x14ac:dyDescent="0.2">
      <c r="B1589" s="1">
        <v>1574</v>
      </c>
      <c r="C1589" s="5">
        <f ca="1">_xlfn.NORM.S.INV(RAND())</f>
        <v>-0.31629082087242261</v>
      </c>
      <c r="D1589" s="5">
        <f ca="1">S0*EXP((μ-0.5*σ*σ)*T+σ*SQRT(T)*$C1589)</f>
        <v>0.64410460003323933</v>
      </c>
      <c r="E1589" s="5">
        <f ca="1">MAX(0,CP*(D1589-K))</f>
        <v>0</v>
      </c>
      <c r="F1589" s="4">
        <f ca="1">(CP*(D1589-K)&gt;0)*1</f>
        <v>0</v>
      </c>
      <c r="H1589" s="4">
        <v>1574</v>
      </c>
      <c r="I1589" s="3">
        <v>0.66762292814476409</v>
      </c>
      <c r="J1589" s="128">
        <v>1.2976524074356367E-3</v>
      </c>
      <c r="K1589" s="128"/>
      <c r="L1589" s="128">
        <v>3.7600000000000001E-2</v>
      </c>
      <c r="O1589" s="2"/>
    </row>
    <row r="1590" spans="2:15" x14ac:dyDescent="0.2">
      <c r="B1590" s="1">
        <v>1575</v>
      </c>
      <c r="C1590" s="5">
        <f ca="1">_xlfn.NORM.S.INV(RAND())</f>
        <v>1.2298459456890085</v>
      </c>
      <c r="D1590" s="5">
        <f ca="1">S0*EXP((μ-0.5*σ*σ)*T+σ*SQRT(T)*$C1590)</f>
        <v>0.75016324813048663</v>
      </c>
      <c r="E1590" s="5">
        <f ca="1">MAX(0,CP*(D1590-K))</f>
        <v>0</v>
      </c>
      <c r="F1590" s="4">
        <f ca="1">(CP*(D1590-K)&gt;0)*1</f>
        <v>0</v>
      </c>
      <c r="H1590" s="4">
        <v>1575</v>
      </c>
      <c r="I1590" s="3">
        <v>0.66756650037720844</v>
      </c>
      <c r="J1590" s="128">
        <v>1.1183637956347456E-3</v>
      </c>
      <c r="K1590" s="128"/>
      <c r="L1590" s="128">
        <v>3.9E-2</v>
      </c>
      <c r="O1590" s="2"/>
    </row>
    <row r="1591" spans="2:15" x14ac:dyDescent="0.2">
      <c r="B1591" s="1">
        <v>1576</v>
      </c>
      <c r="C1591" s="5">
        <f ca="1">_xlfn.NORM.S.INV(RAND())</f>
        <v>0.97851900339132847</v>
      </c>
      <c r="D1591" s="5">
        <f ca="1">S0*EXP((μ-0.5*σ*σ)*T+σ*SQRT(T)*$C1591)</f>
        <v>0.73180432283913488</v>
      </c>
      <c r="E1591" s="5">
        <f ca="1">MAX(0,CP*(D1591-K))</f>
        <v>0</v>
      </c>
      <c r="F1591" s="4">
        <f ca="1">(CP*(D1591-K)&gt;0)*1</f>
        <v>0</v>
      </c>
      <c r="H1591" s="4">
        <v>1576</v>
      </c>
      <c r="I1591" s="3">
        <v>0.66769889883532418</v>
      </c>
      <c r="J1591" s="128">
        <v>1.3601386210070514E-3</v>
      </c>
      <c r="K1591" s="128"/>
      <c r="L1591" s="128">
        <v>4.0399999999999998E-2</v>
      </c>
      <c r="O1591" s="2"/>
    </row>
    <row r="1592" spans="2:15" x14ac:dyDescent="0.2">
      <c r="B1592" s="1">
        <v>1577</v>
      </c>
      <c r="C1592" s="5">
        <f ca="1">_xlfn.NORM.S.INV(RAND())</f>
        <v>0.15117008048786137</v>
      </c>
      <c r="D1592" s="5">
        <f ca="1">S0*EXP((μ-0.5*σ*σ)*T+σ*SQRT(T)*$C1592)</f>
        <v>0.67448330440807513</v>
      </c>
      <c r="E1592" s="5">
        <f ca="1">MAX(0,CP*(D1592-K))</f>
        <v>0</v>
      </c>
      <c r="F1592" s="4">
        <f ca="1">(CP*(D1592-K)&gt;0)*1</f>
        <v>0</v>
      </c>
      <c r="H1592" s="4">
        <v>1577</v>
      </c>
      <c r="I1592" s="3">
        <v>0.66783007337306188</v>
      </c>
      <c r="J1592" s="128">
        <v>1.3797796096709049E-3</v>
      </c>
      <c r="K1592" s="128"/>
      <c r="L1592" s="128">
        <v>4.6399999999999997E-2</v>
      </c>
      <c r="O1592" s="2"/>
    </row>
    <row r="1593" spans="2:15" x14ac:dyDescent="0.2">
      <c r="B1593" s="1">
        <v>1578</v>
      </c>
      <c r="C1593" s="5">
        <f ca="1">_xlfn.NORM.S.INV(RAND())</f>
        <v>-0.24112280371184758</v>
      </c>
      <c r="D1593" s="5">
        <f ca="1">S0*EXP((μ-0.5*σ*σ)*T+σ*SQRT(T)*$C1593)</f>
        <v>0.64889554746947287</v>
      </c>
      <c r="E1593" s="5">
        <f ca="1">MAX(0,CP*(D1593-K))</f>
        <v>0</v>
      </c>
      <c r="F1593" s="4">
        <f ca="1">(CP*(D1593-K)&gt;0)*1</f>
        <v>0</v>
      </c>
      <c r="H1593" s="4">
        <v>1578</v>
      </c>
      <c r="I1593" s="3">
        <v>0.66761909484539506</v>
      </c>
      <c r="J1593" s="128">
        <v>1.3765243337960007E-3</v>
      </c>
      <c r="K1593" s="128"/>
      <c r="L1593" s="128">
        <v>3.9199999999999999E-2</v>
      </c>
      <c r="O1593" s="2"/>
    </row>
    <row r="1594" spans="2:15" x14ac:dyDescent="0.2">
      <c r="B1594" s="1">
        <v>1579</v>
      </c>
      <c r="C1594" s="5">
        <f ca="1">_xlfn.NORM.S.INV(RAND())</f>
        <v>0.66606293449755738</v>
      </c>
      <c r="D1594" s="5">
        <f ca="1">S0*EXP((μ-0.5*σ*σ)*T+σ*SQRT(T)*$C1594)</f>
        <v>0.70960530461060345</v>
      </c>
      <c r="E1594" s="5">
        <f ca="1">MAX(0,CP*(D1594-K))</f>
        <v>0</v>
      </c>
      <c r="F1594" s="4">
        <f ca="1">(CP*(D1594-K)&gt;0)*1</f>
        <v>0</v>
      </c>
      <c r="H1594" s="4">
        <v>1579</v>
      </c>
      <c r="I1594" s="3">
        <v>0.6676550776207465</v>
      </c>
      <c r="J1594" s="128">
        <v>1.3479799453050779E-3</v>
      </c>
      <c r="K1594" s="128"/>
      <c r="L1594" s="128">
        <v>3.9800000000000002E-2</v>
      </c>
      <c r="O1594" s="2"/>
    </row>
    <row r="1595" spans="2:15" x14ac:dyDescent="0.2">
      <c r="B1595" s="1">
        <v>1580</v>
      </c>
      <c r="C1595" s="5">
        <f ca="1">_xlfn.NORM.S.INV(RAND())</f>
        <v>-0.94305057118825952</v>
      </c>
      <c r="D1595" s="5">
        <f ca="1">S0*EXP((μ-0.5*σ*σ)*T+σ*SQRT(T)*$C1595)</f>
        <v>0.60550963625412979</v>
      </c>
      <c r="E1595" s="5">
        <f ca="1">MAX(0,CP*(D1595-K))</f>
        <v>0</v>
      </c>
      <c r="F1595" s="4">
        <f ca="1">(CP*(D1595-K)&gt;0)*1</f>
        <v>0</v>
      </c>
      <c r="H1595" s="4">
        <v>1580</v>
      </c>
      <c r="I1595" s="3">
        <v>0.66772206700271863</v>
      </c>
      <c r="J1595" s="128">
        <v>1.4066788574948971E-3</v>
      </c>
      <c r="K1595" s="128"/>
      <c r="L1595" s="128">
        <v>4.1599999999999998E-2</v>
      </c>
      <c r="O1595" s="2"/>
    </row>
    <row r="1596" spans="2:15" x14ac:dyDescent="0.2">
      <c r="B1596" s="1">
        <v>1581</v>
      </c>
      <c r="C1596" s="5">
        <f ca="1">_xlfn.NORM.S.INV(RAND())</f>
        <v>-1.5972037272660164</v>
      </c>
      <c r="D1596" s="5">
        <f ca="1">S0*EXP((μ-0.5*σ*σ)*T+σ*SQRT(T)*$C1596)</f>
        <v>0.56769208787719805</v>
      </c>
      <c r="E1596" s="5">
        <f ca="1">MAX(0,CP*(D1596-K))</f>
        <v>0</v>
      </c>
      <c r="F1596" s="4">
        <f ca="1">(CP*(D1596-K)&gt;0)*1</f>
        <v>0</v>
      </c>
      <c r="H1596" s="4">
        <v>1581</v>
      </c>
      <c r="I1596" s="3">
        <v>0.66763293874840779</v>
      </c>
      <c r="J1596" s="128">
        <v>1.2843483165177448E-3</v>
      </c>
      <c r="K1596" s="128"/>
      <c r="L1596" s="128">
        <v>3.7999999999999999E-2</v>
      </c>
      <c r="O1596" s="2"/>
    </row>
    <row r="1597" spans="2:15" x14ac:dyDescent="0.2">
      <c r="B1597" s="1">
        <v>1582</v>
      </c>
      <c r="C1597" s="5">
        <f ca="1">_xlfn.NORM.S.INV(RAND())</f>
        <v>-0.33302178617871897</v>
      </c>
      <c r="D1597" s="5">
        <f ca="1">S0*EXP((μ-0.5*σ*σ)*T+σ*SQRT(T)*$C1597)</f>
        <v>0.64304304871795215</v>
      </c>
      <c r="E1597" s="5">
        <f ca="1">MAX(0,CP*(D1597-K))</f>
        <v>0</v>
      </c>
      <c r="F1597" s="4">
        <f ca="1">(CP*(D1597-K)&gt;0)*1</f>
        <v>0</v>
      </c>
      <c r="H1597" s="4">
        <v>1582</v>
      </c>
      <c r="I1597" s="3">
        <v>0.66792262189393803</v>
      </c>
      <c r="J1597" s="128">
        <v>1.6584518444111474E-3</v>
      </c>
      <c r="K1597" s="128"/>
      <c r="L1597" s="128">
        <v>4.8399999999999999E-2</v>
      </c>
      <c r="O1597" s="2"/>
    </row>
    <row r="1598" spans="2:15" x14ac:dyDescent="0.2">
      <c r="B1598" s="1">
        <v>1583</v>
      </c>
      <c r="C1598" s="5">
        <f ca="1">_xlfn.NORM.S.INV(RAND())</f>
        <v>-1.1166061562048437</v>
      </c>
      <c r="D1598" s="5">
        <f ca="1">S0*EXP((μ-0.5*σ*σ)*T+σ*SQRT(T)*$C1598)</f>
        <v>0.59523725348468315</v>
      </c>
      <c r="E1598" s="5">
        <f ca="1">MAX(0,CP*(D1598-K))</f>
        <v>0</v>
      </c>
      <c r="F1598" s="4">
        <f ca="1">(CP*(D1598-K)&gt;0)*1</f>
        <v>0</v>
      </c>
      <c r="H1598" s="4">
        <v>1583</v>
      </c>
      <c r="I1598" s="3">
        <v>0.66779333855188483</v>
      </c>
      <c r="J1598" s="128">
        <v>1.3780465476379679E-3</v>
      </c>
      <c r="K1598" s="128"/>
      <c r="L1598" s="128">
        <v>4.2200000000000001E-2</v>
      </c>
      <c r="O1598" s="2"/>
    </row>
    <row r="1599" spans="2:15" x14ac:dyDescent="0.2">
      <c r="B1599" s="1">
        <v>1584</v>
      </c>
      <c r="C1599" s="5">
        <f ca="1">_xlfn.NORM.S.INV(RAND())</f>
        <v>1.6548826666912924</v>
      </c>
      <c r="D1599" s="5">
        <f ca="1">S0*EXP((μ-0.5*σ*σ)*T+σ*SQRT(T)*$C1599)</f>
        <v>0.78226545689750593</v>
      </c>
      <c r="E1599" s="5">
        <f ca="1">MAX(0,CP*(D1599-K))</f>
        <v>0</v>
      </c>
      <c r="F1599" s="4">
        <f ca="1">(CP*(D1599-K)&gt;0)*1</f>
        <v>0</v>
      </c>
      <c r="H1599" s="4">
        <v>1584</v>
      </c>
      <c r="I1599" s="3">
        <v>0.66788014307704591</v>
      </c>
      <c r="J1599" s="128">
        <v>1.618605923324231E-3</v>
      </c>
      <c r="K1599" s="128"/>
      <c r="L1599" s="128">
        <v>4.5999999999999999E-2</v>
      </c>
      <c r="O1599" s="2"/>
    </row>
    <row r="1600" spans="2:15" x14ac:dyDescent="0.2">
      <c r="B1600" s="1">
        <v>1585</v>
      </c>
      <c r="C1600" s="5">
        <f ca="1">_xlfn.NORM.S.INV(RAND())</f>
        <v>2.3103325792546818</v>
      </c>
      <c r="D1600" s="5">
        <f ca="1">S0*EXP((μ-0.5*σ*σ)*T+σ*SQRT(T)*$C1600)</f>
        <v>0.83448376680574909</v>
      </c>
      <c r="E1600" s="5">
        <f ca="1">MAX(0,CP*(D1600-K))</f>
        <v>4.6283766805749083E-2</v>
      </c>
      <c r="F1600" s="4">
        <f ca="1">(CP*(D1600-K)&gt;0)*1</f>
        <v>1</v>
      </c>
      <c r="H1600" s="4">
        <v>1585</v>
      </c>
      <c r="I1600" s="3">
        <v>0.66776315007064357</v>
      </c>
      <c r="J1600" s="128">
        <v>1.3413865701436759E-3</v>
      </c>
      <c r="K1600" s="128"/>
      <c r="L1600" s="128">
        <v>4.0599999999999997E-2</v>
      </c>
      <c r="O1600" s="2"/>
    </row>
    <row r="1601" spans="2:15" x14ac:dyDescent="0.2">
      <c r="B1601" s="1">
        <v>1586</v>
      </c>
      <c r="C1601" s="5">
        <f ca="1">_xlfn.NORM.S.INV(RAND())</f>
        <v>0.45187064428736606</v>
      </c>
      <c r="D1601" s="5">
        <f ca="1">S0*EXP((μ-0.5*σ*σ)*T+σ*SQRT(T)*$C1601)</f>
        <v>0.69477790304634057</v>
      </c>
      <c r="E1601" s="5">
        <f ca="1">MAX(0,CP*(D1601-K))</f>
        <v>0</v>
      </c>
      <c r="F1601" s="4">
        <f ca="1">(CP*(D1601-K)&gt;0)*1</f>
        <v>0</v>
      </c>
      <c r="H1601" s="4">
        <v>1586</v>
      </c>
      <c r="I1601" s="3">
        <v>0.66788427840293729</v>
      </c>
      <c r="J1601" s="128">
        <v>1.5080079423868543E-3</v>
      </c>
      <c r="K1601" s="128"/>
      <c r="L1601" s="128">
        <v>4.4400000000000002E-2</v>
      </c>
      <c r="O1601" s="2"/>
    </row>
    <row r="1602" spans="2:15" x14ac:dyDescent="0.2">
      <c r="B1602" s="1">
        <v>1587</v>
      </c>
      <c r="C1602" s="5">
        <f ca="1">_xlfn.NORM.S.INV(RAND())</f>
        <v>-1.760056368021184</v>
      </c>
      <c r="D1602" s="5">
        <f ca="1">S0*EXP((μ-0.5*σ*σ)*T+σ*SQRT(T)*$C1602)</f>
        <v>0.55865043805906989</v>
      </c>
      <c r="E1602" s="5">
        <f ca="1">MAX(0,CP*(D1602-K))</f>
        <v>0</v>
      </c>
      <c r="F1602" s="4">
        <f ca="1">(CP*(D1602-K)&gt;0)*1</f>
        <v>0</v>
      </c>
      <c r="H1602" s="4">
        <v>1587</v>
      </c>
      <c r="I1602" s="3">
        <v>0.66762103751113222</v>
      </c>
      <c r="J1602" s="128">
        <v>1.2117780321176798E-3</v>
      </c>
      <c r="K1602" s="128"/>
      <c r="L1602" s="128">
        <v>3.6799999999999999E-2</v>
      </c>
      <c r="O1602" s="2"/>
    </row>
    <row r="1603" spans="2:15" x14ac:dyDescent="0.2">
      <c r="B1603" s="1">
        <v>1588</v>
      </c>
      <c r="C1603" s="5">
        <f ca="1">_xlfn.NORM.S.INV(RAND())</f>
        <v>-1.9613578772650442</v>
      </c>
      <c r="D1603" s="5">
        <f ca="1">S0*EXP((μ-0.5*σ*σ)*T+σ*SQRT(T)*$C1603)</f>
        <v>0.54767285933887588</v>
      </c>
      <c r="E1603" s="5">
        <f ca="1">MAX(0,CP*(D1603-K))</f>
        <v>0</v>
      </c>
      <c r="F1603" s="4">
        <f ca="1">(CP*(D1603-K)&gt;0)*1</f>
        <v>0</v>
      </c>
      <c r="H1603" s="4">
        <v>1588</v>
      </c>
      <c r="I1603" s="3">
        <v>0.66782133972030611</v>
      </c>
      <c r="J1603" s="128">
        <v>1.5082601845935592E-3</v>
      </c>
      <c r="K1603" s="128"/>
      <c r="L1603" s="128">
        <v>4.4200000000000003E-2</v>
      </c>
      <c r="O1603" s="2"/>
    </row>
    <row r="1604" spans="2:15" x14ac:dyDescent="0.2">
      <c r="B1604" s="1">
        <v>1589</v>
      </c>
      <c r="C1604" s="5">
        <f ca="1">_xlfn.NORM.S.INV(RAND())</f>
        <v>0.42160161178183847</v>
      </c>
      <c r="D1604" s="5">
        <f ca="1">S0*EXP((μ-0.5*σ*σ)*T+σ*SQRT(T)*$C1604)</f>
        <v>0.69270767389530064</v>
      </c>
      <c r="E1604" s="5">
        <f ca="1">MAX(0,CP*(D1604-K))</f>
        <v>0</v>
      </c>
      <c r="F1604" s="4">
        <f ca="1">(CP*(D1604-K)&gt;0)*1</f>
        <v>0</v>
      </c>
      <c r="H1604" s="4">
        <v>1589</v>
      </c>
      <c r="I1604" s="3">
        <v>0.66748690635425134</v>
      </c>
      <c r="J1604" s="128">
        <v>1.0928980485812557E-3</v>
      </c>
      <c r="K1604" s="128"/>
      <c r="L1604" s="128">
        <v>3.6799999999999999E-2</v>
      </c>
      <c r="O1604" s="2"/>
    </row>
    <row r="1605" spans="2:15" x14ac:dyDescent="0.2">
      <c r="B1605" s="1">
        <v>1590</v>
      </c>
      <c r="C1605" s="5">
        <f ca="1">_xlfn.NORM.S.INV(RAND())</f>
        <v>1.0144070237032587</v>
      </c>
      <c r="D1605" s="5">
        <f ca="1">S0*EXP((μ-0.5*σ*σ)*T+σ*SQRT(T)*$C1605)</f>
        <v>0.73439811223451801</v>
      </c>
      <c r="E1605" s="5">
        <f ca="1">MAX(0,CP*(D1605-K))</f>
        <v>0</v>
      </c>
      <c r="F1605" s="4">
        <f ca="1">(CP*(D1605-K)&gt;0)*1</f>
        <v>0</v>
      </c>
      <c r="H1605" s="4">
        <v>1590</v>
      </c>
      <c r="I1605" s="3">
        <v>0.6678164753611513</v>
      </c>
      <c r="J1605" s="128">
        <v>1.4998573587315701E-3</v>
      </c>
      <c r="K1605" s="128"/>
      <c r="L1605" s="128">
        <v>4.4600000000000001E-2</v>
      </c>
      <c r="O1605" s="2"/>
    </row>
    <row r="1606" spans="2:15" x14ac:dyDescent="0.2">
      <c r="B1606" s="1">
        <v>1591</v>
      </c>
      <c r="C1606" s="5">
        <f ca="1">_xlfn.NORM.S.INV(RAND())</f>
        <v>0.88388495448217486</v>
      </c>
      <c r="D1606" s="5">
        <f ca="1">S0*EXP((μ-0.5*σ*σ)*T+σ*SQRT(T)*$C1606)</f>
        <v>0.72500853577352475</v>
      </c>
      <c r="E1606" s="5">
        <f ca="1">MAX(0,CP*(D1606-K))</f>
        <v>0</v>
      </c>
      <c r="F1606" s="4">
        <f ca="1">(CP*(D1606-K)&gt;0)*1</f>
        <v>0</v>
      </c>
      <c r="H1606" s="4">
        <v>1591</v>
      </c>
      <c r="I1606" s="3">
        <v>0.66763638559613681</v>
      </c>
      <c r="J1606" s="128">
        <v>1.1947431866509224E-3</v>
      </c>
      <c r="K1606" s="128"/>
      <c r="L1606" s="128">
        <v>3.8600000000000002E-2</v>
      </c>
      <c r="O1606" s="2"/>
    </row>
    <row r="1607" spans="2:15" x14ac:dyDescent="0.2">
      <c r="B1607" s="1">
        <v>1592</v>
      </c>
      <c r="C1607" s="5">
        <f ca="1">_xlfn.NORM.S.INV(RAND())</f>
        <v>-0.41248587349821292</v>
      </c>
      <c r="D1607" s="5">
        <f ca="1">S0*EXP((μ-0.5*σ*σ)*T+σ*SQRT(T)*$C1607)</f>
        <v>0.63802502613152778</v>
      </c>
      <c r="E1607" s="5">
        <f ca="1">MAX(0,CP*(D1607-K))</f>
        <v>0</v>
      </c>
      <c r="F1607" s="4">
        <f ca="1">(CP*(D1607-K)&gt;0)*1</f>
        <v>0</v>
      </c>
      <c r="H1607" s="4">
        <v>1592</v>
      </c>
      <c r="I1607" s="3">
        <v>0.66768619571850463</v>
      </c>
      <c r="J1607" s="128">
        <v>1.2084781320320563E-3</v>
      </c>
      <c r="K1607" s="128"/>
      <c r="L1607" s="128">
        <v>3.7400000000000003E-2</v>
      </c>
      <c r="O1607" s="2"/>
    </row>
    <row r="1608" spans="2:15" x14ac:dyDescent="0.2">
      <c r="B1608" s="1">
        <v>1593</v>
      </c>
      <c r="C1608" s="5">
        <f ca="1">_xlfn.NORM.S.INV(RAND())</f>
        <v>0.31051898255091454</v>
      </c>
      <c r="D1608" s="5">
        <f ca="1">S0*EXP((μ-0.5*σ*σ)*T+σ*SQRT(T)*$C1608)</f>
        <v>0.68516297375632251</v>
      </c>
      <c r="E1608" s="5">
        <f ca="1">MAX(0,CP*(D1608-K))</f>
        <v>0</v>
      </c>
      <c r="F1608" s="4">
        <f ca="1">(CP*(D1608-K)&gt;0)*1</f>
        <v>0</v>
      </c>
      <c r="H1608" s="4">
        <v>1593</v>
      </c>
      <c r="I1608" s="3">
        <v>0.6676416208424375</v>
      </c>
      <c r="J1608" s="128">
        <v>1.344815801078386E-3</v>
      </c>
      <c r="K1608" s="128"/>
      <c r="L1608" s="128">
        <v>3.8199999999999998E-2</v>
      </c>
      <c r="O1608" s="2"/>
    </row>
    <row r="1609" spans="2:15" x14ac:dyDescent="0.2">
      <c r="B1609" s="1">
        <v>1594</v>
      </c>
      <c r="C1609" s="5">
        <f ca="1">_xlfn.NORM.S.INV(RAND())</f>
        <v>0.4743469671408419</v>
      </c>
      <c r="D1609" s="5">
        <f ca="1">S0*EXP((μ-0.5*σ*σ)*T+σ*SQRT(T)*$C1609)</f>
        <v>0.6963191571351125</v>
      </c>
      <c r="E1609" s="5">
        <f ca="1">MAX(0,CP*(D1609-K))</f>
        <v>0</v>
      </c>
      <c r="F1609" s="4">
        <f ca="1">(CP*(D1609-K)&gt;0)*1</f>
        <v>0</v>
      </c>
      <c r="H1609" s="4">
        <v>1594</v>
      </c>
      <c r="I1609" s="3">
        <v>0.66783758991372777</v>
      </c>
      <c r="J1609" s="128">
        <v>1.5038167963315253E-3</v>
      </c>
      <c r="K1609" s="128"/>
      <c r="L1609" s="128">
        <v>4.4999999999999998E-2</v>
      </c>
      <c r="O1609" s="2"/>
    </row>
    <row r="1610" spans="2:15" x14ac:dyDescent="0.2">
      <c r="B1610" s="1">
        <v>1595</v>
      </c>
      <c r="C1610" s="5">
        <f ca="1">_xlfn.NORM.S.INV(RAND())</f>
        <v>-1.6524504112507195</v>
      </c>
      <c r="D1610" s="5">
        <f ca="1">S0*EXP((μ-0.5*σ*σ)*T+σ*SQRT(T)*$C1610)</f>
        <v>0.56460848392378182</v>
      </c>
      <c r="E1610" s="5">
        <f ca="1">MAX(0,CP*(D1610-K))</f>
        <v>0</v>
      </c>
      <c r="F1610" s="4">
        <f ca="1">(CP*(D1610-K)&gt;0)*1</f>
        <v>0</v>
      </c>
      <c r="H1610" s="4">
        <v>1595</v>
      </c>
      <c r="I1610" s="3">
        <v>0.66768477387263492</v>
      </c>
      <c r="J1610" s="128">
        <v>1.337452845683767E-3</v>
      </c>
      <c r="K1610" s="128"/>
      <c r="L1610" s="128">
        <v>4.02E-2</v>
      </c>
      <c r="O1610" s="2"/>
    </row>
    <row r="1611" spans="2:15" x14ac:dyDescent="0.2">
      <c r="B1611" s="1">
        <v>1596</v>
      </c>
      <c r="C1611" s="5">
        <f ca="1">_xlfn.NORM.S.INV(RAND())</f>
        <v>-2.0191857125412072</v>
      </c>
      <c r="D1611" s="5">
        <f ca="1">S0*EXP((μ-0.5*σ*σ)*T+σ*SQRT(T)*$C1611)</f>
        <v>0.54455940511189582</v>
      </c>
      <c r="E1611" s="5">
        <f ca="1">MAX(0,CP*(D1611-K))</f>
        <v>0</v>
      </c>
      <c r="F1611" s="4">
        <f ca="1">(CP*(D1611-K)&gt;0)*1</f>
        <v>0</v>
      </c>
      <c r="H1611" s="4">
        <v>1596</v>
      </c>
      <c r="I1611" s="3">
        <v>0.66783969884471051</v>
      </c>
      <c r="J1611" s="128">
        <v>1.5085397640581869E-3</v>
      </c>
      <c r="K1611" s="128"/>
      <c r="L1611" s="128">
        <v>4.6600000000000003E-2</v>
      </c>
      <c r="O1611" s="2"/>
    </row>
    <row r="1612" spans="2:15" x14ac:dyDescent="0.2">
      <c r="B1612" s="1">
        <v>1597</v>
      </c>
      <c r="C1612" s="5">
        <f ca="1">_xlfn.NORM.S.INV(RAND())</f>
        <v>0.24635088468249486</v>
      </c>
      <c r="D1612" s="5">
        <f ca="1">S0*EXP((μ-0.5*σ*σ)*T+σ*SQRT(T)*$C1612)</f>
        <v>0.68084219742135721</v>
      </c>
      <c r="E1612" s="5">
        <f ca="1">MAX(0,CP*(D1612-K))</f>
        <v>0</v>
      </c>
      <c r="F1612" s="4">
        <f ca="1">(CP*(D1612-K)&gt;0)*1</f>
        <v>0</v>
      </c>
      <c r="H1612" s="4">
        <v>1597</v>
      </c>
      <c r="I1612" s="3">
        <v>0.66783666543703679</v>
      </c>
      <c r="J1612" s="128">
        <v>1.5133418980753678E-3</v>
      </c>
      <c r="K1612" s="128"/>
      <c r="L1612" s="128">
        <v>4.3999999999999997E-2</v>
      </c>
      <c r="O1612" s="2"/>
    </row>
    <row r="1613" spans="2:15" x14ac:dyDescent="0.2">
      <c r="B1613" s="1">
        <v>1598</v>
      </c>
      <c r="C1613" s="5">
        <f ca="1">_xlfn.NORM.S.INV(RAND())</f>
        <v>-0.29442635183413385</v>
      </c>
      <c r="D1613" s="5">
        <f ca="1">S0*EXP((μ-0.5*σ*σ)*T+σ*SQRT(T)*$C1613)</f>
        <v>0.64549450534676511</v>
      </c>
      <c r="E1613" s="5">
        <f ca="1">MAX(0,CP*(D1613-K))</f>
        <v>0</v>
      </c>
      <c r="F1613" s="4">
        <f ca="1">(CP*(D1613-K)&gt;0)*1</f>
        <v>0</v>
      </c>
      <c r="H1613" s="4">
        <v>1598</v>
      </c>
      <c r="I1613" s="3">
        <v>0.66784080283045311</v>
      </c>
      <c r="J1613" s="128">
        <v>1.400195871084191E-3</v>
      </c>
      <c r="K1613" s="128"/>
      <c r="L1613" s="128">
        <v>4.2799999999999998E-2</v>
      </c>
      <c r="O1613" s="2"/>
    </row>
    <row r="1614" spans="2:15" x14ac:dyDescent="0.2">
      <c r="B1614" s="1">
        <v>1599</v>
      </c>
      <c r="C1614" s="5">
        <f ca="1">_xlfn.NORM.S.INV(RAND())</f>
        <v>-5.7450311549152387E-2</v>
      </c>
      <c r="D1614" s="5">
        <f ca="1">S0*EXP((μ-0.5*σ*σ)*T+σ*SQRT(T)*$C1614)</f>
        <v>0.66075265141262185</v>
      </c>
      <c r="E1614" s="5">
        <f ca="1">MAX(0,CP*(D1614-K))</f>
        <v>0</v>
      </c>
      <c r="F1614" s="4">
        <f ca="1">(CP*(D1614-K)&gt;0)*1</f>
        <v>0</v>
      </c>
      <c r="H1614" s="4">
        <v>1599</v>
      </c>
      <c r="I1614" s="3">
        <v>0.66764835250542864</v>
      </c>
      <c r="J1614" s="128">
        <v>1.1774708494033761E-3</v>
      </c>
      <c r="K1614" s="128"/>
      <c r="L1614" s="128">
        <v>3.9199999999999999E-2</v>
      </c>
      <c r="O1614" s="2"/>
    </row>
    <row r="1615" spans="2:15" x14ac:dyDescent="0.2">
      <c r="B1615" s="1">
        <v>1600</v>
      </c>
      <c r="C1615" s="5">
        <f ca="1">_xlfn.NORM.S.INV(RAND())</f>
        <v>-1.3366425073676946</v>
      </c>
      <c r="D1615" s="5">
        <f ca="1">S0*EXP((μ-0.5*σ*σ)*T+σ*SQRT(T)*$C1615)</f>
        <v>0.58246392040789274</v>
      </c>
      <c r="E1615" s="5">
        <f ca="1">MAX(0,CP*(D1615-K))</f>
        <v>0</v>
      </c>
      <c r="F1615" s="4">
        <f ca="1">(CP*(D1615-K)&gt;0)*1</f>
        <v>0</v>
      </c>
      <c r="H1615" s="4">
        <v>1600</v>
      </c>
      <c r="I1615" s="3">
        <v>0.66771092669014587</v>
      </c>
      <c r="J1615" s="128">
        <v>1.3012258542766224E-3</v>
      </c>
      <c r="K1615" s="128"/>
      <c r="L1615" s="128">
        <v>3.7999999999999999E-2</v>
      </c>
      <c r="O1615" s="2"/>
    </row>
    <row r="1616" spans="2:15" x14ac:dyDescent="0.2">
      <c r="B1616" s="1">
        <v>1601</v>
      </c>
      <c r="C1616" s="5">
        <f ca="1">_xlfn.NORM.S.INV(RAND())</f>
        <v>0.56464100072159362</v>
      </c>
      <c r="D1616" s="5">
        <f ca="1">S0*EXP((μ-0.5*σ*σ)*T+σ*SQRT(T)*$C1616)</f>
        <v>0.70254536429655845</v>
      </c>
      <c r="E1616" s="5">
        <f ca="1">MAX(0,CP*(D1616-K))</f>
        <v>0</v>
      </c>
      <c r="F1616" s="4">
        <f ca="1">(CP*(D1616-K)&gt;0)*1</f>
        <v>0</v>
      </c>
      <c r="H1616" s="4">
        <v>1601</v>
      </c>
      <c r="I1616" s="3">
        <v>0.66758319611280081</v>
      </c>
      <c r="J1616" s="128">
        <v>1.1878949093643925E-3</v>
      </c>
      <c r="K1616" s="128"/>
      <c r="L1616" s="128">
        <v>4.0399999999999998E-2</v>
      </c>
      <c r="O1616" s="2"/>
    </row>
    <row r="1617" spans="2:15" x14ac:dyDescent="0.2">
      <c r="B1617" s="1">
        <v>1602</v>
      </c>
      <c r="C1617" s="5">
        <f ca="1">_xlfn.NORM.S.INV(RAND())</f>
        <v>2.5484847392792092E-2</v>
      </c>
      <c r="D1617" s="5">
        <f ca="1">S0*EXP((μ-0.5*σ*σ)*T+σ*SQRT(T)*$C1617)</f>
        <v>0.66617735486219043</v>
      </c>
      <c r="E1617" s="5">
        <f ca="1">MAX(0,CP*(D1617-K))</f>
        <v>0</v>
      </c>
      <c r="F1617" s="4">
        <f ca="1">(CP*(D1617-K)&gt;0)*1</f>
        <v>0</v>
      </c>
      <c r="H1617" s="4">
        <v>1602</v>
      </c>
      <c r="I1617" s="3">
        <v>0.66776390829354049</v>
      </c>
      <c r="J1617" s="128">
        <v>1.2765398238506083E-3</v>
      </c>
      <c r="K1617" s="128"/>
      <c r="L1617" s="128">
        <v>4.1000000000000002E-2</v>
      </c>
      <c r="O1617" s="2"/>
    </row>
    <row r="1618" spans="2:15" x14ac:dyDescent="0.2">
      <c r="B1618" s="1">
        <v>1603</v>
      </c>
      <c r="C1618" s="5">
        <f ca="1">_xlfn.NORM.S.INV(RAND())</f>
        <v>1.3259971091233933</v>
      </c>
      <c r="D1618" s="5">
        <f ca="1">S0*EXP((μ-0.5*σ*σ)*T+σ*SQRT(T)*$C1618)</f>
        <v>0.75730808105130509</v>
      </c>
      <c r="E1618" s="5">
        <f ca="1">MAX(0,CP*(D1618-K))</f>
        <v>0</v>
      </c>
      <c r="F1618" s="4">
        <f ca="1">(CP*(D1618-K)&gt;0)*1</f>
        <v>0</v>
      </c>
      <c r="H1618" s="4">
        <v>1603</v>
      </c>
      <c r="I1618" s="3">
        <v>0.66778606597232215</v>
      </c>
      <c r="J1618" s="128">
        <v>1.4059163795464564E-3</v>
      </c>
      <c r="K1618" s="128"/>
      <c r="L1618" s="128">
        <v>4.4999999999999998E-2</v>
      </c>
      <c r="O1618" s="2"/>
    </row>
    <row r="1619" spans="2:15" x14ac:dyDescent="0.2">
      <c r="B1619" s="1">
        <v>1604</v>
      </c>
      <c r="C1619" s="5">
        <f ca="1">_xlfn.NORM.S.INV(RAND())</f>
        <v>1.9590590407555193</v>
      </c>
      <c r="D1619" s="5">
        <f ca="1">S0*EXP((μ-0.5*σ*σ)*T+σ*SQRT(T)*$C1619)</f>
        <v>0.80607929693789537</v>
      </c>
      <c r="E1619" s="5">
        <f ca="1">MAX(0,CP*(D1619-K))</f>
        <v>1.7879296937895361E-2</v>
      </c>
      <c r="F1619" s="4">
        <f ca="1">(CP*(D1619-K)&gt;0)*1</f>
        <v>1</v>
      </c>
      <c r="H1619" s="4">
        <v>1604</v>
      </c>
      <c r="I1619" s="3">
        <v>0.66767308987457175</v>
      </c>
      <c r="J1619" s="128">
        <v>1.2128748690566524E-3</v>
      </c>
      <c r="K1619" s="128"/>
      <c r="L1619" s="128">
        <v>4.0800000000000003E-2</v>
      </c>
      <c r="O1619" s="2"/>
    </row>
    <row r="1620" spans="2:15" x14ac:dyDescent="0.2">
      <c r="B1620" s="1">
        <v>1605</v>
      </c>
      <c r="C1620" s="5">
        <f ca="1">_xlfn.NORM.S.INV(RAND())</f>
        <v>-9.5407859392948602E-2</v>
      </c>
      <c r="D1620" s="5">
        <f ca="1">S0*EXP((μ-0.5*σ*σ)*T+σ*SQRT(T)*$C1620)</f>
        <v>0.65828464410379417</v>
      </c>
      <c r="E1620" s="5">
        <f ca="1">MAX(0,CP*(D1620-K))</f>
        <v>0</v>
      </c>
      <c r="F1620" s="4">
        <f ca="1">(CP*(D1620-K)&gt;0)*1</f>
        <v>0</v>
      </c>
      <c r="H1620" s="4">
        <v>1605</v>
      </c>
      <c r="I1620" s="3">
        <v>0.66778524352990942</v>
      </c>
      <c r="J1620" s="128">
        <v>1.4383433228313479E-3</v>
      </c>
      <c r="K1620" s="128"/>
      <c r="L1620" s="128">
        <v>4.0599999999999997E-2</v>
      </c>
      <c r="O1620" s="2"/>
    </row>
    <row r="1621" spans="2:15" x14ac:dyDescent="0.2">
      <c r="B1621" s="1">
        <v>1606</v>
      </c>
      <c r="C1621" s="5">
        <f ca="1">_xlfn.NORM.S.INV(RAND())</f>
        <v>-0.2319529605290741</v>
      </c>
      <c r="D1621" s="5">
        <f ca="1">S0*EXP((μ-0.5*σ*σ)*T+σ*SQRT(T)*$C1621)</f>
        <v>0.64948243481610113</v>
      </c>
      <c r="E1621" s="5">
        <f ca="1">MAX(0,CP*(D1621-K))</f>
        <v>0</v>
      </c>
      <c r="F1621" s="4">
        <f ca="1">(CP*(D1621-K)&gt;0)*1</f>
        <v>0</v>
      </c>
      <c r="H1621" s="4">
        <v>1606</v>
      </c>
      <c r="I1621" s="3">
        <v>0.66779700805637587</v>
      </c>
      <c r="J1621" s="128">
        <v>1.4407868718653103E-3</v>
      </c>
      <c r="K1621" s="128"/>
      <c r="L1621" s="128">
        <v>3.9600000000000003E-2</v>
      </c>
      <c r="O1621" s="2"/>
    </row>
    <row r="1622" spans="2:15" x14ac:dyDescent="0.2">
      <c r="B1622" s="1">
        <v>1607</v>
      </c>
      <c r="C1622" s="5">
        <f ca="1">_xlfn.NORM.S.INV(RAND())</f>
        <v>-1.6622976307607127</v>
      </c>
      <c r="D1622" s="5">
        <f ca="1">S0*EXP((μ-0.5*σ*σ)*T+σ*SQRT(T)*$C1622)</f>
        <v>0.56406062095423781</v>
      </c>
      <c r="E1622" s="5">
        <f ca="1">MAX(0,CP*(D1622-K))</f>
        <v>0</v>
      </c>
      <c r="F1622" s="4">
        <f ca="1">(CP*(D1622-K)&gt;0)*1</f>
        <v>0</v>
      </c>
      <c r="H1622" s="4">
        <v>1607</v>
      </c>
      <c r="I1622" s="3">
        <v>0.66761799043810188</v>
      </c>
      <c r="J1622" s="128">
        <v>1.2741436579141263E-3</v>
      </c>
      <c r="K1622" s="128"/>
      <c r="L1622" s="128">
        <v>3.9600000000000003E-2</v>
      </c>
      <c r="O1622" s="2"/>
    </row>
    <row r="1623" spans="2:15" x14ac:dyDescent="0.2">
      <c r="B1623" s="1">
        <v>1608</v>
      </c>
      <c r="C1623" s="5">
        <f ca="1">_xlfn.NORM.S.INV(RAND())</f>
        <v>0.65515379771239146</v>
      </c>
      <c r="D1623" s="5">
        <f ca="1">S0*EXP((μ-0.5*σ*σ)*T+σ*SQRT(T)*$C1623)</f>
        <v>0.70884253138673781</v>
      </c>
      <c r="E1623" s="5">
        <f ca="1">MAX(0,CP*(D1623-K))</f>
        <v>0</v>
      </c>
      <c r="F1623" s="4">
        <f ca="1">(CP*(D1623-K)&gt;0)*1</f>
        <v>0</v>
      </c>
      <c r="H1623" s="4">
        <v>1608</v>
      </c>
      <c r="I1623" s="3">
        <v>0.66767015910768268</v>
      </c>
      <c r="J1623" s="128">
        <v>1.2903308215398094E-3</v>
      </c>
      <c r="K1623" s="128"/>
      <c r="L1623" s="128">
        <v>3.8800000000000001E-2</v>
      </c>
      <c r="O1623" s="2"/>
    </row>
    <row r="1624" spans="2:15" x14ac:dyDescent="0.2">
      <c r="B1624" s="1">
        <v>1609</v>
      </c>
      <c r="C1624" s="5">
        <f ca="1">_xlfn.NORM.S.INV(RAND())</f>
        <v>0.4832726821323865</v>
      </c>
      <c r="D1624" s="5">
        <f ca="1">S0*EXP((μ-0.5*σ*σ)*T+σ*SQRT(T)*$C1624)</f>
        <v>0.69693216235843236</v>
      </c>
      <c r="E1624" s="5">
        <f ca="1">MAX(0,CP*(D1624-K))</f>
        <v>0</v>
      </c>
      <c r="F1624" s="4">
        <f ca="1">(CP*(D1624-K)&gt;0)*1</f>
        <v>0</v>
      </c>
      <c r="H1624" s="4">
        <v>1609</v>
      </c>
      <c r="I1624" s="3">
        <v>0.66783649286491698</v>
      </c>
      <c r="J1624" s="128">
        <v>1.3913287622145114E-3</v>
      </c>
      <c r="K1624" s="128"/>
      <c r="L1624" s="128">
        <v>4.4600000000000001E-2</v>
      </c>
      <c r="O1624" s="2"/>
    </row>
    <row r="1625" spans="2:15" x14ac:dyDescent="0.2">
      <c r="B1625" s="1">
        <v>1610</v>
      </c>
      <c r="C1625" s="5">
        <f ca="1">_xlfn.NORM.S.INV(RAND())</f>
        <v>1.6507378226679263</v>
      </c>
      <c r="D1625" s="5">
        <f ca="1">S0*EXP((μ-0.5*σ*σ)*T+σ*SQRT(T)*$C1625)</f>
        <v>0.78194586531222021</v>
      </c>
      <c r="E1625" s="5">
        <f ca="1">MAX(0,CP*(D1625-K))</f>
        <v>0</v>
      </c>
      <c r="F1625" s="4">
        <f ca="1">(CP*(D1625-K)&gt;0)*1</f>
        <v>0</v>
      </c>
      <c r="H1625" s="4">
        <v>1610</v>
      </c>
      <c r="I1625" s="3">
        <v>0.66774296855466242</v>
      </c>
      <c r="J1625" s="128">
        <v>1.3139618130130124E-3</v>
      </c>
      <c r="K1625" s="128"/>
      <c r="L1625" s="128">
        <v>4.2799999999999998E-2</v>
      </c>
      <c r="O1625" s="2"/>
    </row>
    <row r="1626" spans="2:15" x14ac:dyDescent="0.2">
      <c r="B1626" s="1">
        <v>1611</v>
      </c>
      <c r="C1626" s="5">
        <f ca="1">_xlfn.NORM.S.INV(RAND())</f>
        <v>-0.72584502623337921</v>
      </c>
      <c r="D1626" s="5">
        <f ca="1">S0*EXP((μ-0.5*σ*σ)*T+σ*SQRT(T)*$C1626)</f>
        <v>0.61861568928497734</v>
      </c>
      <c r="E1626" s="5">
        <f ca="1">MAX(0,CP*(D1626-K))</f>
        <v>0</v>
      </c>
      <c r="F1626" s="4">
        <f ca="1">(CP*(D1626-K)&gt;0)*1</f>
        <v>0</v>
      </c>
      <c r="H1626" s="4">
        <v>1611</v>
      </c>
      <c r="I1626" s="3">
        <v>0.66792464054985046</v>
      </c>
      <c r="J1626" s="128">
        <v>1.4853384785100514E-3</v>
      </c>
      <c r="K1626" s="128"/>
      <c r="L1626" s="128">
        <v>4.7199999999999999E-2</v>
      </c>
      <c r="O1626" s="2"/>
    </row>
    <row r="1627" spans="2:15" x14ac:dyDescent="0.2">
      <c r="B1627" s="1">
        <v>1612</v>
      </c>
      <c r="C1627" s="5">
        <f ca="1">_xlfn.NORM.S.INV(RAND())</f>
        <v>-0.27271071581842787</v>
      </c>
      <c r="D1627" s="5">
        <f ca="1">S0*EXP((μ-0.5*σ*σ)*T+σ*SQRT(T)*$C1627)</f>
        <v>0.64687791816436802</v>
      </c>
      <c r="E1627" s="5">
        <f ca="1">MAX(0,CP*(D1627-K))</f>
        <v>0</v>
      </c>
      <c r="F1627" s="4">
        <f ca="1">(CP*(D1627-K)&gt;0)*1</f>
        <v>0</v>
      </c>
      <c r="H1627" s="4">
        <v>1612</v>
      </c>
      <c r="I1627" s="3">
        <v>0.66787264929896983</v>
      </c>
      <c r="J1627" s="128">
        <v>1.4912399280513366E-3</v>
      </c>
      <c r="K1627" s="128"/>
      <c r="L1627" s="128">
        <v>4.4999999999999998E-2</v>
      </c>
      <c r="O1627" s="2"/>
    </row>
    <row r="1628" spans="2:15" x14ac:dyDescent="0.2">
      <c r="B1628" s="1">
        <v>1613</v>
      </c>
      <c r="C1628" s="5">
        <f ca="1">_xlfn.NORM.S.INV(RAND())</f>
        <v>-0.71083302638137869</v>
      </c>
      <c r="D1628" s="5">
        <f ca="1">S0*EXP((μ-0.5*σ*σ)*T+σ*SQRT(T)*$C1628)</f>
        <v>0.61953191530002316</v>
      </c>
      <c r="E1628" s="5">
        <f ca="1">MAX(0,CP*(D1628-K))</f>
        <v>0</v>
      </c>
      <c r="F1628" s="4">
        <f ca="1">(CP*(D1628-K)&gt;0)*1</f>
        <v>0</v>
      </c>
      <c r="H1628" s="4">
        <v>1613</v>
      </c>
      <c r="I1628" s="3">
        <v>0.66788994179178252</v>
      </c>
      <c r="J1628" s="128">
        <v>1.5695792962334741E-3</v>
      </c>
      <c r="K1628" s="128"/>
      <c r="L1628" s="128">
        <v>4.7600000000000003E-2</v>
      </c>
      <c r="O1628" s="2"/>
    </row>
    <row r="1629" spans="2:15" x14ac:dyDescent="0.2">
      <c r="B1629" s="1">
        <v>1614</v>
      </c>
      <c r="C1629" s="5">
        <f ca="1">_xlfn.NORM.S.INV(RAND())</f>
        <v>0.74866407071402774</v>
      </c>
      <c r="D1629" s="5">
        <f ca="1">S0*EXP((μ-0.5*σ*σ)*T+σ*SQRT(T)*$C1629)</f>
        <v>0.71540752365388338</v>
      </c>
      <c r="E1629" s="5">
        <f ca="1">MAX(0,CP*(D1629-K))</f>
        <v>0</v>
      </c>
      <c r="F1629" s="4">
        <f ca="1">(CP*(D1629-K)&gt;0)*1</f>
        <v>0</v>
      </c>
      <c r="H1629" s="4">
        <v>1614</v>
      </c>
      <c r="I1629" s="3">
        <v>0.6677283578882357</v>
      </c>
      <c r="J1629" s="128">
        <v>1.4227183520424587E-3</v>
      </c>
      <c r="K1629" s="128"/>
      <c r="L1629" s="128">
        <v>4.0399999999999998E-2</v>
      </c>
      <c r="O1629" s="2"/>
    </row>
    <row r="1630" spans="2:15" x14ac:dyDescent="0.2">
      <c r="B1630" s="1">
        <v>1615</v>
      </c>
      <c r="C1630" s="5">
        <f ca="1">_xlfn.NORM.S.INV(RAND())</f>
        <v>1.503652705683949</v>
      </c>
      <c r="D1630" s="5">
        <f ca="1">S0*EXP((μ-0.5*σ*σ)*T+σ*SQRT(T)*$C1630)</f>
        <v>0.77068887880324288</v>
      </c>
      <c r="E1630" s="5">
        <f ca="1">MAX(0,CP*(D1630-K))</f>
        <v>0</v>
      </c>
      <c r="F1630" s="4">
        <f ca="1">(CP*(D1630-K)&gt;0)*1</f>
        <v>0</v>
      </c>
      <c r="H1630" s="4">
        <v>1615</v>
      </c>
      <c r="I1630" s="3">
        <v>0.66785908867874677</v>
      </c>
      <c r="J1630" s="128">
        <v>1.513680578120503E-3</v>
      </c>
      <c r="K1630" s="128"/>
      <c r="L1630" s="128">
        <v>4.3999999999999997E-2</v>
      </c>
      <c r="O1630" s="2"/>
    </row>
    <row r="1631" spans="2:15" x14ac:dyDescent="0.2">
      <c r="B1631" s="1">
        <v>1616</v>
      </c>
      <c r="C1631" s="5">
        <f ca="1">_xlfn.NORM.S.INV(RAND())</f>
        <v>0.80902207534283921</v>
      </c>
      <c r="D1631" s="5">
        <f ca="1">S0*EXP((μ-0.5*σ*σ)*T+σ*SQRT(T)*$C1631)</f>
        <v>0.71967727793294411</v>
      </c>
      <c r="E1631" s="5">
        <f ca="1">MAX(0,CP*(D1631-K))</f>
        <v>0</v>
      </c>
      <c r="F1631" s="4">
        <f ca="1">(CP*(D1631-K)&gt;0)*1</f>
        <v>0</v>
      </c>
      <c r="H1631" s="4">
        <v>1616</v>
      </c>
      <c r="I1631" s="3">
        <v>0.66777855306200151</v>
      </c>
      <c r="J1631" s="128">
        <v>1.3827272287070991E-3</v>
      </c>
      <c r="K1631" s="128"/>
      <c r="L1631" s="128">
        <v>4.1599999999999998E-2</v>
      </c>
      <c r="O1631" s="2"/>
    </row>
    <row r="1632" spans="2:15" x14ac:dyDescent="0.2">
      <c r="B1632" s="1">
        <v>1617</v>
      </c>
      <c r="C1632" s="5">
        <f ca="1">_xlfn.NORM.S.INV(RAND())</f>
        <v>-0.316335605380198</v>
      </c>
      <c r="D1632" s="5">
        <f ca="1">S0*EXP((μ-0.5*σ*σ)*T+σ*SQRT(T)*$C1632)</f>
        <v>0.64410175619448762</v>
      </c>
      <c r="E1632" s="5">
        <f ca="1">MAX(0,CP*(D1632-K))</f>
        <v>0</v>
      </c>
      <c r="F1632" s="4">
        <f ca="1">(CP*(D1632-K)&gt;0)*1</f>
        <v>0</v>
      </c>
      <c r="H1632" s="4">
        <v>1617</v>
      </c>
      <c r="I1632" s="3">
        <v>0.66775518933036404</v>
      </c>
      <c r="J1632" s="128">
        <v>1.3480306865629029E-3</v>
      </c>
      <c r="K1632" s="128"/>
      <c r="L1632" s="128">
        <v>4.24E-2</v>
      </c>
      <c r="O1632" s="2"/>
    </row>
    <row r="1633" spans="2:15" x14ac:dyDescent="0.2">
      <c r="B1633" s="1">
        <v>1618</v>
      </c>
      <c r="C1633" s="5">
        <f ca="1">_xlfn.NORM.S.INV(RAND())</f>
        <v>1.8444965618122686</v>
      </c>
      <c r="D1633" s="5">
        <f ca="1">S0*EXP((μ-0.5*σ*σ)*T+σ*SQRT(T)*$C1633)</f>
        <v>0.79702631518127098</v>
      </c>
      <c r="E1633" s="5">
        <f ca="1">MAX(0,CP*(D1633-K))</f>
        <v>8.8263151812709717E-3</v>
      </c>
      <c r="F1633" s="4">
        <f ca="1">(CP*(D1633-K)&gt;0)*1</f>
        <v>1</v>
      </c>
      <c r="H1633" s="4">
        <v>1618</v>
      </c>
      <c r="I1633" s="3">
        <v>0.66762425007374226</v>
      </c>
      <c r="J1633" s="128">
        <v>1.2956938146871117E-3</v>
      </c>
      <c r="K1633" s="128"/>
      <c r="L1633" s="128">
        <v>3.9399999999999998E-2</v>
      </c>
      <c r="O1633" s="2"/>
    </row>
    <row r="1634" spans="2:15" x14ac:dyDescent="0.2">
      <c r="B1634" s="1">
        <v>1619</v>
      </c>
      <c r="C1634" s="5">
        <f ca="1">_xlfn.NORM.S.INV(RAND())</f>
        <v>-0.89977811767673166</v>
      </c>
      <c r="D1634" s="5">
        <f ca="1">S0*EXP((μ-0.5*σ*σ)*T+σ*SQRT(T)*$C1634)</f>
        <v>0.60809833197303098</v>
      </c>
      <c r="E1634" s="5">
        <f ca="1">MAX(0,CP*(D1634-K))</f>
        <v>0</v>
      </c>
      <c r="F1634" s="4">
        <f ca="1">(CP*(D1634-K)&gt;0)*1</f>
        <v>0</v>
      </c>
      <c r="H1634" s="4">
        <v>1619</v>
      </c>
      <c r="I1634" s="3">
        <v>0.66774640035658617</v>
      </c>
      <c r="J1634" s="128">
        <v>1.2572291713436343E-3</v>
      </c>
      <c r="K1634" s="128"/>
      <c r="L1634" s="128">
        <v>3.9800000000000002E-2</v>
      </c>
      <c r="O1634" s="2"/>
    </row>
    <row r="1635" spans="2:15" x14ac:dyDescent="0.2">
      <c r="B1635" s="1">
        <v>1620</v>
      </c>
      <c r="C1635" s="5">
        <f ca="1">_xlfn.NORM.S.INV(RAND())</f>
        <v>-1.0235142879538539</v>
      </c>
      <c r="D1635" s="5">
        <f ca="1">S0*EXP((μ-0.5*σ*σ)*T+σ*SQRT(T)*$C1635)</f>
        <v>0.60072530280298309</v>
      </c>
      <c r="E1635" s="5">
        <f ca="1">MAX(0,CP*(D1635-K))</f>
        <v>0</v>
      </c>
      <c r="F1635" s="4">
        <f ca="1">(CP*(D1635-K)&gt;0)*1</f>
        <v>0</v>
      </c>
      <c r="H1635" s="4">
        <v>1620</v>
      </c>
      <c r="I1635" s="3">
        <v>0.66776990718228646</v>
      </c>
      <c r="J1635" s="128">
        <v>1.4102188587918161E-3</v>
      </c>
      <c r="K1635" s="128"/>
      <c r="L1635" s="128">
        <v>4.1799999999999997E-2</v>
      </c>
      <c r="O1635" s="2"/>
    </row>
    <row r="1636" spans="2:15" x14ac:dyDescent="0.2">
      <c r="B1636" s="1">
        <v>1621</v>
      </c>
      <c r="C1636" s="5">
        <f ca="1">_xlfn.NORM.S.INV(RAND())</f>
        <v>0.1561295903545068</v>
      </c>
      <c r="D1636" s="5">
        <f ca="1">S0*EXP((μ-0.5*σ*σ)*T+σ*SQRT(T)*$C1636)</f>
        <v>0.67481317064083324</v>
      </c>
      <c r="E1636" s="5">
        <f ca="1">MAX(0,CP*(D1636-K))</f>
        <v>0</v>
      </c>
      <c r="F1636" s="4">
        <f ca="1">(CP*(D1636-K)&gt;0)*1</f>
        <v>0</v>
      </c>
      <c r="H1636" s="4">
        <v>1621</v>
      </c>
      <c r="I1636" s="3">
        <v>0.66775102255568919</v>
      </c>
      <c r="J1636" s="128">
        <v>1.4002624840364309E-3</v>
      </c>
      <c r="K1636" s="128"/>
      <c r="L1636" s="128">
        <v>3.9600000000000003E-2</v>
      </c>
      <c r="O1636" s="2"/>
    </row>
    <row r="1637" spans="2:15" x14ac:dyDescent="0.2">
      <c r="B1637" s="1">
        <v>1622</v>
      </c>
      <c r="C1637" s="5">
        <f ca="1">_xlfn.NORM.S.INV(RAND())</f>
        <v>0.85564014462458071</v>
      </c>
      <c r="D1637" s="5">
        <f ca="1">S0*EXP((μ-0.5*σ*σ)*T+σ*SQRT(T)*$C1637)</f>
        <v>0.722992496578716</v>
      </c>
      <c r="E1637" s="5">
        <f ca="1">MAX(0,CP*(D1637-K))</f>
        <v>0</v>
      </c>
      <c r="F1637" s="4">
        <f ca="1">(CP*(D1637-K)&gt;0)*1</f>
        <v>0</v>
      </c>
      <c r="H1637" s="4">
        <v>1622</v>
      </c>
      <c r="I1637" s="3">
        <v>0.66764521642210684</v>
      </c>
      <c r="J1637" s="128">
        <v>1.2284405920423185E-3</v>
      </c>
      <c r="K1637" s="128"/>
      <c r="L1637" s="128">
        <v>3.9199999999999999E-2</v>
      </c>
      <c r="O1637" s="2"/>
    </row>
    <row r="1638" spans="2:15" x14ac:dyDescent="0.2">
      <c r="B1638" s="1">
        <v>1623</v>
      </c>
      <c r="C1638" s="5">
        <f ca="1">_xlfn.NORM.S.INV(RAND())</f>
        <v>-6.4628102716292685E-2</v>
      </c>
      <c r="D1638" s="5">
        <f ca="1">S0*EXP((μ-0.5*σ*σ)*T+σ*SQRT(T)*$C1638)</f>
        <v>0.66028524162679414</v>
      </c>
      <c r="E1638" s="5">
        <f ca="1">MAX(0,CP*(D1638-K))</f>
        <v>0</v>
      </c>
      <c r="F1638" s="4">
        <f ca="1">(CP*(D1638-K)&gt;0)*1</f>
        <v>0</v>
      </c>
      <c r="H1638" s="4">
        <v>1623</v>
      </c>
      <c r="I1638" s="3">
        <v>0.66773421167126989</v>
      </c>
      <c r="J1638" s="128">
        <v>1.2503989160028543E-3</v>
      </c>
      <c r="K1638" s="128"/>
      <c r="L1638" s="128">
        <v>3.9399999999999998E-2</v>
      </c>
      <c r="O1638" s="2"/>
    </row>
    <row r="1639" spans="2:15" x14ac:dyDescent="0.2">
      <c r="B1639" s="1">
        <v>1624</v>
      </c>
      <c r="C1639" s="5">
        <f ca="1">_xlfn.NORM.S.INV(RAND())</f>
        <v>-1.5053008249050051</v>
      </c>
      <c r="D1639" s="5">
        <f ca="1">S0*EXP((μ-0.5*σ*σ)*T+σ*SQRT(T)*$C1639)</f>
        <v>0.5728590197036082</v>
      </c>
      <c r="E1639" s="5">
        <f ca="1">MAX(0,CP*(D1639-K))</f>
        <v>0</v>
      </c>
      <c r="F1639" s="4">
        <f ca="1">(CP*(D1639-K)&gt;0)*1</f>
        <v>0</v>
      </c>
      <c r="H1639" s="4">
        <v>1624</v>
      </c>
      <c r="I1639" s="3">
        <v>0.66780680355315358</v>
      </c>
      <c r="J1639" s="128">
        <v>1.552489000836998E-3</v>
      </c>
      <c r="K1639" s="128"/>
      <c r="L1639" s="128">
        <v>4.3200000000000002E-2</v>
      </c>
      <c r="O1639" s="2"/>
    </row>
    <row r="1640" spans="2:15" x14ac:dyDescent="0.2">
      <c r="B1640" s="1">
        <v>1625</v>
      </c>
      <c r="C1640" s="5">
        <f ca="1">_xlfn.NORM.S.INV(RAND())</f>
        <v>0.92766189119973119</v>
      </c>
      <c r="D1640" s="5">
        <f ca="1">S0*EXP((μ-0.5*σ*σ)*T+σ*SQRT(T)*$C1640)</f>
        <v>0.72814433120071265</v>
      </c>
      <c r="E1640" s="5">
        <f ca="1">MAX(0,CP*(D1640-K))</f>
        <v>0</v>
      </c>
      <c r="F1640" s="4">
        <f ca="1">(CP*(D1640-K)&gt;0)*1</f>
        <v>0</v>
      </c>
      <c r="H1640" s="4">
        <v>1625</v>
      </c>
      <c r="I1640" s="3">
        <v>0.66796157307417492</v>
      </c>
      <c r="J1640" s="128">
        <v>1.529637534980408E-3</v>
      </c>
      <c r="K1640" s="128"/>
      <c r="L1640" s="128">
        <v>4.6399999999999997E-2</v>
      </c>
      <c r="O1640" s="2"/>
    </row>
    <row r="1641" spans="2:15" x14ac:dyDescent="0.2">
      <c r="B1641" s="1">
        <v>1626</v>
      </c>
      <c r="C1641" s="5">
        <f ca="1">_xlfn.NORM.S.INV(RAND())</f>
        <v>0.2883662458752988</v>
      </c>
      <c r="D1641" s="5">
        <f ca="1">S0*EXP((μ-0.5*σ*σ)*T+σ*SQRT(T)*$C1641)</f>
        <v>0.68366822282755935</v>
      </c>
      <c r="E1641" s="5">
        <f ca="1">MAX(0,CP*(D1641-K))</f>
        <v>0</v>
      </c>
      <c r="F1641" s="4">
        <f ca="1">(CP*(D1641-K)&gt;0)*1</f>
        <v>0</v>
      </c>
      <c r="H1641" s="4">
        <v>1626</v>
      </c>
      <c r="I1641" s="3">
        <v>0.66787323521981701</v>
      </c>
      <c r="J1641" s="128">
        <v>1.5585172060415165E-3</v>
      </c>
      <c r="K1641" s="128"/>
      <c r="L1641" s="128">
        <v>4.4999999999999998E-2</v>
      </c>
      <c r="O1641" s="2"/>
    </row>
    <row r="1642" spans="2:15" x14ac:dyDescent="0.2">
      <c r="B1642" s="1">
        <v>1627</v>
      </c>
      <c r="C1642" s="5">
        <f ca="1">_xlfn.NORM.S.INV(RAND())</f>
        <v>-0.64916748280637282</v>
      </c>
      <c r="D1642" s="5">
        <f ca="1">S0*EXP((μ-0.5*σ*σ)*T+σ*SQRT(T)*$C1642)</f>
        <v>0.62330980064416386</v>
      </c>
      <c r="E1642" s="5">
        <f ca="1">MAX(0,CP*(D1642-K))</f>
        <v>0</v>
      </c>
      <c r="F1642" s="4">
        <f ca="1">(CP*(D1642-K)&gt;0)*1</f>
        <v>0</v>
      </c>
      <c r="H1642" s="4">
        <v>1627</v>
      </c>
      <c r="I1642" s="3">
        <v>0.66768546898095427</v>
      </c>
      <c r="J1642" s="128">
        <v>1.2272387079903101E-3</v>
      </c>
      <c r="K1642" s="128"/>
      <c r="L1642" s="128">
        <v>4.02E-2</v>
      </c>
      <c r="O1642" s="2"/>
    </row>
    <row r="1643" spans="2:15" x14ac:dyDescent="0.2">
      <c r="B1643" s="1">
        <v>1628</v>
      </c>
      <c r="C1643" s="5">
        <f ca="1">_xlfn.NORM.S.INV(RAND())</f>
        <v>0.80224159884352575</v>
      </c>
      <c r="D1643" s="5">
        <f ca="1">S0*EXP((μ-0.5*σ*σ)*T+σ*SQRT(T)*$C1643)</f>
        <v>0.71919635600618781</v>
      </c>
      <c r="E1643" s="5">
        <f ca="1">MAX(0,CP*(D1643-K))</f>
        <v>0</v>
      </c>
      <c r="F1643" s="4">
        <f ca="1">(CP*(D1643-K)&gt;0)*1</f>
        <v>0</v>
      </c>
      <c r="H1643" s="4">
        <v>1628</v>
      </c>
      <c r="I1643" s="3">
        <v>0.66773199384238158</v>
      </c>
      <c r="J1643" s="128">
        <v>1.3500559541901821E-3</v>
      </c>
      <c r="K1643" s="128"/>
      <c r="L1643" s="128">
        <v>3.9399999999999998E-2</v>
      </c>
      <c r="O1643" s="2"/>
    </row>
    <row r="1644" spans="2:15" x14ac:dyDescent="0.2">
      <c r="B1644" s="1">
        <v>1629</v>
      </c>
      <c r="C1644" s="5">
        <f ca="1">_xlfn.NORM.S.INV(RAND())</f>
        <v>0.79337454130339069</v>
      </c>
      <c r="D1644" s="5">
        <f ca="1">S0*EXP((μ-0.5*σ*σ)*T+σ*SQRT(T)*$C1644)</f>
        <v>0.7185679231061064</v>
      </c>
      <c r="E1644" s="5">
        <f ca="1">MAX(0,CP*(D1644-K))</f>
        <v>0</v>
      </c>
      <c r="F1644" s="4">
        <f ca="1">(CP*(D1644-K)&gt;0)*1</f>
        <v>0</v>
      </c>
      <c r="H1644" s="4">
        <v>1629</v>
      </c>
      <c r="I1644" s="3">
        <v>0.66785728806093747</v>
      </c>
      <c r="J1644" s="128">
        <v>1.462671454500173E-3</v>
      </c>
      <c r="K1644" s="128"/>
      <c r="L1644" s="128">
        <v>4.2000000000000003E-2</v>
      </c>
      <c r="O1644" s="2"/>
    </row>
    <row r="1645" spans="2:15" x14ac:dyDescent="0.2">
      <c r="B1645" s="1">
        <v>1630</v>
      </c>
      <c r="C1645" s="5">
        <f ca="1">_xlfn.NORM.S.INV(RAND())</f>
        <v>-0.50021718260962222</v>
      </c>
      <c r="D1645" s="5">
        <f ca="1">S0*EXP((μ-0.5*σ*σ)*T+σ*SQRT(T)*$C1645)</f>
        <v>0.63253041139607868</v>
      </c>
      <c r="E1645" s="5">
        <f ca="1">MAX(0,CP*(D1645-K))</f>
        <v>0</v>
      </c>
      <c r="F1645" s="4">
        <f ca="1">(CP*(D1645-K)&gt;0)*1</f>
        <v>0</v>
      </c>
      <c r="H1645" s="4">
        <v>1630</v>
      </c>
      <c r="I1645" s="3">
        <v>0.6677258594350084</v>
      </c>
      <c r="J1645" s="128">
        <v>1.3731836193828916E-3</v>
      </c>
      <c r="K1645" s="128"/>
      <c r="L1645" s="128">
        <v>4.0599999999999997E-2</v>
      </c>
      <c r="O1645" s="2"/>
    </row>
    <row r="1646" spans="2:15" x14ac:dyDescent="0.2">
      <c r="B1646" s="1">
        <v>1631</v>
      </c>
      <c r="C1646" s="5">
        <f ca="1">_xlfn.NORM.S.INV(RAND())</f>
        <v>0.68658559826949472</v>
      </c>
      <c r="D1646" s="5">
        <f ca="1">S0*EXP((μ-0.5*σ*σ)*T+σ*SQRT(T)*$C1646)</f>
        <v>0.71104248647138379</v>
      </c>
      <c r="E1646" s="5">
        <f ca="1">MAX(0,CP*(D1646-K))</f>
        <v>0</v>
      </c>
      <c r="F1646" s="4">
        <f ca="1">(CP*(D1646-K)&gt;0)*1</f>
        <v>0</v>
      </c>
      <c r="H1646" s="4">
        <v>1631</v>
      </c>
      <c r="I1646" s="3">
        <v>0.66786224868774802</v>
      </c>
      <c r="J1646" s="128">
        <v>1.4420463499941558E-3</v>
      </c>
      <c r="K1646" s="128"/>
      <c r="L1646" s="128">
        <v>4.48E-2</v>
      </c>
      <c r="O1646" s="2"/>
    </row>
    <row r="1647" spans="2:15" x14ac:dyDescent="0.2">
      <c r="B1647" s="1">
        <v>1632</v>
      </c>
      <c r="C1647" s="5">
        <f ca="1">_xlfn.NORM.S.INV(RAND())</f>
        <v>-0.33104977009530268</v>
      </c>
      <c r="D1647" s="5">
        <f ca="1">S0*EXP((μ-0.5*σ*σ)*T+σ*SQRT(T)*$C1647)</f>
        <v>0.64316807877768789</v>
      </c>
      <c r="E1647" s="5">
        <f ca="1">MAX(0,CP*(D1647-K))</f>
        <v>0</v>
      </c>
      <c r="F1647" s="4">
        <f ca="1">(CP*(D1647-K)&gt;0)*1</f>
        <v>0</v>
      </c>
      <c r="H1647" s="4">
        <v>1632</v>
      </c>
      <c r="I1647" s="3">
        <v>0.66777869244161481</v>
      </c>
      <c r="J1647" s="128">
        <v>1.3965372847998937E-3</v>
      </c>
      <c r="K1647" s="128"/>
      <c r="L1647" s="128">
        <v>4.2799999999999998E-2</v>
      </c>
      <c r="O1647" s="2"/>
    </row>
    <row r="1648" spans="2:15" x14ac:dyDescent="0.2">
      <c r="B1648" s="1">
        <v>1633</v>
      </c>
      <c r="C1648" s="5">
        <f ca="1">_xlfn.NORM.S.INV(RAND())</f>
        <v>0.39587796823094434</v>
      </c>
      <c r="D1648" s="5">
        <f ca="1">S0*EXP((μ-0.5*σ*σ)*T+σ*SQRT(T)*$C1648)</f>
        <v>0.69095317286710856</v>
      </c>
      <c r="E1648" s="5">
        <f ca="1">MAX(0,CP*(D1648-K))</f>
        <v>0</v>
      </c>
      <c r="F1648" s="4">
        <f ca="1">(CP*(D1648-K)&gt;0)*1</f>
        <v>0</v>
      </c>
      <c r="H1648" s="4">
        <v>1633</v>
      </c>
      <c r="I1648" s="3">
        <v>0.66764365934963499</v>
      </c>
      <c r="J1648" s="128">
        <v>1.3450811195345003E-3</v>
      </c>
      <c r="K1648" s="128"/>
      <c r="L1648" s="128">
        <v>4.2200000000000001E-2</v>
      </c>
      <c r="O1648" s="2"/>
    </row>
    <row r="1649" spans="2:15" x14ac:dyDescent="0.2">
      <c r="B1649" s="1">
        <v>1634</v>
      </c>
      <c r="C1649" s="5">
        <f ca="1">_xlfn.NORM.S.INV(RAND())</f>
        <v>0.15076630256533757</v>
      </c>
      <c r="D1649" s="5">
        <f ca="1">S0*EXP((μ-0.5*σ*σ)*T+σ*SQRT(T)*$C1649)</f>
        <v>0.67445645548629207</v>
      </c>
      <c r="E1649" s="5">
        <f ca="1">MAX(0,CP*(D1649-K))</f>
        <v>0</v>
      </c>
      <c r="F1649" s="4">
        <f ca="1">(CP*(D1649-K)&gt;0)*1</f>
        <v>0</v>
      </c>
      <c r="H1649" s="4">
        <v>1634</v>
      </c>
      <c r="I1649" s="3">
        <v>0.66783689707473037</v>
      </c>
      <c r="J1649" s="128">
        <v>1.4426117356421838E-3</v>
      </c>
      <c r="K1649" s="128"/>
      <c r="L1649" s="128">
        <v>4.3799999999999999E-2</v>
      </c>
      <c r="O1649" s="2"/>
    </row>
    <row r="1650" spans="2:15" x14ac:dyDescent="0.2">
      <c r="B1650" s="1">
        <v>1635</v>
      </c>
      <c r="C1650" s="5">
        <f ca="1">_xlfn.NORM.S.INV(RAND())</f>
        <v>-0.69750412311439025</v>
      </c>
      <c r="D1650" s="5">
        <f ca="1">S0*EXP((μ-0.5*σ*σ)*T+σ*SQRT(T)*$C1650)</f>
        <v>0.620346554298982</v>
      </c>
      <c r="E1650" s="5">
        <f ca="1">MAX(0,CP*(D1650-K))</f>
        <v>0</v>
      </c>
      <c r="F1650" s="4">
        <f ca="1">(CP*(D1650-K)&gt;0)*1</f>
        <v>0</v>
      </c>
      <c r="H1650" s="4">
        <v>1635</v>
      </c>
      <c r="I1650" s="3">
        <v>0.66770966775930118</v>
      </c>
      <c r="J1650" s="128">
        <v>1.372421957359286E-3</v>
      </c>
      <c r="K1650" s="128"/>
      <c r="L1650" s="128">
        <v>4.2999999999999997E-2</v>
      </c>
      <c r="O1650" s="2"/>
    </row>
    <row r="1651" spans="2:15" x14ac:dyDescent="0.2">
      <c r="B1651" s="1">
        <v>1636</v>
      </c>
      <c r="C1651" s="5">
        <f ca="1">_xlfn.NORM.S.INV(RAND())</f>
        <v>3.3184932599171477E-2</v>
      </c>
      <c r="D1651" s="5">
        <f ca="1">S0*EXP((μ-0.5*σ*σ)*T+σ*SQRT(T)*$C1651)</f>
        <v>0.6666832633561971</v>
      </c>
      <c r="E1651" s="5">
        <f ca="1">MAX(0,CP*(D1651-K))</f>
        <v>0</v>
      </c>
      <c r="F1651" s="4">
        <f ca="1">(CP*(D1651-K)&gt;0)*1</f>
        <v>0</v>
      </c>
      <c r="H1651" s="4">
        <v>1636</v>
      </c>
      <c r="I1651" s="3">
        <v>0.66779744573645661</v>
      </c>
      <c r="J1651" s="128">
        <v>1.4929303199522292E-3</v>
      </c>
      <c r="K1651" s="128"/>
      <c r="L1651" s="128">
        <v>4.2000000000000003E-2</v>
      </c>
      <c r="O1651" s="2"/>
    </row>
    <row r="1652" spans="2:15" x14ac:dyDescent="0.2">
      <c r="B1652" s="1">
        <v>1637</v>
      </c>
      <c r="C1652" s="5">
        <f ca="1">_xlfn.NORM.S.INV(RAND())</f>
        <v>-2.1411198761044572</v>
      </c>
      <c r="D1652" s="5">
        <f ca="1">S0*EXP((μ-0.5*σ*σ)*T+σ*SQRT(T)*$C1652)</f>
        <v>0.53805234773895805</v>
      </c>
      <c r="E1652" s="5">
        <f ca="1">MAX(0,CP*(D1652-K))</f>
        <v>0</v>
      </c>
      <c r="F1652" s="4">
        <f ca="1">(CP*(D1652-K)&gt;0)*1</f>
        <v>0</v>
      </c>
      <c r="H1652" s="4">
        <v>1637</v>
      </c>
      <c r="I1652" s="3">
        <v>0.66761938965333434</v>
      </c>
      <c r="J1652" s="128">
        <v>1.1378336727219808E-3</v>
      </c>
      <c r="K1652" s="128"/>
      <c r="L1652" s="128">
        <v>3.7400000000000003E-2</v>
      </c>
      <c r="O1652" s="2"/>
    </row>
    <row r="1653" spans="2:15" x14ac:dyDescent="0.2">
      <c r="B1653" s="1">
        <v>1638</v>
      </c>
      <c r="C1653" s="5">
        <f ca="1">_xlfn.NORM.S.INV(RAND())</f>
        <v>-4.1931186639876078E-2</v>
      </c>
      <c r="D1653" s="5">
        <f ca="1">S0*EXP((μ-0.5*σ*σ)*T+σ*SQRT(T)*$C1653)</f>
        <v>0.66176437095627638</v>
      </c>
      <c r="E1653" s="5">
        <f ca="1">MAX(0,CP*(D1653-K))</f>
        <v>0</v>
      </c>
      <c r="F1653" s="4">
        <f ca="1">(CP*(D1653-K)&gt;0)*1</f>
        <v>0</v>
      </c>
      <c r="H1653" s="4">
        <v>1638</v>
      </c>
      <c r="I1653" s="3">
        <v>0.66778003822412557</v>
      </c>
      <c r="J1653" s="128">
        <v>1.4106641660000714E-3</v>
      </c>
      <c r="K1653" s="128"/>
      <c r="L1653" s="128">
        <v>4.24E-2</v>
      </c>
      <c r="O1653" s="2"/>
    </row>
    <row r="1654" spans="2:15" x14ac:dyDescent="0.2">
      <c r="B1654" s="1">
        <v>1639</v>
      </c>
      <c r="C1654" s="5">
        <f ca="1">_xlfn.NORM.S.INV(RAND())</f>
        <v>-0.84806475637082135</v>
      </c>
      <c r="D1654" s="5">
        <f ca="1">S0*EXP((μ-0.5*σ*σ)*T+σ*SQRT(T)*$C1654)</f>
        <v>0.61120650974176516</v>
      </c>
      <c r="E1654" s="5">
        <f ca="1">MAX(0,CP*(D1654-K))</f>
        <v>0</v>
      </c>
      <c r="F1654" s="4">
        <f ca="1">(CP*(D1654-K)&gt;0)*1</f>
        <v>0</v>
      </c>
      <c r="H1654" s="4">
        <v>1639</v>
      </c>
      <c r="I1654" s="3">
        <v>0.6678816596599978</v>
      </c>
      <c r="J1654" s="128">
        <v>1.5050306586837819E-3</v>
      </c>
      <c r="K1654" s="128"/>
      <c r="L1654" s="128">
        <v>4.3200000000000002E-2</v>
      </c>
      <c r="O1654" s="2"/>
    </row>
    <row r="1655" spans="2:15" x14ac:dyDescent="0.2">
      <c r="B1655" s="1">
        <v>1640</v>
      </c>
      <c r="C1655" s="5">
        <f ca="1">_xlfn.NORM.S.INV(RAND())</f>
        <v>0.79538289674534013</v>
      </c>
      <c r="D1655" s="5">
        <f ca="1">S0*EXP((μ-0.5*σ*σ)*T+σ*SQRT(T)*$C1655)</f>
        <v>0.71871021269346402</v>
      </c>
      <c r="E1655" s="5">
        <f ca="1">MAX(0,CP*(D1655-K))</f>
        <v>0</v>
      </c>
      <c r="F1655" s="4">
        <f ca="1">(CP*(D1655-K)&gt;0)*1</f>
        <v>0</v>
      </c>
      <c r="H1655" s="4">
        <v>1640</v>
      </c>
      <c r="I1655" s="3">
        <v>0.66775656271758421</v>
      </c>
      <c r="J1655" s="128">
        <v>1.2635135149830438E-3</v>
      </c>
      <c r="K1655" s="128"/>
      <c r="L1655" s="128">
        <v>4.24E-2</v>
      </c>
      <c r="O1655" s="2"/>
    </row>
    <row r="1656" spans="2:15" x14ac:dyDescent="0.2">
      <c r="B1656" s="1">
        <v>1641</v>
      </c>
      <c r="C1656" s="5">
        <f ca="1">_xlfn.NORM.S.INV(RAND())</f>
        <v>1.3274428608026727</v>
      </c>
      <c r="D1656" s="5">
        <f ca="1">S0*EXP((μ-0.5*σ*σ)*T+σ*SQRT(T)*$C1656)</f>
        <v>0.75741603013694447</v>
      </c>
      <c r="E1656" s="5">
        <f ca="1">MAX(0,CP*(D1656-K))</f>
        <v>0</v>
      </c>
      <c r="F1656" s="4">
        <f ca="1">(CP*(D1656-K)&gt;0)*1</f>
        <v>0</v>
      </c>
      <c r="H1656" s="4">
        <v>1641</v>
      </c>
      <c r="I1656" s="3">
        <v>0.66778524365518355</v>
      </c>
      <c r="J1656" s="128">
        <v>1.396896936388007E-3</v>
      </c>
      <c r="K1656" s="128"/>
      <c r="L1656" s="128">
        <v>4.1399999999999999E-2</v>
      </c>
      <c r="O1656" s="2"/>
    </row>
    <row r="1657" spans="2:15" x14ac:dyDescent="0.2">
      <c r="B1657" s="1">
        <v>1642</v>
      </c>
      <c r="C1657" s="5">
        <f ca="1">_xlfn.NORM.S.INV(RAND())</f>
        <v>-0.57007683367511142</v>
      </c>
      <c r="D1657" s="5">
        <f ca="1">S0*EXP((μ-0.5*σ*σ)*T+σ*SQRT(T)*$C1657)</f>
        <v>0.62818896096719223</v>
      </c>
      <c r="E1657" s="5">
        <f ca="1">MAX(0,CP*(D1657-K))</f>
        <v>0</v>
      </c>
      <c r="F1657" s="4">
        <f ca="1">(CP*(D1657-K)&gt;0)*1</f>
        <v>0</v>
      </c>
      <c r="H1657" s="4">
        <v>1642</v>
      </c>
      <c r="I1657" s="3">
        <v>0.66778703120028826</v>
      </c>
      <c r="J1657" s="128">
        <v>1.3458080345085739E-3</v>
      </c>
      <c r="K1657" s="128"/>
      <c r="L1657" s="128">
        <v>4.4200000000000003E-2</v>
      </c>
      <c r="O1657" s="2"/>
    </row>
    <row r="1658" spans="2:15" x14ac:dyDescent="0.2">
      <c r="B1658" s="1">
        <v>1643</v>
      </c>
      <c r="C1658" s="5">
        <f ca="1">_xlfn.NORM.S.INV(RAND())</f>
        <v>1.302618944165121</v>
      </c>
      <c r="D1658" s="5">
        <f ca="1">S0*EXP((μ-0.5*σ*σ)*T+σ*SQRT(T)*$C1658)</f>
        <v>0.7555646517257486</v>
      </c>
      <c r="E1658" s="5">
        <f ca="1">MAX(0,CP*(D1658-K))</f>
        <v>0</v>
      </c>
      <c r="F1658" s="4">
        <f ca="1">(CP*(D1658-K)&gt;0)*1</f>
        <v>0</v>
      </c>
      <c r="H1658" s="4">
        <v>1643</v>
      </c>
      <c r="I1658" s="3">
        <v>0.66759158702598376</v>
      </c>
      <c r="J1658" s="128">
        <v>1.1145995713007025E-3</v>
      </c>
      <c r="K1658" s="128"/>
      <c r="L1658" s="128">
        <v>3.6200000000000003E-2</v>
      </c>
      <c r="O1658" s="2"/>
    </row>
    <row r="1659" spans="2:15" x14ac:dyDescent="0.2">
      <c r="B1659" s="1">
        <v>1644</v>
      </c>
      <c r="C1659" s="5">
        <f ca="1">_xlfn.NORM.S.INV(RAND())</f>
        <v>-0.82364879950831771</v>
      </c>
      <c r="D1659" s="5">
        <f ca="1">S0*EXP((μ-0.5*σ*σ)*T+σ*SQRT(T)*$C1659)</f>
        <v>0.6126795215970785</v>
      </c>
      <c r="E1659" s="5">
        <f ca="1">MAX(0,CP*(D1659-K))</f>
        <v>0</v>
      </c>
      <c r="F1659" s="4">
        <f ca="1">(CP*(D1659-K)&gt;0)*1</f>
        <v>0</v>
      </c>
      <c r="H1659" s="4">
        <v>1644</v>
      </c>
      <c r="I1659" s="3">
        <v>0.66747704547280207</v>
      </c>
      <c r="J1659" s="128">
        <v>9.5577780788328349E-4</v>
      </c>
      <c r="K1659" s="128"/>
      <c r="L1659" s="128">
        <v>3.3399999999999999E-2</v>
      </c>
      <c r="O1659" s="2"/>
    </row>
    <row r="1660" spans="2:15" x14ac:dyDescent="0.2">
      <c r="B1660" s="1">
        <v>1645</v>
      </c>
      <c r="C1660" s="5">
        <f ca="1">_xlfn.NORM.S.INV(RAND())</f>
        <v>0.69130569240930262</v>
      </c>
      <c r="D1660" s="5">
        <f ca="1">S0*EXP((μ-0.5*σ*σ)*T+σ*SQRT(T)*$C1660)</f>
        <v>0.71137344150007198</v>
      </c>
      <c r="E1660" s="5">
        <f ca="1">MAX(0,CP*(D1660-K))</f>
        <v>0</v>
      </c>
      <c r="F1660" s="4">
        <f ca="1">(CP*(D1660-K)&gt;0)*1</f>
        <v>0</v>
      </c>
      <c r="H1660" s="4">
        <v>1645</v>
      </c>
      <c r="I1660" s="3">
        <v>0.66773281140555529</v>
      </c>
      <c r="J1660" s="128">
        <v>1.3985871584427355E-3</v>
      </c>
      <c r="K1660" s="128"/>
      <c r="L1660" s="128">
        <v>4.2000000000000003E-2</v>
      </c>
      <c r="O1660" s="2"/>
    </row>
    <row r="1661" spans="2:15" x14ac:dyDescent="0.2">
      <c r="B1661" s="1">
        <v>1646</v>
      </c>
      <c r="C1661" s="5">
        <f ca="1">_xlfn.NORM.S.INV(RAND())</f>
        <v>-0.72768955691491444</v>
      </c>
      <c r="D1661" s="5">
        <f ca="1">S0*EXP((μ-0.5*σ*σ)*T+σ*SQRT(T)*$C1661)</f>
        <v>0.61850320572641093</v>
      </c>
      <c r="E1661" s="5">
        <f ca="1">MAX(0,CP*(D1661-K))</f>
        <v>0</v>
      </c>
      <c r="F1661" s="4">
        <f ca="1">(CP*(D1661-K)&gt;0)*1</f>
        <v>0</v>
      </c>
      <c r="H1661" s="4">
        <v>1646</v>
      </c>
      <c r="I1661" s="3">
        <v>0.66779554421843357</v>
      </c>
      <c r="J1661" s="128">
        <v>1.3644980484549035E-3</v>
      </c>
      <c r="K1661" s="128"/>
      <c r="L1661" s="128">
        <v>4.2200000000000001E-2</v>
      </c>
      <c r="O1661" s="2"/>
    </row>
    <row r="1662" spans="2:15" x14ac:dyDescent="0.2">
      <c r="B1662" s="1">
        <v>1647</v>
      </c>
      <c r="C1662" s="5">
        <f ca="1">_xlfn.NORM.S.INV(RAND())</f>
        <v>-1.0240200626739315</v>
      </c>
      <c r="D1662" s="5">
        <f ca="1">S0*EXP((μ-0.5*σ*σ)*T+σ*SQRT(T)*$C1662)</f>
        <v>0.60069534955401216</v>
      </c>
      <c r="E1662" s="5">
        <f ca="1">MAX(0,CP*(D1662-K))</f>
        <v>0</v>
      </c>
      <c r="F1662" s="4">
        <f ca="1">(CP*(D1662-K)&gt;0)*1</f>
        <v>0</v>
      </c>
      <c r="H1662" s="4">
        <v>1647</v>
      </c>
      <c r="I1662" s="3">
        <v>0.66781311878598981</v>
      </c>
      <c r="J1662" s="128">
        <v>1.3530193601243351E-3</v>
      </c>
      <c r="K1662" s="128"/>
      <c r="L1662" s="128">
        <v>4.3200000000000002E-2</v>
      </c>
      <c r="O1662" s="2"/>
    </row>
    <row r="1663" spans="2:15" x14ac:dyDescent="0.2">
      <c r="B1663" s="1">
        <v>1648</v>
      </c>
      <c r="C1663" s="5">
        <f ca="1">_xlfn.NORM.S.INV(RAND())</f>
        <v>-0.28066742540402578</v>
      </c>
      <c r="D1663" s="5">
        <f ca="1">S0*EXP((μ-0.5*σ*σ)*T+σ*SQRT(T)*$C1663)</f>
        <v>0.64637068548300547</v>
      </c>
      <c r="E1663" s="5">
        <f ca="1">MAX(0,CP*(D1663-K))</f>
        <v>0</v>
      </c>
      <c r="F1663" s="4">
        <f ca="1">(CP*(D1663-K)&gt;0)*1</f>
        <v>0</v>
      </c>
      <c r="H1663" s="4">
        <v>1648</v>
      </c>
      <c r="I1663" s="3">
        <v>0.66779531446521989</v>
      </c>
      <c r="J1663" s="128">
        <v>1.4223388087974864E-3</v>
      </c>
      <c r="K1663" s="128"/>
      <c r="L1663" s="128">
        <v>4.0399999999999998E-2</v>
      </c>
      <c r="O1663" s="2"/>
    </row>
    <row r="1664" spans="2:15" x14ac:dyDescent="0.2">
      <c r="B1664" s="1">
        <v>1649</v>
      </c>
      <c r="C1664" s="5">
        <f ca="1">_xlfn.NORM.S.INV(RAND())</f>
        <v>-0.25059141932231233</v>
      </c>
      <c r="D1664" s="5">
        <f ca="1">S0*EXP((μ-0.5*σ*σ)*T+σ*SQRT(T)*$C1664)</f>
        <v>0.64829009464073373</v>
      </c>
      <c r="E1664" s="5">
        <f ca="1">MAX(0,CP*(D1664-K))</f>
        <v>0</v>
      </c>
      <c r="F1664" s="4">
        <f ca="1">(CP*(D1664-K)&gt;0)*1</f>
        <v>0</v>
      </c>
      <c r="H1664" s="4">
        <v>1649</v>
      </c>
      <c r="I1664" s="3">
        <v>0.66782044965903364</v>
      </c>
      <c r="J1664" s="128">
        <v>1.3123953223709765E-3</v>
      </c>
      <c r="K1664" s="128"/>
      <c r="L1664" s="128">
        <v>4.4400000000000002E-2</v>
      </c>
      <c r="O1664" s="2"/>
    </row>
    <row r="1665" spans="2:15" x14ac:dyDescent="0.2">
      <c r="B1665" s="1">
        <v>1650</v>
      </c>
      <c r="C1665" s="5">
        <f ca="1">_xlfn.NORM.S.INV(RAND())</f>
        <v>-0.73369201334640721</v>
      </c>
      <c r="D1665" s="5">
        <f ca="1">S0*EXP((μ-0.5*σ*σ)*T+σ*SQRT(T)*$C1665)</f>
        <v>0.61813730421982005</v>
      </c>
      <c r="E1665" s="5">
        <f ca="1">MAX(0,CP*(D1665-K))</f>
        <v>0</v>
      </c>
      <c r="F1665" s="4">
        <f ca="1">(CP*(D1665-K)&gt;0)*1</f>
        <v>0</v>
      </c>
      <c r="H1665" s="4">
        <v>1650</v>
      </c>
      <c r="I1665" s="3">
        <v>0.66782829943926514</v>
      </c>
      <c r="J1665" s="128">
        <v>1.4684494716112534E-3</v>
      </c>
      <c r="K1665" s="128"/>
      <c r="L1665" s="128">
        <v>4.8000000000000001E-2</v>
      </c>
      <c r="O1665" s="2"/>
    </row>
    <row r="1666" spans="2:15" x14ac:dyDescent="0.2">
      <c r="B1666" s="1">
        <v>1651</v>
      </c>
      <c r="C1666" s="5">
        <f ca="1">_xlfn.NORM.S.INV(RAND())</f>
        <v>1.5374032796638373</v>
      </c>
      <c r="D1666" s="5">
        <f ca="1">S0*EXP((μ-0.5*σ*σ)*T+σ*SQRT(T)*$C1666)</f>
        <v>0.77325752747940679</v>
      </c>
      <c r="E1666" s="5">
        <f ca="1">MAX(0,CP*(D1666-K))</f>
        <v>0</v>
      </c>
      <c r="F1666" s="4">
        <f ca="1">(CP*(D1666-K)&gt;0)*1</f>
        <v>0</v>
      </c>
      <c r="H1666" s="4">
        <v>1651</v>
      </c>
      <c r="I1666" s="3">
        <v>0.66761092090855922</v>
      </c>
      <c r="J1666" s="128">
        <v>1.1171468911750988E-3</v>
      </c>
      <c r="K1666" s="128"/>
      <c r="L1666" s="128">
        <v>3.78E-2</v>
      </c>
      <c r="O1666" s="2"/>
    </row>
    <row r="1667" spans="2:15" x14ac:dyDescent="0.2">
      <c r="B1667" s="1">
        <v>1652</v>
      </c>
      <c r="C1667" s="5">
        <f ca="1">_xlfn.NORM.S.INV(RAND())</f>
        <v>-0.87136461947424515</v>
      </c>
      <c r="D1667" s="5">
        <f ca="1">S0*EXP((μ-0.5*σ*σ)*T+σ*SQRT(T)*$C1667)</f>
        <v>0.60980413412153811</v>
      </c>
      <c r="E1667" s="5">
        <f ca="1">MAX(0,CP*(D1667-K))</f>
        <v>0</v>
      </c>
      <c r="F1667" s="4">
        <f ca="1">(CP*(D1667-K)&gt;0)*1</f>
        <v>0</v>
      </c>
      <c r="H1667" s="4">
        <v>1652</v>
      </c>
      <c r="I1667" s="3">
        <v>0.66784508904043127</v>
      </c>
      <c r="J1667" s="128">
        <v>1.3618139595966308E-3</v>
      </c>
      <c r="K1667" s="128"/>
      <c r="L1667" s="128">
        <v>4.5600000000000002E-2</v>
      </c>
      <c r="O1667" s="2"/>
    </row>
    <row r="1668" spans="2:15" x14ac:dyDescent="0.2">
      <c r="B1668" s="1">
        <v>1653</v>
      </c>
      <c r="C1668" s="5">
        <f ca="1">_xlfn.NORM.S.INV(RAND())</f>
        <v>-0.88675321097398596</v>
      </c>
      <c r="D1668" s="5">
        <f ca="1">S0*EXP((μ-0.5*σ*σ)*T+σ*SQRT(T)*$C1668)</f>
        <v>0.60887968809787274</v>
      </c>
      <c r="E1668" s="5">
        <f ca="1">MAX(0,CP*(D1668-K))</f>
        <v>0</v>
      </c>
      <c r="F1668" s="4">
        <f ca="1">(CP*(D1668-K)&gt;0)*1</f>
        <v>0</v>
      </c>
      <c r="H1668" s="4">
        <v>1653</v>
      </c>
      <c r="I1668" s="3">
        <v>0.66777542819385938</v>
      </c>
      <c r="J1668" s="128">
        <v>1.350704598621445E-3</v>
      </c>
      <c r="K1668" s="128"/>
      <c r="L1668" s="128">
        <v>4.0399999999999998E-2</v>
      </c>
      <c r="O1668" s="2"/>
    </row>
    <row r="1669" spans="2:15" x14ac:dyDescent="0.2">
      <c r="B1669" s="1">
        <v>1654</v>
      </c>
      <c r="C1669" s="5">
        <f ca="1">_xlfn.NORM.S.INV(RAND())</f>
        <v>0.99701936230893151</v>
      </c>
      <c r="D1669" s="5">
        <f ca="1">S0*EXP((μ-0.5*σ*σ)*T+σ*SQRT(T)*$C1669)</f>
        <v>0.73314028131914921</v>
      </c>
      <c r="E1669" s="5">
        <f ca="1">MAX(0,CP*(D1669-K))</f>
        <v>0</v>
      </c>
      <c r="F1669" s="4">
        <f ca="1">(CP*(D1669-K)&gt;0)*1</f>
        <v>0</v>
      </c>
      <c r="H1669" s="4">
        <v>1654</v>
      </c>
      <c r="I1669" s="3">
        <v>0.66784809376833632</v>
      </c>
      <c r="J1669" s="128">
        <v>1.3973942461907537E-3</v>
      </c>
      <c r="K1669" s="128"/>
      <c r="L1669" s="128">
        <v>3.9800000000000002E-2</v>
      </c>
      <c r="O1669" s="2"/>
    </row>
    <row r="1670" spans="2:15" x14ac:dyDescent="0.2">
      <c r="B1670" s="1">
        <v>1655</v>
      </c>
      <c r="C1670" s="5">
        <f ca="1">_xlfn.NORM.S.INV(RAND())</f>
        <v>0.42277558280427024</v>
      </c>
      <c r="D1670" s="5">
        <f ca="1">S0*EXP((μ-0.5*σ*σ)*T+σ*SQRT(T)*$C1670)</f>
        <v>0.69278785171260104</v>
      </c>
      <c r="E1670" s="5">
        <f ca="1">MAX(0,CP*(D1670-K))</f>
        <v>0</v>
      </c>
      <c r="F1670" s="4">
        <f ca="1">(CP*(D1670-K)&gt;0)*1</f>
        <v>0</v>
      </c>
      <c r="H1670" s="4">
        <v>1655</v>
      </c>
      <c r="I1670" s="3">
        <v>0.66793695168667855</v>
      </c>
      <c r="J1670" s="128">
        <v>1.6650756436463177E-3</v>
      </c>
      <c r="K1670" s="128"/>
      <c r="L1670" s="128">
        <v>4.3999999999999997E-2</v>
      </c>
      <c r="O1670" s="2"/>
    </row>
    <row r="1671" spans="2:15" x14ac:dyDescent="0.2">
      <c r="B1671" s="1">
        <v>1656</v>
      </c>
      <c r="C1671" s="5">
        <f ca="1">_xlfn.NORM.S.INV(RAND())</f>
        <v>-0.12341549454666066</v>
      </c>
      <c r="D1671" s="5">
        <f ca="1">S0*EXP((μ-0.5*σ*σ)*T+σ*SQRT(T)*$C1671)</f>
        <v>0.65646949445532998</v>
      </c>
      <c r="E1671" s="5">
        <f ca="1">MAX(0,CP*(D1671-K))</f>
        <v>0</v>
      </c>
      <c r="F1671" s="4">
        <f ca="1">(CP*(D1671-K)&gt;0)*1</f>
        <v>0</v>
      </c>
      <c r="H1671" s="4">
        <v>1656</v>
      </c>
      <c r="I1671" s="3">
        <v>0.66770260310417029</v>
      </c>
      <c r="J1671" s="128">
        <v>1.3434807959156504E-3</v>
      </c>
      <c r="K1671" s="128"/>
      <c r="L1671" s="128">
        <v>4.1799999999999997E-2</v>
      </c>
      <c r="O1671" s="2"/>
    </row>
    <row r="1672" spans="2:15" x14ac:dyDescent="0.2">
      <c r="B1672" s="1">
        <v>1657</v>
      </c>
      <c r="C1672" s="5">
        <f ca="1">_xlfn.NORM.S.INV(RAND())</f>
        <v>-1.717350312313721</v>
      </c>
      <c r="D1672" s="5">
        <f ca="1">S0*EXP((μ-0.5*σ*σ)*T+σ*SQRT(T)*$C1672)</f>
        <v>0.56100747233634085</v>
      </c>
      <c r="E1672" s="5">
        <f ca="1">MAX(0,CP*(D1672-K))</f>
        <v>0</v>
      </c>
      <c r="F1672" s="4">
        <f ca="1">(CP*(D1672-K)&gt;0)*1</f>
        <v>0</v>
      </c>
      <c r="H1672" s="4">
        <v>1657</v>
      </c>
      <c r="I1672" s="3">
        <v>0.66773987963915182</v>
      </c>
      <c r="J1672" s="128">
        <v>1.4653337312054188E-3</v>
      </c>
      <c r="K1672" s="128"/>
      <c r="L1672" s="128">
        <v>4.3400000000000001E-2</v>
      </c>
      <c r="O1672" s="2"/>
    </row>
    <row r="1673" spans="2:15" x14ac:dyDescent="0.2">
      <c r="B1673" s="1">
        <v>1658</v>
      </c>
      <c r="C1673" s="5">
        <f ca="1">_xlfn.NORM.S.INV(RAND())</f>
        <v>-1.984411764690879</v>
      </c>
      <c r="D1673" s="5">
        <f ca="1">S0*EXP((μ-0.5*σ*σ)*T+σ*SQRT(T)*$C1673)</f>
        <v>0.54642950857926675</v>
      </c>
      <c r="E1673" s="5">
        <f ca="1">MAX(0,CP*(D1673-K))</f>
        <v>0</v>
      </c>
      <c r="F1673" s="4">
        <f ca="1">(CP*(D1673-K)&gt;0)*1</f>
        <v>0</v>
      </c>
      <c r="H1673" s="4">
        <v>1658</v>
      </c>
      <c r="I1673" s="3">
        <v>0.66769101083115867</v>
      </c>
      <c r="J1673" s="128">
        <v>1.1722557270741271E-3</v>
      </c>
      <c r="K1673" s="128"/>
      <c r="L1673" s="128">
        <v>3.9800000000000002E-2</v>
      </c>
      <c r="O1673" s="2"/>
    </row>
    <row r="1674" spans="2:15" x14ac:dyDescent="0.2">
      <c r="B1674" s="1">
        <v>1659</v>
      </c>
      <c r="C1674" s="5">
        <f ca="1">_xlfn.NORM.S.INV(RAND())</f>
        <v>0.16567550554563604</v>
      </c>
      <c r="D1674" s="5">
        <f ca="1">S0*EXP((μ-0.5*σ*σ)*T+σ*SQRT(T)*$C1674)</f>
        <v>0.67544854139045751</v>
      </c>
      <c r="E1674" s="5">
        <f ca="1">MAX(0,CP*(D1674-K))</f>
        <v>0</v>
      </c>
      <c r="F1674" s="4">
        <f ca="1">(CP*(D1674-K)&gt;0)*1</f>
        <v>0</v>
      </c>
      <c r="H1674" s="4">
        <v>1659</v>
      </c>
      <c r="I1674" s="3">
        <v>0.66761318778053547</v>
      </c>
      <c r="J1674" s="128">
        <v>1.2473034229986421E-3</v>
      </c>
      <c r="K1674" s="128"/>
      <c r="L1674" s="128">
        <v>4.1399999999999999E-2</v>
      </c>
      <c r="O1674" s="2"/>
    </row>
    <row r="1675" spans="2:15" x14ac:dyDescent="0.2">
      <c r="B1675" s="1">
        <v>1660</v>
      </c>
      <c r="C1675" s="5">
        <f ca="1">_xlfn.NORM.S.INV(RAND())</f>
        <v>-0.75615061360364222</v>
      </c>
      <c r="D1675" s="5">
        <f ca="1">S0*EXP((μ-0.5*σ*σ)*T+σ*SQRT(T)*$C1675)</f>
        <v>0.61677017786795285</v>
      </c>
      <c r="E1675" s="5">
        <f ca="1">MAX(0,CP*(D1675-K))</f>
        <v>0</v>
      </c>
      <c r="F1675" s="4">
        <f ca="1">(CP*(D1675-K)&gt;0)*1</f>
        <v>0</v>
      </c>
      <c r="H1675" s="4">
        <v>1660</v>
      </c>
      <c r="I1675" s="3">
        <v>0.66768218380531152</v>
      </c>
      <c r="J1675" s="128">
        <v>1.4807113280814886E-3</v>
      </c>
      <c r="K1675" s="128"/>
      <c r="L1675" s="128">
        <v>3.7600000000000001E-2</v>
      </c>
      <c r="O1675" s="2"/>
    </row>
    <row r="1676" spans="2:15" x14ac:dyDescent="0.2">
      <c r="B1676" s="1">
        <v>1661</v>
      </c>
      <c r="C1676" s="5">
        <f ca="1">_xlfn.NORM.S.INV(RAND())</f>
        <v>-4.3325464888559699E-2</v>
      </c>
      <c r="D1676" s="5">
        <f ca="1">S0*EXP((μ-0.5*σ*σ)*T+σ*SQRT(T)*$C1676)</f>
        <v>0.66167341215972453</v>
      </c>
      <c r="E1676" s="5">
        <f ca="1">MAX(0,CP*(D1676-K))</f>
        <v>0</v>
      </c>
      <c r="F1676" s="4">
        <f ca="1">(CP*(D1676-K)&gt;0)*1</f>
        <v>0</v>
      </c>
      <c r="H1676" s="4">
        <v>1661</v>
      </c>
      <c r="I1676" s="3">
        <v>0.66774005582572371</v>
      </c>
      <c r="J1676" s="128">
        <v>1.2998336527037335E-3</v>
      </c>
      <c r="K1676" s="128"/>
      <c r="L1676" s="128">
        <v>4.2200000000000001E-2</v>
      </c>
      <c r="O1676" s="2"/>
    </row>
    <row r="1677" spans="2:15" x14ac:dyDescent="0.2">
      <c r="B1677" s="1">
        <v>1662</v>
      </c>
      <c r="C1677" s="5">
        <f ca="1">_xlfn.NORM.S.INV(RAND())</f>
        <v>-0.78051255028066058</v>
      </c>
      <c r="D1677" s="5">
        <f ca="1">S0*EXP((μ-0.5*σ*σ)*T+σ*SQRT(T)*$C1677)</f>
        <v>0.61529060805780411</v>
      </c>
      <c r="E1677" s="5">
        <f ca="1">MAX(0,CP*(D1677-K))</f>
        <v>0</v>
      </c>
      <c r="F1677" s="4">
        <f ca="1">(CP*(D1677-K)&gt;0)*1</f>
        <v>0</v>
      </c>
      <c r="H1677" s="4">
        <v>1662</v>
      </c>
      <c r="I1677" s="3">
        <v>0.66782878347841013</v>
      </c>
      <c r="J1677" s="128">
        <v>1.4102066145326721E-3</v>
      </c>
      <c r="K1677" s="128"/>
      <c r="L1677" s="128">
        <v>4.1799999999999997E-2</v>
      </c>
      <c r="O1677" s="2"/>
    </row>
    <row r="1678" spans="2:15" x14ac:dyDescent="0.2">
      <c r="B1678" s="1">
        <v>1663</v>
      </c>
      <c r="C1678" s="5">
        <f ca="1">_xlfn.NORM.S.INV(RAND())</f>
        <v>1.3926846931707622</v>
      </c>
      <c r="D1678" s="5">
        <f ca="1">S0*EXP((μ-0.5*σ*σ)*T+σ*SQRT(T)*$C1678)</f>
        <v>0.76230345178990599</v>
      </c>
      <c r="E1678" s="5">
        <f ca="1">MAX(0,CP*(D1678-K))</f>
        <v>0</v>
      </c>
      <c r="F1678" s="4">
        <f ca="1">(CP*(D1678-K)&gt;0)*1</f>
        <v>0</v>
      </c>
      <c r="H1678" s="4">
        <v>1663</v>
      </c>
      <c r="I1678" s="3">
        <v>0.6678930789384514</v>
      </c>
      <c r="J1678" s="128">
        <v>1.5718676753417235E-3</v>
      </c>
      <c r="K1678" s="128"/>
      <c r="L1678" s="128">
        <v>4.8399999999999999E-2</v>
      </c>
      <c r="O1678" s="2"/>
    </row>
    <row r="1679" spans="2:15" x14ac:dyDescent="0.2">
      <c r="B1679" s="1">
        <v>1664</v>
      </c>
      <c r="C1679" s="5">
        <f ca="1">_xlfn.NORM.S.INV(RAND())</f>
        <v>1.1278474668346146</v>
      </c>
      <c r="D1679" s="5">
        <f ca="1">S0*EXP((μ-0.5*σ*σ)*T+σ*SQRT(T)*$C1679)</f>
        <v>0.74265757848151936</v>
      </c>
      <c r="E1679" s="5">
        <f ca="1">MAX(0,CP*(D1679-K))</f>
        <v>0</v>
      </c>
      <c r="F1679" s="4">
        <f ca="1">(CP*(D1679-K)&gt;0)*1</f>
        <v>0</v>
      </c>
      <c r="H1679" s="4">
        <v>1664</v>
      </c>
      <c r="I1679" s="3">
        <v>0.66773127005189759</v>
      </c>
      <c r="J1679" s="128">
        <v>1.3365546195996099E-3</v>
      </c>
      <c r="K1679" s="128"/>
      <c r="L1679" s="128">
        <v>3.9199999999999999E-2</v>
      </c>
      <c r="O1679" s="2"/>
    </row>
    <row r="1680" spans="2:15" x14ac:dyDescent="0.2">
      <c r="B1680" s="1">
        <v>1665</v>
      </c>
      <c r="C1680" s="5">
        <f ca="1">_xlfn.NORM.S.INV(RAND())</f>
        <v>0.42560090429555308</v>
      </c>
      <c r="D1680" s="5">
        <f ca="1">S0*EXP((μ-0.5*σ*σ)*T+σ*SQRT(T)*$C1680)</f>
        <v>0.69298084861694398</v>
      </c>
      <c r="E1680" s="5">
        <f ca="1">MAX(0,CP*(D1680-K))</f>
        <v>0</v>
      </c>
      <c r="F1680" s="4">
        <f ca="1">(CP*(D1680-K)&gt;0)*1</f>
        <v>0</v>
      </c>
      <c r="H1680" s="4">
        <v>1665</v>
      </c>
      <c r="I1680" s="3">
        <v>0.66781118208357759</v>
      </c>
      <c r="J1680" s="128">
        <v>1.51006677050904E-3</v>
      </c>
      <c r="K1680" s="128"/>
      <c r="L1680" s="128">
        <v>4.7399999999999998E-2</v>
      </c>
      <c r="O1680" s="2"/>
    </row>
    <row r="1681" spans="2:15" x14ac:dyDescent="0.2">
      <c r="B1681" s="1">
        <v>1666</v>
      </c>
      <c r="C1681" s="5">
        <f ca="1">_xlfn.NORM.S.INV(RAND())</f>
        <v>1.0465663624733124</v>
      </c>
      <c r="D1681" s="5">
        <f ca="1">S0*EXP((μ-0.5*σ*σ)*T+σ*SQRT(T)*$C1681)</f>
        <v>0.73673022223849938</v>
      </c>
      <c r="E1681" s="5">
        <f ca="1">MAX(0,CP*(D1681-K))</f>
        <v>0</v>
      </c>
      <c r="F1681" s="4">
        <f ca="1">(CP*(D1681-K)&gt;0)*1</f>
        <v>0</v>
      </c>
      <c r="H1681" s="4">
        <v>1666</v>
      </c>
      <c r="I1681" s="3">
        <v>0.66755701350701435</v>
      </c>
      <c r="J1681" s="128">
        <v>1.1510227879246262E-3</v>
      </c>
      <c r="K1681" s="128"/>
      <c r="L1681" s="128">
        <v>3.4599999999999999E-2</v>
      </c>
      <c r="O1681" s="2"/>
    </row>
    <row r="1682" spans="2:15" x14ac:dyDescent="0.2">
      <c r="B1682" s="1">
        <v>1667</v>
      </c>
      <c r="C1682" s="5">
        <f ca="1">_xlfn.NORM.S.INV(RAND())</f>
        <v>1.7413767286356959E-2</v>
      </c>
      <c r="D1682" s="5">
        <f ca="1">S0*EXP((μ-0.5*σ*σ)*T+σ*SQRT(T)*$C1682)</f>
        <v>0.66564748347324776</v>
      </c>
      <c r="E1682" s="5">
        <f ca="1">MAX(0,CP*(D1682-K))</f>
        <v>0</v>
      </c>
      <c r="F1682" s="4">
        <f ca="1">(CP*(D1682-K)&gt;0)*1</f>
        <v>0</v>
      </c>
      <c r="H1682" s="4">
        <v>1667</v>
      </c>
      <c r="I1682" s="3">
        <v>0.66766232983067886</v>
      </c>
      <c r="J1682" s="128">
        <v>1.3823007995160386E-3</v>
      </c>
      <c r="K1682" s="128"/>
      <c r="L1682" s="128">
        <v>3.9399999999999998E-2</v>
      </c>
      <c r="O1682" s="2"/>
    </row>
    <row r="1683" spans="2:15" x14ac:dyDescent="0.2">
      <c r="B1683" s="1">
        <v>1668</v>
      </c>
      <c r="C1683" s="5">
        <f ca="1">_xlfn.NORM.S.INV(RAND())</f>
        <v>-0.45756725363320599</v>
      </c>
      <c r="D1683" s="5">
        <f ca="1">S0*EXP((μ-0.5*σ*σ)*T+σ*SQRT(T)*$C1683)</f>
        <v>0.63519564213261326</v>
      </c>
      <c r="E1683" s="5">
        <f ca="1">MAX(0,CP*(D1683-K))</f>
        <v>0</v>
      </c>
      <c r="F1683" s="4">
        <f ca="1">(CP*(D1683-K)&gt;0)*1</f>
        <v>0</v>
      </c>
      <c r="H1683" s="4">
        <v>1668</v>
      </c>
      <c r="I1683" s="3">
        <v>0.6678000675554</v>
      </c>
      <c r="J1683" s="128">
        <v>1.4270648480834828E-3</v>
      </c>
      <c r="K1683" s="128"/>
      <c r="L1683" s="128">
        <v>4.4999999999999998E-2</v>
      </c>
      <c r="O1683" s="2"/>
    </row>
    <row r="1684" spans="2:15" x14ac:dyDescent="0.2">
      <c r="B1684" s="1">
        <v>1669</v>
      </c>
      <c r="C1684" s="5">
        <f ca="1">_xlfn.NORM.S.INV(RAND())</f>
        <v>-2.0525792997773911</v>
      </c>
      <c r="D1684" s="5">
        <f ca="1">S0*EXP((μ-0.5*σ*σ)*T+σ*SQRT(T)*$C1684)</f>
        <v>0.54276956035128843</v>
      </c>
      <c r="E1684" s="5">
        <f ca="1">MAX(0,CP*(D1684-K))</f>
        <v>0</v>
      </c>
      <c r="F1684" s="4">
        <f ca="1">(CP*(D1684-K)&gt;0)*1</f>
        <v>0</v>
      </c>
      <c r="H1684" s="4">
        <v>1669</v>
      </c>
      <c r="I1684" s="3">
        <v>0.66779412161592644</v>
      </c>
      <c r="J1684" s="128">
        <v>1.4250426510918931E-3</v>
      </c>
      <c r="K1684" s="128"/>
      <c r="L1684" s="128">
        <v>4.2999999999999997E-2</v>
      </c>
      <c r="O1684" s="2"/>
    </row>
    <row r="1685" spans="2:15" x14ac:dyDescent="0.2">
      <c r="B1685" s="1">
        <v>1670</v>
      </c>
      <c r="C1685" s="5">
        <f ca="1">_xlfn.NORM.S.INV(RAND())</f>
        <v>-4.881210029512309E-2</v>
      </c>
      <c r="D1685" s="5">
        <f ca="1">S0*EXP((μ-0.5*σ*σ)*T+σ*SQRT(T)*$C1685)</f>
        <v>0.66131560085828989</v>
      </c>
      <c r="E1685" s="5">
        <f ca="1">MAX(0,CP*(D1685-K))</f>
        <v>0</v>
      </c>
      <c r="F1685" s="4">
        <f ca="1">(CP*(D1685-K)&gt;0)*1</f>
        <v>0</v>
      </c>
      <c r="H1685" s="4">
        <v>1670</v>
      </c>
      <c r="I1685" s="3">
        <v>0.66777338523176433</v>
      </c>
      <c r="J1685" s="128">
        <v>1.4485724656343364E-3</v>
      </c>
      <c r="K1685" s="128"/>
      <c r="L1685" s="128">
        <v>4.4200000000000003E-2</v>
      </c>
      <c r="O1685" s="2"/>
    </row>
    <row r="1686" spans="2:15" x14ac:dyDescent="0.2">
      <c r="B1686" s="1">
        <v>1671</v>
      </c>
      <c r="C1686" s="5">
        <f ca="1">_xlfn.NORM.S.INV(RAND())</f>
        <v>0.59504202292687924</v>
      </c>
      <c r="D1686" s="5">
        <f ca="1">S0*EXP((μ-0.5*σ*σ)*T+σ*SQRT(T)*$C1686)</f>
        <v>0.7046541636858531</v>
      </c>
      <c r="E1686" s="5">
        <f ca="1">MAX(0,CP*(D1686-K))</f>
        <v>0</v>
      </c>
      <c r="F1686" s="4">
        <f ca="1">(CP*(D1686-K)&gt;0)*1</f>
        <v>0</v>
      </c>
      <c r="H1686" s="4">
        <v>1671</v>
      </c>
      <c r="I1686" s="3">
        <v>0.66765184119273113</v>
      </c>
      <c r="J1686" s="128">
        <v>1.2904935993317227E-3</v>
      </c>
      <c r="K1686" s="128"/>
      <c r="L1686" s="128">
        <v>3.9600000000000003E-2</v>
      </c>
      <c r="O1686" s="2"/>
    </row>
    <row r="1687" spans="2:15" x14ac:dyDescent="0.2">
      <c r="B1687" s="1">
        <v>1672</v>
      </c>
      <c r="C1687" s="5">
        <f ca="1">_xlfn.NORM.S.INV(RAND())</f>
        <v>0.13198341585974835</v>
      </c>
      <c r="D1687" s="5">
        <f ca="1">S0*EXP((μ-0.5*σ*σ)*T+σ*SQRT(T)*$C1687)</f>
        <v>0.67320868148217483</v>
      </c>
      <c r="E1687" s="5">
        <f ca="1">MAX(0,CP*(D1687-K))</f>
        <v>0</v>
      </c>
      <c r="F1687" s="4">
        <f ca="1">(CP*(D1687-K)&gt;0)*1</f>
        <v>0</v>
      </c>
      <c r="H1687" s="4">
        <v>1672</v>
      </c>
      <c r="I1687" s="3">
        <v>0.66776477431889092</v>
      </c>
      <c r="J1687" s="128">
        <v>1.4418576958810532E-3</v>
      </c>
      <c r="K1687" s="128"/>
      <c r="L1687" s="128">
        <v>4.1799999999999997E-2</v>
      </c>
      <c r="O1687" s="2"/>
    </row>
    <row r="1688" spans="2:15" x14ac:dyDescent="0.2">
      <c r="B1688" s="1">
        <v>1673</v>
      </c>
      <c r="C1688" s="5">
        <f ca="1">_xlfn.NORM.S.INV(RAND())</f>
        <v>-0.12829972315239957</v>
      </c>
      <c r="D1688" s="5">
        <f ca="1">S0*EXP((μ-0.5*σ*σ)*T+σ*SQRT(T)*$C1688)</f>
        <v>0.65615346490321114</v>
      </c>
      <c r="E1688" s="5">
        <f ca="1">MAX(0,CP*(D1688-K))</f>
        <v>0</v>
      </c>
      <c r="F1688" s="4">
        <f ca="1">(CP*(D1688-K)&gt;0)*1</f>
        <v>0</v>
      </c>
      <c r="H1688" s="4">
        <v>1673</v>
      </c>
      <c r="I1688" s="3">
        <v>0.66789479316556055</v>
      </c>
      <c r="J1688" s="128">
        <v>1.541350178653409E-3</v>
      </c>
      <c r="K1688" s="128"/>
      <c r="L1688" s="128">
        <v>4.4999999999999998E-2</v>
      </c>
      <c r="O1688" s="2"/>
    </row>
    <row r="1689" spans="2:15" x14ac:dyDescent="0.2">
      <c r="B1689" s="1">
        <v>1674</v>
      </c>
      <c r="C1689" s="5">
        <f ca="1">_xlfn.NORM.S.INV(RAND())</f>
        <v>0.48745557622909297</v>
      </c>
      <c r="D1689" s="5">
        <f ca="1">S0*EXP((μ-0.5*σ*σ)*T+σ*SQRT(T)*$C1689)</f>
        <v>0.69721962316989072</v>
      </c>
      <c r="E1689" s="5">
        <f ca="1">MAX(0,CP*(D1689-K))</f>
        <v>0</v>
      </c>
      <c r="F1689" s="4">
        <f ca="1">(CP*(D1689-K)&gt;0)*1</f>
        <v>0</v>
      </c>
      <c r="H1689" s="4">
        <v>1674</v>
      </c>
      <c r="I1689" s="3">
        <v>0.66762263001076305</v>
      </c>
      <c r="J1689" s="128">
        <v>1.20300906242258E-3</v>
      </c>
      <c r="K1689" s="128"/>
      <c r="L1689" s="128">
        <v>4.0599999999999997E-2</v>
      </c>
      <c r="O1689" s="2"/>
    </row>
    <row r="1690" spans="2:15" x14ac:dyDescent="0.2">
      <c r="B1690" s="1">
        <v>1675</v>
      </c>
      <c r="C1690" s="5">
        <f ca="1">_xlfn.NORM.S.INV(RAND())</f>
        <v>0.98808275846110727</v>
      </c>
      <c r="D1690" s="5">
        <f ca="1">S0*EXP((μ-0.5*σ*σ)*T+σ*SQRT(T)*$C1690)</f>
        <v>0.7324946419446543</v>
      </c>
      <c r="E1690" s="5">
        <f ca="1">MAX(0,CP*(D1690-K))</f>
        <v>0</v>
      </c>
      <c r="F1690" s="4">
        <f ca="1">(CP*(D1690-K)&gt;0)*1</f>
        <v>0</v>
      </c>
      <c r="H1690" s="4">
        <v>1675</v>
      </c>
      <c r="I1690" s="3">
        <v>0.66802542320438763</v>
      </c>
      <c r="J1690" s="128">
        <v>1.6247943432016467E-3</v>
      </c>
      <c r="K1690" s="128"/>
      <c r="L1690" s="128">
        <v>5.1200000000000002E-2</v>
      </c>
      <c r="O1690" s="2"/>
    </row>
    <row r="1691" spans="2:15" x14ac:dyDescent="0.2">
      <c r="B1691" s="1">
        <v>1676</v>
      </c>
      <c r="C1691" s="5">
        <f ca="1">_xlfn.NORM.S.INV(RAND())</f>
        <v>0.69560779047206378</v>
      </c>
      <c r="D1691" s="5">
        <f ca="1">S0*EXP((μ-0.5*σ*σ)*T+σ*SQRT(T)*$C1691)</f>
        <v>0.7116752224184193</v>
      </c>
      <c r="E1691" s="5">
        <f ca="1">MAX(0,CP*(D1691-K))</f>
        <v>0</v>
      </c>
      <c r="F1691" s="4">
        <f ca="1">(CP*(D1691-K)&gt;0)*1</f>
        <v>0</v>
      </c>
      <c r="H1691" s="4">
        <v>1676</v>
      </c>
      <c r="I1691" s="3">
        <v>0.66770183367103475</v>
      </c>
      <c r="J1691" s="128">
        <v>1.2170562071558489E-3</v>
      </c>
      <c r="K1691" s="128"/>
      <c r="L1691" s="128">
        <v>3.8399999999999997E-2</v>
      </c>
      <c r="O1691" s="2"/>
    </row>
    <row r="1692" spans="2:15" x14ac:dyDescent="0.2">
      <c r="B1692" s="1">
        <v>1677</v>
      </c>
      <c r="C1692" s="5">
        <f ca="1">_xlfn.NORM.S.INV(RAND())</f>
        <v>1.4848839086205146</v>
      </c>
      <c r="D1692" s="5">
        <f ca="1">S0*EXP((μ-0.5*σ*σ)*T+σ*SQRT(T)*$C1692)</f>
        <v>0.76926413915308844</v>
      </c>
      <c r="E1692" s="5">
        <f ca="1">MAX(0,CP*(D1692-K))</f>
        <v>0</v>
      </c>
      <c r="F1692" s="4">
        <f ca="1">(CP*(D1692-K)&gt;0)*1</f>
        <v>0</v>
      </c>
      <c r="H1692" s="4">
        <v>1677</v>
      </c>
      <c r="I1692" s="3">
        <v>0.66785872649393874</v>
      </c>
      <c r="J1692" s="128">
        <v>1.5594977025387353E-3</v>
      </c>
      <c r="K1692" s="128"/>
      <c r="L1692" s="128">
        <v>4.58E-2</v>
      </c>
      <c r="O1692" s="2"/>
    </row>
    <row r="1693" spans="2:15" x14ac:dyDescent="0.2">
      <c r="B1693" s="1">
        <v>1678</v>
      </c>
      <c r="C1693" s="5">
        <f ca="1">_xlfn.NORM.S.INV(RAND())</f>
        <v>0.58390082132796584</v>
      </c>
      <c r="D1693" s="5">
        <f ca="1">S0*EXP((μ-0.5*σ*σ)*T+σ*SQRT(T)*$C1693)</f>
        <v>0.70388060852692858</v>
      </c>
      <c r="E1693" s="5">
        <f ca="1">MAX(0,CP*(D1693-K))</f>
        <v>0</v>
      </c>
      <c r="F1693" s="4">
        <f ca="1">(CP*(D1693-K)&gt;0)*1</f>
        <v>0</v>
      </c>
      <c r="H1693" s="4">
        <v>1678</v>
      </c>
      <c r="I1693" s="3">
        <v>0.66759858961277996</v>
      </c>
      <c r="J1693" s="128">
        <v>1.0689110710496597E-3</v>
      </c>
      <c r="K1693" s="128"/>
      <c r="L1693" s="128">
        <v>3.7600000000000001E-2</v>
      </c>
      <c r="O1693" s="2"/>
    </row>
    <row r="1694" spans="2:15" x14ac:dyDescent="0.2">
      <c r="B1694" s="1">
        <v>1679</v>
      </c>
      <c r="C1694" s="5">
        <f ca="1">_xlfn.NORM.S.INV(RAND())</f>
        <v>0.39640534655620191</v>
      </c>
      <c r="D1694" s="5">
        <f ca="1">S0*EXP((μ-0.5*σ*σ)*T+σ*SQRT(T)*$C1694)</f>
        <v>0.69098909845658685</v>
      </c>
      <c r="E1694" s="5">
        <f ca="1">MAX(0,CP*(D1694-K))</f>
        <v>0</v>
      </c>
      <c r="F1694" s="4">
        <f ca="1">(CP*(D1694-K)&gt;0)*1</f>
        <v>0</v>
      </c>
      <c r="H1694" s="4">
        <v>1679</v>
      </c>
      <c r="I1694" s="3">
        <v>0.66779834115105385</v>
      </c>
      <c r="J1694" s="128">
        <v>1.3703824482705681E-3</v>
      </c>
      <c r="K1694" s="128"/>
      <c r="L1694" s="128">
        <v>4.5199999999999997E-2</v>
      </c>
      <c r="O1694" s="2"/>
    </row>
    <row r="1695" spans="2:15" x14ac:dyDescent="0.2">
      <c r="B1695" s="1">
        <v>1680</v>
      </c>
      <c r="C1695" s="5">
        <f ca="1">_xlfn.NORM.S.INV(RAND())</f>
        <v>1.6383312355344055</v>
      </c>
      <c r="D1695" s="5">
        <f ca="1">S0*EXP((μ-0.5*σ*σ)*T+σ*SQRT(T)*$C1695)</f>
        <v>0.78099002539122842</v>
      </c>
      <c r="E1695" s="5">
        <f ca="1">MAX(0,CP*(D1695-K))</f>
        <v>0</v>
      </c>
      <c r="F1695" s="4">
        <f ca="1">(CP*(D1695-K)&gt;0)*1</f>
        <v>0</v>
      </c>
      <c r="H1695" s="4">
        <v>1680</v>
      </c>
      <c r="I1695" s="3">
        <v>0.66775312149081256</v>
      </c>
      <c r="J1695" s="128">
        <v>1.4129340734889513E-3</v>
      </c>
      <c r="K1695" s="128"/>
      <c r="L1695" s="128">
        <v>4.24E-2</v>
      </c>
      <c r="O1695" s="2"/>
    </row>
    <row r="1696" spans="2:15" x14ac:dyDescent="0.2">
      <c r="B1696" s="1">
        <v>1681</v>
      </c>
      <c r="C1696" s="5">
        <f ca="1">_xlfn.NORM.S.INV(RAND())</f>
        <v>-0.16047198135702187</v>
      </c>
      <c r="D1696" s="5">
        <f ca="1">S0*EXP((μ-0.5*σ*σ)*T+σ*SQRT(T)*$C1696)</f>
        <v>0.6540755864910458</v>
      </c>
      <c r="E1696" s="5">
        <f ca="1">MAX(0,CP*(D1696-K))</f>
        <v>0</v>
      </c>
      <c r="F1696" s="4">
        <f ca="1">(CP*(D1696-K)&gt;0)*1</f>
        <v>0</v>
      </c>
      <c r="H1696" s="4">
        <v>1681</v>
      </c>
      <c r="I1696" s="3">
        <v>0.66775659116476327</v>
      </c>
      <c r="J1696" s="128">
        <v>1.3798048575539221E-3</v>
      </c>
      <c r="K1696" s="128"/>
      <c r="L1696" s="128">
        <v>4.0599999999999997E-2</v>
      </c>
      <c r="O1696" s="2"/>
    </row>
    <row r="1697" spans="2:15" x14ac:dyDescent="0.2">
      <c r="B1697" s="1">
        <v>1682</v>
      </c>
      <c r="C1697" s="5">
        <f ca="1">_xlfn.NORM.S.INV(RAND())</f>
        <v>0.59170367616521813</v>
      </c>
      <c r="D1697" s="5">
        <f ca="1">S0*EXP((μ-0.5*σ*σ)*T+σ*SQRT(T)*$C1697)</f>
        <v>0.70442228665883833</v>
      </c>
      <c r="E1697" s="5">
        <f ca="1">MAX(0,CP*(D1697-K))</f>
        <v>0</v>
      </c>
      <c r="F1697" s="4">
        <f ca="1">(CP*(D1697-K)&gt;0)*1</f>
        <v>0</v>
      </c>
      <c r="H1697" s="4">
        <v>1682</v>
      </c>
      <c r="I1697" s="3">
        <v>0.66769000885458674</v>
      </c>
      <c r="J1697" s="128">
        <v>1.2448771216677259E-3</v>
      </c>
      <c r="K1697" s="128"/>
      <c r="L1697" s="128">
        <v>4.0599999999999997E-2</v>
      </c>
      <c r="O1697" s="2"/>
    </row>
    <row r="1698" spans="2:15" x14ac:dyDescent="0.2">
      <c r="B1698" s="1">
        <v>1683</v>
      </c>
      <c r="C1698" s="5">
        <f ca="1">_xlfn.NORM.S.INV(RAND())</f>
        <v>-2.801574015727363</v>
      </c>
      <c r="D1698" s="5">
        <f ca="1">S0*EXP((μ-0.5*σ*σ)*T+σ*SQRT(T)*$C1698)</f>
        <v>0.50413462906004725</v>
      </c>
      <c r="E1698" s="5">
        <f ca="1">MAX(0,CP*(D1698-K))</f>
        <v>0</v>
      </c>
      <c r="F1698" s="4">
        <f ca="1">(CP*(D1698-K)&gt;0)*1</f>
        <v>0</v>
      </c>
      <c r="H1698" s="4">
        <v>1683</v>
      </c>
      <c r="I1698" s="3">
        <v>0.66789558564671836</v>
      </c>
      <c r="J1698" s="128">
        <v>1.4793525006090843E-3</v>
      </c>
      <c r="K1698" s="128"/>
      <c r="L1698" s="128">
        <v>4.4600000000000001E-2</v>
      </c>
      <c r="O1698" s="2"/>
    </row>
    <row r="1699" spans="2:15" x14ac:dyDescent="0.2">
      <c r="B1699" s="1">
        <v>1684</v>
      </c>
      <c r="C1699" s="5">
        <f ca="1">_xlfn.NORM.S.INV(RAND())</f>
        <v>0.97521709408698309</v>
      </c>
      <c r="D1699" s="5">
        <f ca="1">S0*EXP((μ-0.5*σ*σ)*T+σ*SQRT(T)*$C1699)</f>
        <v>0.73156613962811201</v>
      </c>
      <c r="E1699" s="5">
        <f ca="1">MAX(0,CP*(D1699-K))</f>
        <v>0</v>
      </c>
      <c r="F1699" s="4">
        <f ca="1">(CP*(D1699-K)&gt;0)*1</f>
        <v>0</v>
      </c>
      <c r="H1699" s="4">
        <v>1684</v>
      </c>
      <c r="I1699" s="3">
        <v>0.66767168087698758</v>
      </c>
      <c r="J1699" s="128">
        <v>1.3322506906067128E-3</v>
      </c>
      <c r="K1699" s="128"/>
      <c r="L1699" s="128">
        <v>3.9E-2</v>
      </c>
      <c r="O1699" s="2"/>
    </row>
    <row r="1700" spans="2:15" x14ac:dyDescent="0.2">
      <c r="B1700" s="1">
        <v>1685</v>
      </c>
      <c r="C1700" s="5">
        <f ca="1">_xlfn.NORM.S.INV(RAND())</f>
        <v>-0.28554754309639324</v>
      </c>
      <c r="D1700" s="5">
        <f ca="1">S0*EXP((μ-0.5*σ*σ)*T+σ*SQRT(T)*$C1700)</f>
        <v>0.64605977941455095</v>
      </c>
      <c r="E1700" s="5">
        <f ca="1">MAX(0,CP*(D1700-K))</f>
        <v>0</v>
      </c>
      <c r="F1700" s="4">
        <f ca="1">(CP*(D1700-K)&gt;0)*1</f>
        <v>0</v>
      </c>
      <c r="H1700" s="4">
        <v>1685</v>
      </c>
      <c r="I1700" s="3">
        <v>0.66776601982098349</v>
      </c>
      <c r="J1700" s="128">
        <v>1.3941156711581386E-3</v>
      </c>
      <c r="K1700" s="128"/>
      <c r="L1700" s="128">
        <v>4.48E-2</v>
      </c>
      <c r="O1700" s="2"/>
    </row>
    <row r="1701" spans="2:15" x14ac:dyDescent="0.2">
      <c r="B1701" s="1">
        <v>1686</v>
      </c>
      <c r="C1701" s="5">
        <f ca="1">_xlfn.NORM.S.INV(RAND())</f>
        <v>-0.44513978532797921</v>
      </c>
      <c r="D1701" s="5">
        <f ca="1">S0*EXP((μ-0.5*σ*σ)*T+σ*SQRT(T)*$C1701)</f>
        <v>0.6359743561080855</v>
      </c>
      <c r="E1701" s="5">
        <f ca="1">MAX(0,CP*(D1701-K))</f>
        <v>0</v>
      </c>
      <c r="F1701" s="4">
        <f ca="1">(CP*(D1701-K)&gt;0)*1</f>
        <v>0</v>
      </c>
      <c r="H1701" s="4">
        <v>1686</v>
      </c>
      <c r="I1701" s="3">
        <v>0.66782959448290669</v>
      </c>
      <c r="J1701" s="128">
        <v>1.4918165650296405E-3</v>
      </c>
      <c r="K1701" s="128"/>
      <c r="L1701" s="128">
        <v>4.2599999999999999E-2</v>
      </c>
      <c r="O1701" s="2"/>
    </row>
    <row r="1702" spans="2:15" x14ac:dyDescent="0.2">
      <c r="B1702" s="1">
        <v>1687</v>
      </c>
      <c r="C1702" s="5">
        <f ca="1">_xlfn.NORM.S.INV(RAND())</f>
        <v>1.5420899274099364</v>
      </c>
      <c r="D1702" s="5">
        <f ca="1">S0*EXP((μ-0.5*σ*σ)*T+σ*SQRT(T)*$C1702)</f>
        <v>0.77361488960714742</v>
      </c>
      <c r="E1702" s="5">
        <f ca="1">MAX(0,CP*(D1702-K))</f>
        <v>0</v>
      </c>
      <c r="F1702" s="4">
        <f ca="1">(CP*(D1702-K)&gt;0)*1</f>
        <v>0</v>
      </c>
      <c r="H1702" s="4">
        <v>1687</v>
      </c>
      <c r="I1702" s="3">
        <v>0.66793956937514498</v>
      </c>
      <c r="J1702" s="128">
        <v>1.7735721828500291E-3</v>
      </c>
      <c r="K1702" s="128"/>
      <c r="L1702" s="128">
        <v>4.8399999999999999E-2</v>
      </c>
      <c r="O1702" s="2"/>
    </row>
    <row r="1703" spans="2:15" x14ac:dyDescent="0.2">
      <c r="B1703" s="1">
        <v>1688</v>
      </c>
      <c r="C1703" s="5">
        <f ca="1">_xlfn.NORM.S.INV(RAND())</f>
        <v>0.77949983249578447</v>
      </c>
      <c r="D1703" s="5">
        <f ca="1">S0*EXP((μ-0.5*σ*σ)*T+σ*SQRT(T)*$C1703)</f>
        <v>0.71758568579241166</v>
      </c>
      <c r="E1703" s="5">
        <f ca="1">MAX(0,CP*(D1703-K))</f>
        <v>0</v>
      </c>
      <c r="F1703" s="4">
        <f ca="1">(CP*(D1703-K)&gt;0)*1</f>
        <v>0</v>
      </c>
      <c r="H1703" s="4">
        <v>1688</v>
      </c>
      <c r="I1703" s="3">
        <v>0.66790160943649968</v>
      </c>
      <c r="J1703" s="128">
        <v>1.4585045105450091E-3</v>
      </c>
      <c r="K1703" s="128"/>
      <c r="L1703" s="128">
        <v>4.5400000000000003E-2</v>
      </c>
      <c r="O1703" s="2"/>
    </row>
    <row r="1704" spans="2:15" x14ac:dyDescent="0.2">
      <c r="B1704" s="1">
        <v>1689</v>
      </c>
      <c r="C1704" s="5">
        <f ca="1">_xlfn.NORM.S.INV(RAND())</f>
        <v>-1.0092455968835021</v>
      </c>
      <c r="D1704" s="5">
        <f ca="1">S0*EXP((μ-0.5*σ*σ)*T+σ*SQRT(T)*$C1704)</f>
        <v>0.60157094623604168</v>
      </c>
      <c r="E1704" s="5">
        <f ca="1">MAX(0,CP*(D1704-K))</f>
        <v>0</v>
      </c>
      <c r="F1704" s="4">
        <f ca="1">(CP*(D1704-K)&gt;0)*1</f>
        <v>0</v>
      </c>
      <c r="H1704" s="4">
        <v>1689</v>
      </c>
      <c r="I1704" s="3">
        <v>0.66766930501574406</v>
      </c>
      <c r="J1704" s="128">
        <v>1.3143927052221413E-3</v>
      </c>
      <c r="K1704" s="128"/>
      <c r="L1704" s="128">
        <v>3.9800000000000002E-2</v>
      </c>
      <c r="O1704" s="2"/>
    </row>
    <row r="1705" spans="2:15" x14ac:dyDescent="0.2">
      <c r="B1705" s="1">
        <v>1690</v>
      </c>
      <c r="C1705" s="5">
        <f ca="1">_xlfn.NORM.S.INV(RAND())</f>
        <v>2.5956793108117515</v>
      </c>
      <c r="D1705" s="5">
        <f ca="1">S0*EXP((μ-0.5*σ*σ)*T+σ*SQRT(T)*$C1705)</f>
        <v>0.85829245888288019</v>
      </c>
      <c r="E1705" s="5">
        <f ca="1">MAX(0,CP*(D1705-K))</f>
        <v>7.0092458882880182E-2</v>
      </c>
      <c r="F1705" s="4">
        <f ca="1">(CP*(D1705-K)&gt;0)*1</f>
        <v>1</v>
      </c>
      <c r="H1705" s="4">
        <v>1690</v>
      </c>
      <c r="I1705" s="3">
        <v>0.66773939782905312</v>
      </c>
      <c r="J1705" s="128">
        <v>1.2939297185506962E-3</v>
      </c>
      <c r="K1705" s="128"/>
      <c r="L1705" s="128">
        <v>3.7999999999999999E-2</v>
      </c>
      <c r="O1705" s="2"/>
    </row>
    <row r="1706" spans="2:15" x14ac:dyDescent="0.2">
      <c r="B1706" s="1">
        <v>1691</v>
      </c>
      <c r="C1706" s="5">
        <f ca="1">_xlfn.NORM.S.INV(RAND())</f>
        <v>0.47510034396102752</v>
      </c>
      <c r="D1706" s="5">
        <f ca="1">S0*EXP((μ-0.5*σ*σ)*T+σ*SQRT(T)*$C1706)</f>
        <v>0.69637087712679124</v>
      </c>
      <c r="E1706" s="5">
        <f ca="1">MAX(0,CP*(D1706-K))</f>
        <v>0</v>
      </c>
      <c r="F1706" s="4">
        <f ca="1">(CP*(D1706-K)&gt;0)*1</f>
        <v>0</v>
      </c>
      <c r="H1706" s="4">
        <v>1691</v>
      </c>
      <c r="I1706" s="3">
        <v>0.66789132292126374</v>
      </c>
      <c r="J1706" s="128">
        <v>1.5110289628081934E-3</v>
      </c>
      <c r="K1706" s="128"/>
      <c r="L1706" s="128">
        <v>4.2999999999999997E-2</v>
      </c>
      <c r="O1706" s="2"/>
    </row>
    <row r="1707" spans="2:15" x14ac:dyDescent="0.2">
      <c r="B1707" s="1">
        <v>1692</v>
      </c>
      <c r="C1707" s="5">
        <f ca="1">_xlfn.NORM.S.INV(RAND())</f>
        <v>-0.51833443710453908</v>
      </c>
      <c r="D1707" s="5">
        <f ca="1">S0*EXP((μ-0.5*σ*σ)*T+σ*SQRT(T)*$C1707)</f>
        <v>0.63140163551829409</v>
      </c>
      <c r="E1707" s="5">
        <f ca="1">MAX(0,CP*(D1707-K))</f>
        <v>0</v>
      </c>
      <c r="F1707" s="4">
        <f ca="1">(CP*(D1707-K)&gt;0)*1</f>
        <v>0</v>
      </c>
      <c r="H1707" s="4">
        <v>1692</v>
      </c>
      <c r="I1707" s="3">
        <v>0.66763034984472347</v>
      </c>
      <c r="J1707" s="128">
        <v>1.2725344415463269E-3</v>
      </c>
      <c r="K1707" s="128"/>
      <c r="L1707" s="128">
        <v>3.9800000000000002E-2</v>
      </c>
      <c r="O1707" s="2"/>
    </row>
    <row r="1708" spans="2:15" x14ac:dyDescent="0.2">
      <c r="B1708" s="1">
        <v>1693</v>
      </c>
      <c r="C1708" s="5">
        <f ca="1">_xlfn.NORM.S.INV(RAND())</f>
        <v>0.52137058428337391</v>
      </c>
      <c r="D1708" s="5">
        <f ca="1">S0*EXP((μ-0.5*σ*σ)*T+σ*SQRT(T)*$C1708)</f>
        <v>0.69955474477234025</v>
      </c>
      <c r="E1708" s="5">
        <f ca="1">MAX(0,CP*(D1708-K))</f>
        <v>0</v>
      </c>
      <c r="F1708" s="4">
        <f ca="1">(CP*(D1708-K)&gt;0)*1</f>
        <v>0</v>
      </c>
      <c r="H1708" s="4">
        <v>1693</v>
      </c>
      <c r="I1708" s="3">
        <v>0.66756962152871169</v>
      </c>
      <c r="J1708" s="128">
        <v>1.0416616229707016E-3</v>
      </c>
      <c r="K1708" s="128"/>
      <c r="L1708" s="128">
        <v>3.4200000000000001E-2</v>
      </c>
      <c r="O1708" s="2"/>
    </row>
    <row r="1709" spans="2:15" x14ac:dyDescent="0.2">
      <c r="B1709" s="1">
        <v>1694</v>
      </c>
      <c r="C1709" s="5">
        <f ca="1">_xlfn.NORM.S.INV(RAND())</f>
        <v>0.76009563907979816</v>
      </c>
      <c r="D1709" s="5">
        <f ca="1">S0*EXP((μ-0.5*σ*σ)*T+σ*SQRT(T)*$C1709)</f>
        <v>0.71621424916636955</v>
      </c>
      <c r="E1709" s="5">
        <f ca="1">MAX(0,CP*(D1709-K))</f>
        <v>0</v>
      </c>
      <c r="F1709" s="4">
        <f ca="1">(CP*(D1709-K)&gt;0)*1</f>
        <v>0</v>
      </c>
      <c r="H1709" s="4">
        <v>1694</v>
      </c>
      <c r="I1709" s="3">
        <v>0.66773812275866373</v>
      </c>
      <c r="J1709" s="128">
        <v>1.333587755466599E-3</v>
      </c>
      <c r="K1709" s="128"/>
      <c r="L1709" s="128">
        <v>4.02E-2</v>
      </c>
      <c r="O1709" s="2"/>
    </row>
    <row r="1710" spans="2:15" x14ac:dyDescent="0.2">
      <c r="B1710" s="1">
        <v>1695</v>
      </c>
      <c r="C1710" s="5">
        <f ca="1">_xlfn.NORM.S.INV(RAND())</f>
        <v>-0.13171659315123108</v>
      </c>
      <c r="D1710" s="5">
        <f ca="1">S0*EXP((μ-0.5*σ*σ)*T+σ*SQRT(T)*$C1710)</f>
        <v>0.65593246989891563</v>
      </c>
      <c r="E1710" s="5">
        <f ca="1">MAX(0,CP*(D1710-K))</f>
        <v>0</v>
      </c>
      <c r="F1710" s="4">
        <f ca="1">(CP*(D1710-K)&gt;0)*1</f>
        <v>0</v>
      </c>
      <c r="H1710" s="4">
        <v>1695</v>
      </c>
      <c r="I1710" s="3">
        <v>0.66775612993409039</v>
      </c>
      <c r="J1710" s="128">
        <v>1.4330749853960914E-3</v>
      </c>
      <c r="K1710" s="128"/>
      <c r="L1710" s="128">
        <v>4.1200000000000001E-2</v>
      </c>
      <c r="O1710" s="2"/>
    </row>
    <row r="1711" spans="2:15" x14ac:dyDescent="0.2">
      <c r="B1711" s="1">
        <v>1696</v>
      </c>
      <c r="C1711" s="5">
        <f ca="1">_xlfn.NORM.S.INV(RAND())</f>
        <v>1.2426578858612329</v>
      </c>
      <c r="D1711" s="5">
        <f ca="1">S0*EXP((μ-0.5*σ*σ)*T+σ*SQRT(T)*$C1711)</f>
        <v>0.75111137556402208</v>
      </c>
      <c r="E1711" s="5">
        <f ca="1">MAX(0,CP*(D1711-K))</f>
        <v>0</v>
      </c>
      <c r="F1711" s="4">
        <f ca="1">(CP*(D1711-K)&gt;0)*1</f>
        <v>0</v>
      </c>
      <c r="H1711" s="4">
        <v>1696</v>
      </c>
      <c r="I1711" s="3">
        <v>0.66785855862900179</v>
      </c>
      <c r="J1711" s="128">
        <v>1.4264713812112302E-3</v>
      </c>
      <c r="K1711" s="128"/>
      <c r="L1711" s="128">
        <v>4.5600000000000002E-2</v>
      </c>
      <c r="O1711" s="2"/>
    </row>
    <row r="1712" spans="2:15" x14ac:dyDescent="0.2">
      <c r="B1712" s="1">
        <v>1697</v>
      </c>
      <c r="C1712" s="5">
        <f ca="1">_xlfn.NORM.S.INV(RAND())</f>
        <v>-1.3182363597028355</v>
      </c>
      <c r="D1712" s="5">
        <f ca="1">S0*EXP((μ-0.5*σ*σ)*T+σ*SQRT(T)*$C1712)</f>
        <v>0.58352182803870933</v>
      </c>
      <c r="E1712" s="5">
        <f ca="1">MAX(0,CP*(D1712-K))</f>
        <v>0</v>
      </c>
      <c r="F1712" s="4">
        <f ca="1">(CP*(D1712-K)&gt;0)*1</f>
        <v>0</v>
      </c>
      <c r="H1712" s="4">
        <v>1697</v>
      </c>
      <c r="I1712" s="3">
        <v>0.66772078222545528</v>
      </c>
      <c r="J1712" s="128">
        <v>1.3437298238256868E-3</v>
      </c>
      <c r="K1712" s="128"/>
      <c r="L1712" s="128">
        <v>3.9199999999999999E-2</v>
      </c>
      <c r="O1712" s="2"/>
    </row>
    <row r="1713" spans="2:15" x14ac:dyDescent="0.2">
      <c r="B1713" s="1">
        <v>1698</v>
      </c>
      <c r="C1713" s="5">
        <f ca="1">_xlfn.NORM.S.INV(RAND())</f>
        <v>-0.59065625673590838</v>
      </c>
      <c r="D1713" s="5">
        <f ca="1">S0*EXP((μ-0.5*σ*σ)*T+σ*SQRT(T)*$C1713)</f>
        <v>0.62691573723092686</v>
      </c>
      <c r="E1713" s="5">
        <f ca="1">MAX(0,CP*(D1713-K))</f>
        <v>0</v>
      </c>
      <c r="F1713" s="4">
        <f ca="1">(CP*(D1713-K)&gt;0)*1</f>
        <v>0</v>
      </c>
      <c r="H1713" s="4">
        <v>1698</v>
      </c>
      <c r="I1713" s="3">
        <v>0.66775183182534537</v>
      </c>
      <c r="J1713" s="128">
        <v>1.2992420573957374E-3</v>
      </c>
      <c r="K1713" s="128"/>
      <c r="L1713" s="128">
        <v>4.3400000000000001E-2</v>
      </c>
      <c r="O1713" s="2"/>
    </row>
    <row r="1714" spans="2:15" x14ac:dyDescent="0.2">
      <c r="B1714" s="1">
        <v>1699</v>
      </c>
      <c r="C1714" s="5">
        <f ca="1">_xlfn.NORM.S.INV(RAND())</f>
        <v>-2.3177846306547853</v>
      </c>
      <c r="D1714" s="5">
        <f ca="1">S0*EXP((μ-0.5*σ*σ)*T+σ*SQRT(T)*$C1714)</f>
        <v>0.52876226426269002</v>
      </c>
      <c r="E1714" s="5">
        <f ca="1">MAX(0,CP*(D1714-K))</f>
        <v>0</v>
      </c>
      <c r="F1714" s="4">
        <f ca="1">(CP*(D1714-K)&gt;0)*1</f>
        <v>0</v>
      </c>
      <c r="H1714" s="4">
        <v>1699</v>
      </c>
      <c r="I1714" s="3">
        <v>0.6678006062442815</v>
      </c>
      <c r="J1714" s="128">
        <v>1.4488052038068835E-3</v>
      </c>
      <c r="K1714" s="128"/>
      <c r="L1714" s="128">
        <v>4.1799999999999997E-2</v>
      </c>
      <c r="O1714" s="2"/>
    </row>
    <row r="1715" spans="2:15" x14ac:dyDescent="0.2">
      <c r="B1715" s="1">
        <v>1700</v>
      </c>
      <c r="C1715" s="5">
        <f ca="1">_xlfn.NORM.S.INV(RAND())</f>
        <v>1.352238960107486</v>
      </c>
      <c r="D1715" s="5">
        <f ca="1">S0*EXP((μ-0.5*σ*σ)*T+σ*SQRT(T)*$C1715)</f>
        <v>0.75926986277037345</v>
      </c>
      <c r="E1715" s="5">
        <f ca="1">MAX(0,CP*(D1715-K))</f>
        <v>0</v>
      </c>
      <c r="F1715" s="4">
        <f ca="1">(CP*(D1715-K)&gt;0)*1</f>
        <v>0</v>
      </c>
      <c r="H1715" s="4">
        <v>1700</v>
      </c>
      <c r="I1715" s="3">
        <v>0.66774363697193717</v>
      </c>
      <c r="J1715" s="128">
        <v>1.3293769122191676E-3</v>
      </c>
      <c r="K1715" s="128"/>
      <c r="L1715" s="128">
        <v>4.24E-2</v>
      </c>
      <c r="O1715" s="2"/>
    </row>
    <row r="1716" spans="2:15" x14ac:dyDescent="0.2">
      <c r="B1716" s="1">
        <v>1701</v>
      </c>
      <c r="C1716" s="5">
        <f ca="1">_xlfn.NORM.S.INV(RAND())</f>
        <v>0.57112700510105507</v>
      </c>
      <c r="D1716" s="5">
        <f ca="1">S0*EXP((μ-0.5*σ*σ)*T+σ*SQRT(T)*$C1716)</f>
        <v>0.70299474269317863</v>
      </c>
      <c r="E1716" s="5">
        <f ca="1">MAX(0,CP*(D1716-K))</f>
        <v>0</v>
      </c>
      <c r="F1716" s="4">
        <f ca="1">(CP*(D1716-K)&gt;0)*1</f>
        <v>0</v>
      </c>
      <c r="H1716" s="4">
        <v>1701</v>
      </c>
      <c r="I1716" s="3">
        <v>0.66776470019352041</v>
      </c>
      <c r="J1716" s="128">
        <v>1.3978523314164203E-3</v>
      </c>
      <c r="K1716" s="128"/>
      <c r="L1716" s="128">
        <v>4.1399999999999999E-2</v>
      </c>
      <c r="O1716" s="2"/>
    </row>
    <row r="1717" spans="2:15" x14ac:dyDescent="0.2">
      <c r="B1717" s="1">
        <v>1702</v>
      </c>
      <c r="C1717" s="5">
        <f ca="1">_xlfn.NORM.S.INV(RAND())</f>
        <v>0.63646849107362702</v>
      </c>
      <c r="D1717" s="5">
        <f ca="1">S0*EXP((μ-0.5*σ*σ)*T+σ*SQRT(T)*$C1717)</f>
        <v>0.70753794823899829</v>
      </c>
      <c r="E1717" s="5">
        <f ca="1">MAX(0,CP*(D1717-K))</f>
        <v>0</v>
      </c>
      <c r="F1717" s="4">
        <f ca="1">(CP*(D1717-K)&gt;0)*1</f>
        <v>0</v>
      </c>
      <c r="H1717" s="4">
        <v>1702</v>
      </c>
      <c r="I1717" s="3">
        <v>0.66764329120114263</v>
      </c>
      <c r="J1717" s="128">
        <v>1.3963523670063934E-3</v>
      </c>
      <c r="K1717" s="128"/>
      <c r="L1717" s="128">
        <v>3.9600000000000003E-2</v>
      </c>
      <c r="O1717" s="2"/>
    </row>
    <row r="1718" spans="2:15" x14ac:dyDescent="0.2">
      <c r="B1718" s="1">
        <v>1703</v>
      </c>
      <c r="C1718" s="5">
        <f ca="1">_xlfn.NORM.S.INV(RAND())</f>
        <v>-1.153451568548491</v>
      </c>
      <c r="D1718" s="5">
        <f ca="1">S0*EXP((μ-0.5*σ*σ)*T+σ*SQRT(T)*$C1718)</f>
        <v>0.59307897889256211</v>
      </c>
      <c r="E1718" s="5">
        <f ca="1">MAX(0,CP*(D1718-K))</f>
        <v>0</v>
      </c>
      <c r="F1718" s="4">
        <f ca="1">(CP*(D1718-K)&gt;0)*1</f>
        <v>0</v>
      </c>
      <c r="H1718" s="4">
        <v>1703</v>
      </c>
      <c r="I1718" s="3">
        <v>0.667573521787031</v>
      </c>
      <c r="J1718" s="128">
        <v>1.0789382101085139E-3</v>
      </c>
      <c r="K1718" s="128"/>
      <c r="L1718" s="128">
        <v>3.7199999999999997E-2</v>
      </c>
      <c r="O1718" s="2"/>
    </row>
    <row r="1719" spans="2:15" x14ac:dyDescent="0.2">
      <c r="B1719" s="1">
        <v>1704</v>
      </c>
      <c r="C1719" s="5">
        <f ca="1">_xlfn.NORM.S.INV(RAND())</f>
        <v>-0.33954413569518832</v>
      </c>
      <c r="D1719" s="5">
        <f ca="1">S0*EXP((μ-0.5*σ*σ)*T+σ*SQRT(T)*$C1719)</f>
        <v>0.64262969084541888</v>
      </c>
      <c r="E1719" s="5">
        <f ca="1">MAX(0,CP*(D1719-K))</f>
        <v>0</v>
      </c>
      <c r="F1719" s="4">
        <f ca="1">(CP*(D1719-K)&gt;0)*1</f>
        <v>0</v>
      </c>
      <c r="H1719" s="4">
        <v>1704</v>
      </c>
      <c r="I1719" s="3">
        <v>0.66782669804829853</v>
      </c>
      <c r="J1719" s="128">
        <v>1.4842509187763485E-3</v>
      </c>
      <c r="K1719" s="128"/>
      <c r="L1719" s="128">
        <v>4.4600000000000001E-2</v>
      </c>
      <c r="O1719" s="2"/>
    </row>
    <row r="1720" spans="2:15" x14ac:dyDescent="0.2">
      <c r="B1720" s="1">
        <v>1705</v>
      </c>
      <c r="C1720" s="5">
        <f ca="1">_xlfn.NORM.S.INV(RAND())</f>
        <v>8.6106751149655131E-2</v>
      </c>
      <c r="D1720" s="5">
        <f ca="1">S0*EXP((μ-0.5*σ*σ)*T+σ*SQRT(T)*$C1720)</f>
        <v>0.67017072528486277</v>
      </c>
      <c r="E1720" s="5">
        <f ca="1">MAX(0,CP*(D1720-K))</f>
        <v>0</v>
      </c>
      <c r="F1720" s="4">
        <f ca="1">(CP*(D1720-K)&gt;0)*1</f>
        <v>0</v>
      </c>
      <c r="H1720" s="4">
        <v>1705</v>
      </c>
      <c r="I1720" s="3">
        <v>0.6675916985377286</v>
      </c>
      <c r="J1720" s="128">
        <v>1.206730046133324E-3</v>
      </c>
      <c r="K1720" s="128"/>
      <c r="L1720" s="128">
        <v>3.7600000000000001E-2</v>
      </c>
      <c r="O1720" s="2"/>
    </row>
    <row r="1721" spans="2:15" x14ac:dyDescent="0.2">
      <c r="B1721" s="1">
        <v>1706</v>
      </c>
      <c r="C1721" s="5">
        <f ca="1">_xlfn.NORM.S.INV(RAND())</f>
        <v>0.28995543927052253</v>
      </c>
      <c r="D1721" s="5">
        <f ca="1">S0*EXP((μ-0.5*σ*σ)*T+σ*SQRT(T)*$C1721)</f>
        <v>0.68377534463407463</v>
      </c>
      <c r="E1721" s="5">
        <f ca="1">MAX(0,CP*(D1721-K))</f>
        <v>0</v>
      </c>
      <c r="F1721" s="4">
        <f ca="1">(CP*(D1721-K)&gt;0)*1</f>
        <v>0</v>
      </c>
      <c r="H1721" s="4">
        <v>1706</v>
      </c>
      <c r="I1721" s="3">
        <v>0.66779650691878634</v>
      </c>
      <c r="J1721" s="128">
        <v>1.4574196342313798E-3</v>
      </c>
      <c r="K1721" s="128"/>
      <c r="L1721" s="128">
        <v>4.2799999999999998E-2</v>
      </c>
      <c r="O1721" s="2"/>
    </row>
    <row r="1722" spans="2:15" x14ac:dyDescent="0.2">
      <c r="B1722" s="1">
        <v>1707</v>
      </c>
      <c r="C1722" s="5">
        <f ca="1">_xlfn.NORM.S.INV(RAND())</f>
        <v>1.2622352261299306</v>
      </c>
      <c r="D1722" s="5">
        <f ca="1">S0*EXP((μ-0.5*σ*σ)*T+σ*SQRT(T)*$C1722)</f>
        <v>0.75256248086380773</v>
      </c>
      <c r="E1722" s="5">
        <f ca="1">MAX(0,CP*(D1722-K))</f>
        <v>0</v>
      </c>
      <c r="F1722" s="4">
        <f ca="1">(CP*(D1722-K)&gt;0)*1</f>
        <v>0</v>
      </c>
      <c r="H1722" s="4">
        <v>1707</v>
      </c>
      <c r="I1722" s="3">
        <v>0.66787088330296096</v>
      </c>
      <c r="J1722" s="128">
        <v>1.5037597217257242E-3</v>
      </c>
      <c r="K1722" s="128"/>
      <c r="L1722" s="128">
        <v>4.3400000000000001E-2</v>
      </c>
      <c r="O1722" s="2"/>
    </row>
    <row r="1723" spans="2:15" x14ac:dyDescent="0.2">
      <c r="B1723" s="1">
        <v>1708</v>
      </c>
      <c r="C1723" s="5">
        <f ca="1">_xlfn.NORM.S.INV(RAND())</f>
        <v>1.4515158843405915</v>
      </c>
      <c r="D1723" s="5">
        <f ca="1">S0*EXP((μ-0.5*σ*σ)*T+σ*SQRT(T)*$C1723)</f>
        <v>0.76673767259492576</v>
      </c>
      <c r="E1723" s="5">
        <f ca="1">MAX(0,CP*(D1723-K))</f>
        <v>0</v>
      </c>
      <c r="F1723" s="4">
        <f ca="1">(CP*(D1723-K)&gt;0)*1</f>
        <v>0</v>
      </c>
      <c r="H1723" s="4">
        <v>1708</v>
      </c>
      <c r="I1723" s="3">
        <v>0.66789658800883078</v>
      </c>
      <c r="J1723" s="128">
        <v>1.5982825856474788E-3</v>
      </c>
      <c r="K1723" s="128"/>
      <c r="L1723" s="128">
        <v>4.7199999999999999E-2</v>
      </c>
      <c r="O1723" s="2"/>
    </row>
    <row r="1724" spans="2:15" x14ac:dyDescent="0.2">
      <c r="B1724" s="1">
        <v>1709</v>
      </c>
      <c r="C1724" s="5">
        <f ca="1">_xlfn.NORM.S.INV(RAND())</f>
        <v>-0.72082575266903204</v>
      </c>
      <c r="D1724" s="5">
        <f ca="1">S0*EXP((μ-0.5*σ*σ)*T+σ*SQRT(T)*$C1724)</f>
        <v>0.61892187926504905</v>
      </c>
      <c r="E1724" s="5">
        <f ca="1">MAX(0,CP*(D1724-K))</f>
        <v>0</v>
      </c>
      <c r="F1724" s="4">
        <f ca="1">(CP*(D1724-K)&gt;0)*1</f>
        <v>0</v>
      </c>
      <c r="H1724" s="4">
        <v>1709</v>
      </c>
      <c r="I1724" s="3">
        <v>0.66773314151994023</v>
      </c>
      <c r="J1724" s="128">
        <v>1.3108114849569629E-3</v>
      </c>
      <c r="K1724" s="128"/>
      <c r="L1724" s="128">
        <v>4.2799999999999998E-2</v>
      </c>
      <c r="O1724" s="2"/>
    </row>
    <row r="1725" spans="2:15" x14ac:dyDescent="0.2">
      <c r="B1725" s="1">
        <v>1710</v>
      </c>
      <c r="C1725" s="5">
        <f ca="1">_xlfn.NORM.S.INV(RAND())</f>
        <v>0.55588692203177548</v>
      </c>
      <c r="D1725" s="5">
        <f ca="1">S0*EXP((μ-0.5*σ*σ)*T+σ*SQRT(T)*$C1725)</f>
        <v>0.7019392993790019</v>
      </c>
      <c r="E1725" s="5">
        <f ca="1">MAX(0,CP*(D1725-K))</f>
        <v>0</v>
      </c>
      <c r="F1725" s="4">
        <f ca="1">(CP*(D1725-K)&gt;0)*1</f>
        <v>0</v>
      </c>
      <c r="H1725" s="4">
        <v>1710</v>
      </c>
      <c r="I1725" s="3">
        <v>0.66777080381294074</v>
      </c>
      <c r="J1725" s="128">
        <v>1.3241510581918714E-3</v>
      </c>
      <c r="K1725" s="128"/>
      <c r="L1725" s="128">
        <v>4.2799999999999998E-2</v>
      </c>
      <c r="O1725" s="2"/>
    </row>
    <row r="1726" spans="2:15" x14ac:dyDescent="0.2">
      <c r="B1726" s="1">
        <v>1711</v>
      </c>
      <c r="C1726" s="5">
        <f ca="1">_xlfn.NORM.S.INV(RAND())</f>
        <v>1.5213741200252064</v>
      </c>
      <c r="D1726" s="5">
        <f ca="1">S0*EXP((μ-0.5*σ*σ)*T+σ*SQRT(T)*$C1726)</f>
        <v>0.77203653349529988</v>
      </c>
      <c r="E1726" s="5">
        <f ca="1">MAX(0,CP*(D1726-K))</f>
        <v>0</v>
      </c>
      <c r="F1726" s="4">
        <f ca="1">(CP*(D1726-K)&gt;0)*1</f>
        <v>0</v>
      </c>
      <c r="H1726" s="4">
        <v>1711</v>
      </c>
      <c r="I1726" s="3">
        <v>0.66778791169807017</v>
      </c>
      <c r="J1726" s="128">
        <v>1.3692156773974097E-3</v>
      </c>
      <c r="K1726" s="128"/>
      <c r="L1726" s="128">
        <v>4.1000000000000002E-2</v>
      </c>
      <c r="O1726" s="2"/>
    </row>
    <row r="1727" spans="2:15" x14ac:dyDescent="0.2">
      <c r="B1727" s="1">
        <v>1712</v>
      </c>
      <c r="C1727" s="5">
        <f ca="1">_xlfn.NORM.S.INV(RAND())</f>
        <v>1.4005643063299471</v>
      </c>
      <c r="D1727" s="5">
        <f ca="1">S0*EXP((μ-0.5*σ*σ)*T+σ*SQRT(T)*$C1727)</f>
        <v>0.76289586290903189</v>
      </c>
      <c r="E1727" s="5">
        <f ca="1">MAX(0,CP*(D1727-K))</f>
        <v>0</v>
      </c>
      <c r="F1727" s="4">
        <f ca="1">(CP*(D1727-K)&gt;0)*1</f>
        <v>0</v>
      </c>
      <c r="H1727" s="4">
        <v>1712</v>
      </c>
      <c r="I1727" s="3">
        <v>0.6677159070973917</v>
      </c>
      <c r="J1727" s="128">
        <v>1.3002530484245911E-3</v>
      </c>
      <c r="K1727" s="128"/>
      <c r="L1727" s="128">
        <v>4.3999999999999997E-2</v>
      </c>
      <c r="O1727" s="2"/>
    </row>
    <row r="1728" spans="2:15" x14ac:dyDescent="0.2">
      <c r="B1728" s="1">
        <v>1713</v>
      </c>
      <c r="C1728" s="5">
        <f ca="1">_xlfn.NORM.S.INV(RAND())</f>
        <v>1.1659915583684486</v>
      </c>
      <c r="D1728" s="5">
        <f ca="1">S0*EXP((μ-0.5*σ*σ)*T+σ*SQRT(T)*$C1728)</f>
        <v>0.74545562195656778</v>
      </c>
      <c r="E1728" s="5">
        <f ca="1">MAX(0,CP*(D1728-K))</f>
        <v>0</v>
      </c>
      <c r="F1728" s="4">
        <f ca="1">(CP*(D1728-K)&gt;0)*1</f>
        <v>0</v>
      </c>
      <c r="H1728" s="4">
        <v>1713</v>
      </c>
      <c r="I1728" s="3">
        <v>0.66763854571938952</v>
      </c>
      <c r="J1728" s="128">
        <v>1.1713614022839376E-3</v>
      </c>
      <c r="K1728" s="128"/>
      <c r="L1728" s="128">
        <v>3.7999999999999999E-2</v>
      </c>
      <c r="O1728" s="2"/>
    </row>
    <row r="1729" spans="2:15" x14ac:dyDescent="0.2">
      <c r="B1729" s="1">
        <v>1714</v>
      </c>
      <c r="C1729" s="5">
        <f ca="1">_xlfn.NORM.S.INV(RAND())</f>
        <v>-1.8294649285213924</v>
      </c>
      <c r="D1729" s="5">
        <f ca="1">S0*EXP((μ-0.5*σ*σ)*T+σ*SQRT(T)*$C1729)</f>
        <v>0.55484074619283807</v>
      </c>
      <c r="E1729" s="5">
        <f ca="1">MAX(0,CP*(D1729-K))</f>
        <v>0</v>
      </c>
      <c r="F1729" s="4">
        <f ca="1">(CP*(D1729-K)&gt;0)*1</f>
        <v>0</v>
      </c>
      <c r="H1729" s="4">
        <v>1714</v>
      </c>
      <c r="I1729" s="3">
        <v>0.66783549390000352</v>
      </c>
      <c r="J1729" s="128">
        <v>1.4015583447242028E-3</v>
      </c>
      <c r="K1729" s="128"/>
      <c r="L1729" s="128">
        <v>4.4200000000000003E-2</v>
      </c>
      <c r="O1729" s="2"/>
    </row>
    <row r="1730" spans="2:15" x14ac:dyDescent="0.2">
      <c r="B1730" s="1">
        <v>1715</v>
      </c>
      <c r="C1730" s="5">
        <f ca="1">_xlfn.NORM.S.INV(RAND())</f>
        <v>-0.98764208452286306</v>
      </c>
      <c r="D1730" s="5">
        <f ca="1">S0*EXP((μ-0.5*σ*σ)*T+σ*SQRT(T)*$C1730)</f>
        <v>0.60285355885818792</v>
      </c>
      <c r="E1730" s="5">
        <f ca="1">MAX(0,CP*(D1730-K))</f>
        <v>0</v>
      </c>
      <c r="F1730" s="4">
        <f ca="1">(CP*(D1730-K)&gt;0)*1</f>
        <v>0</v>
      </c>
      <c r="H1730" s="4">
        <v>1715</v>
      </c>
      <c r="I1730" s="3">
        <v>0.66783562247944972</v>
      </c>
      <c r="J1730" s="128">
        <v>1.4333502650154381E-3</v>
      </c>
      <c r="K1730" s="128"/>
      <c r="L1730" s="128">
        <v>4.3400000000000001E-2</v>
      </c>
      <c r="O1730" s="2"/>
    </row>
    <row r="1731" spans="2:15" x14ac:dyDescent="0.2">
      <c r="B1731" s="1">
        <v>1716</v>
      </c>
      <c r="C1731" s="5">
        <f ca="1">_xlfn.NORM.S.INV(RAND())</f>
        <v>0.7095527152141915</v>
      </c>
      <c r="D1731" s="5">
        <f ca="1">S0*EXP((μ-0.5*σ*σ)*T+σ*SQRT(T)*$C1731)</f>
        <v>0.71265430270934327</v>
      </c>
      <c r="E1731" s="5">
        <f ca="1">MAX(0,CP*(D1731-K))</f>
        <v>0</v>
      </c>
      <c r="F1731" s="4">
        <f ca="1">(CP*(D1731-K)&gt;0)*1</f>
        <v>0</v>
      </c>
      <c r="H1731" s="4">
        <v>1716</v>
      </c>
      <c r="I1731" s="3">
        <v>0.66780862496320492</v>
      </c>
      <c r="J1731" s="128">
        <v>1.3976669103457529E-3</v>
      </c>
      <c r="K1731" s="128"/>
      <c r="L1731" s="128">
        <v>4.2599999999999999E-2</v>
      </c>
      <c r="O1731" s="2"/>
    </row>
    <row r="1732" spans="2:15" x14ac:dyDescent="0.2">
      <c r="B1732" s="1">
        <v>1717</v>
      </c>
      <c r="C1732" s="5">
        <f ca="1">_xlfn.NORM.S.INV(RAND())</f>
        <v>1.1809557516234641</v>
      </c>
      <c r="D1732" s="5">
        <f ca="1">S0*EXP((μ-0.5*σ*σ)*T+σ*SQRT(T)*$C1732)</f>
        <v>0.7465561908050512</v>
      </c>
      <c r="E1732" s="5">
        <f ca="1">MAX(0,CP*(D1732-K))</f>
        <v>0</v>
      </c>
      <c r="F1732" s="4">
        <f ca="1">(CP*(D1732-K)&gt;0)*1</f>
        <v>0</v>
      </c>
      <c r="H1732" s="4">
        <v>1717</v>
      </c>
      <c r="I1732" s="3">
        <v>0.66778613030653056</v>
      </c>
      <c r="J1732" s="128">
        <v>1.4108626059603261E-3</v>
      </c>
      <c r="K1732" s="128"/>
      <c r="L1732" s="128">
        <v>4.4600000000000001E-2</v>
      </c>
      <c r="O1732" s="2"/>
    </row>
    <row r="1733" spans="2:15" x14ac:dyDescent="0.2">
      <c r="B1733" s="1">
        <v>1718</v>
      </c>
      <c r="C1733" s="5">
        <f ca="1">_xlfn.NORM.S.INV(RAND())</f>
        <v>0.30326883057413684</v>
      </c>
      <c r="D1733" s="5">
        <f ca="1">S0*EXP((μ-0.5*σ*σ)*T+σ*SQRT(T)*$C1733)</f>
        <v>0.6846734119658231</v>
      </c>
      <c r="E1733" s="5">
        <f ca="1">MAX(0,CP*(D1733-K))</f>
        <v>0</v>
      </c>
      <c r="F1733" s="4">
        <f ca="1">(CP*(D1733-K)&gt;0)*1</f>
        <v>0</v>
      </c>
      <c r="H1733" s="4">
        <v>1718</v>
      </c>
      <c r="I1733" s="3">
        <v>0.66768351309078722</v>
      </c>
      <c r="J1733" s="128">
        <v>1.3308418202297317E-3</v>
      </c>
      <c r="K1733" s="128"/>
      <c r="L1733" s="128">
        <v>4.1399999999999999E-2</v>
      </c>
      <c r="O1733" s="2"/>
    </row>
    <row r="1734" spans="2:15" x14ac:dyDescent="0.2">
      <c r="B1734" s="1">
        <v>1719</v>
      </c>
      <c r="C1734" s="5">
        <f ca="1">_xlfn.NORM.S.INV(RAND())</f>
        <v>-7.3516903479117546E-2</v>
      </c>
      <c r="D1734" s="5">
        <f ca="1">S0*EXP((μ-0.5*σ*σ)*T+σ*SQRT(T)*$C1734)</f>
        <v>0.65970687103141312</v>
      </c>
      <c r="E1734" s="5">
        <f ca="1">MAX(0,CP*(D1734-K))</f>
        <v>0</v>
      </c>
      <c r="F1734" s="4">
        <f ca="1">(CP*(D1734-K)&gt;0)*1</f>
        <v>0</v>
      </c>
      <c r="H1734" s="4">
        <v>1719</v>
      </c>
      <c r="I1734" s="3">
        <v>0.66762542059921481</v>
      </c>
      <c r="J1734" s="128">
        <v>1.2275996693975532E-3</v>
      </c>
      <c r="K1734" s="128"/>
      <c r="L1734" s="128">
        <v>3.78E-2</v>
      </c>
      <c r="O1734" s="2"/>
    </row>
    <row r="1735" spans="2:15" x14ac:dyDescent="0.2">
      <c r="B1735" s="1">
        <v>1720</v>
      </c>
      <c r="C1735" s="5">
        <f ca="1">_xlfn.NORM.S.INV(RAND())</f>
        <v>-0.43901643859235018</v>
      </c>
      <c r="D1735" s="5">
        <f ca="1">S0*EXP((μ-0.5*σ*σ)*T+σ*SQRT(T)*$C1735)</f>
        <v>0.636358400362522</v>
      </c>
      <c r="E1735" s="5">
        <f ca="1">MAX(0,CP*(D1735-K))</f>
        <v>0</v>
      </c>
      <c r="F1735" s="4">
        <f ca="1">(CP*(D1735-K)&gt;0)*1</f>
        <v>0</v>
      </c>
      <c r="H1735" s="4">
        <v>1720</v>
      </c>
      <c r="I1735" s="3">
        <v>0.66774011582077919</v>
      </c>
      <c r="J1735" s="128">
        <v>1.4168131332779816E-3</v>
      </c>
      <c r="K1735" s="128"/>
      <c r="L1735" s="128">
        <v>0.04</v>
      </c>
      <c r="O1735" s="2"/>
    </row>
    <row r="1736" spans="2:15" x14ac:dyDescent="0.2">
      <c r="B1736" s="1">
        <v>1721</v>
      </c>
      <c r="C1736" s="5">
        <f ca="1">_xlfn.NORM.S.INV(RAND())</f>
        <v>1.5246643267691551</v>
      </c>
      <c r="D1736" s="5">
        <f ca="1">S0*EXP((μ-0.5*σ*σ)*T+σ*SQRT(T)*$C1736)</f>
        <v>0.77228700204406087</v>
      </c>
      <c r="E1736" s="5">
        <f ca="1">MAX(0,CP*(D1736-K))</f>
        <v>0</v>
      </c>
      <c r="F1736" s="4">
        <f ca="1">(CP*(D1736-K)&gt;0)*1</f>
        <v>0</v>
      </c>
      <c r="H1736" s="4">
        <v>1721</v>
      </c>
      <c r="I1736" s="3">
        <v>0.66774986407387371</v>
      </c>
      <c r="J1736" s="128">
        <v>1.3478465990020615E-3</v>
      </c>
      <c r="K1736" s="128"/>
      <c r="L1736" s="128">
        <v>4.2000000000000003E-2</v>
      </c>
      <c r="O1736" s="2"/>
    </row>
    <row r="1737" spans="2:15" x14ac:dyDescent="0.2">
      <c r="B1737" s="1">
        <v>1722</v>
      </c>
      <c r="C1737" s="5">
        <f ca="1">_xlfn.NORM.S.INV(RAND())</f>
        <v>-1.2248361077612033</v>
      </c>
      <c r="D1737" s="5">
        <f ca="1">S0*EXP((μ-0.5*σ*σ)*T+σ*SQRT(T)*$C1737)</f>
        <v>0.58891976640415578</v>
      </c>
      <c r="E1737" s="5">
        <f ca="1">MAX(0,CP*(D1737-K))</f>
        <v>0</v>
      </c>
      <c r="F1737" s="4">
        <f ca="1">(CP*(D1737-K)&gt;0)*1</f>
        <v>0</v>
      </c>
      <c r="H1737" s="4">
        <v>1722</v>
      </c>
      <c r="I1737" s="3">
        <v>0.66775236460217657</v>
      </c>
      <c r="J1737" s="128">
        <v>1.5138277660356313E-3</v>
      </c>
      <c r="K1737" s="128"/>
      <c r="L1737" s="128">
        <v>4.24E-2</v>
      </c>
      <c r="O1737" s="2"/>
    </row>
    <row r="1738" spans="2:15" x14ac:dyDescent="0.2">
      <c r="B1738" s="1">
        <v>1723</v>
      </c>
      <c r="C1738" s="5">
        <f ca="1">_xlfn.NORM.S.INV(RAND())</f>
        <v>1.7405450844739909</v>
      </c>
      <c r="D1738" s="5">
        <f ca="1">S0*EXP((μ-0.5*σ*σ)*T+σ*SQRT(T)*$C1738)</f>
        <v>0.78889985232628757</v>
      </c>
      <c r="E1738" s="5">
        <f ca="1">MAX(0,CP*(D1738-K))</f>
        <v>6.9985232628755334E-4</v>
      </c>
      <c r="F1738" s="4">
        <f ca="1">(CP*(D1738-K)&gt;0)*1</f>
        <v>1</v>
      </c>
      <c r="H1738" s="4">
        <v>1723</v>
      </c>
      <c r="I1738" s="3">
        <v>0.66767272767167973</v>
      </c>
      <c r="J1738" s="128">
        <v>1.2986450450389502E-3</v>
      </c>
      <c r="K1738" s="128"/>
      <c r="L1738" s="128">
        <v>4.02E-2</v>
      </c>
      <c r="O1738" s="2"/>
    </row>
    <row r="1739" spans="2:15" x14ac:dyDescent="0.2">
      <c r="B1739" s="1">
        <v>1724</v>
      </c>
      <c r="C1739" s="5">
        <f ca="1">_xlfn.NORM.S.INV(RAND())</f>
        <v>-1.0110718137022301</v>
      </c>
      <c r="D1739" s="5">
        <f ca="1">S0*EXP((μ-0.5*σ*σ)*T+σ*SQRT(T)*$C1739)</f>
        <v>0.60146264789179638</v>
      </c>
      <c r="E1739" s="5">
        <f ca="1">MAX(0,CP*(D1739-K))</f>
        <v>0</v>
      </c>
      <c r="F1739" s="4">
        <f ca="1">(CP*(D1739-K)&gt;0)*1</f>
        <v>0</v>
      </c>
      <c r="H1739" s="4">
        <v>1724</v>
      </c>
      <c r="I1739" s="3">
        <v>0.66772492973994257</v>
      </c>
      <c r="J1739" s="128">
        <v>1.4330139119888158E-3</v>
      </c>
      <c r="K1739" s="128"/>
      <c r="L1739" s="128">
        <v>3.9E-2</v>
      </c>
      <c r="O1739" s="2"/>
    </row>
    <row r="1740" spans="2:15" x14ac:dyDescent="0.2">
      <c r="B1740" s="1">
        <v>1725</v>
      </c>
      <c r="C1740" s="5">
        <f ca="1">_xlfn.NORM.S.INV(RAND())</f>
        <v>-0.93463437818493023</v>
      </c>
      <c r="D1740" s="5">
        <f ca="1">S0*EXP((μ-0.5*σ*σ)*T+σ*SQRT(T)*$C1740)</f>
        <v>0.60601225496529265</v>
      </c>
      <c r="E1740" s="5">
        <f ca="1">MAX(0,CP*(D1740-K))</f>
        <v>0</v>
      </c>
      <c r="F1740" s="4">
        <f ca="1">(CP*(D1740-K)&gt;0)*1</f>
        <v>0</v>
      </c>
      <c r="H1740" s="4">
        <v>1725</v>
      </c>
      <c r="I1740" s="3">
        <v>0.66772592439907552</v>
      </c>
      <c r="J1740" s="128">
        <v>1.3291732505769779E-3</v>
      </c>
      <c r="K1740" s="128"/>
      <c r="L1740" s="128">
        <v>3.9399999999999998E-2</v>
      </c>
      <c r="O1740" s="2"/>
    </row>
    <row r="1741" spans="2:15" x14ac:dyDescent="0.2">
      <c r="B1741" s="1">
        <v>1726</v>
      </c>
      <c r="C1741" s="5">
        <f ca="1">_xlfn.NORM.S.INV(RAND())</f>
        <v>1.0231607861773953</v>
      </c>
      <c r="D1741" s="5">
        <f ca="1">S0*EXP((μ-0.5*σ*σ)*T+σ*SQRT(T)*$C1741)</f>
        <v>0.73503217966329715</v>
      </c>
      <c r="E1741" s="5">
        <f ca="1">MAX(0,CP*(D1741-K))</f>
        <v>0</v>
      </c>
      <c r="F1741" s="4">
        <f ca="1">(CP*(D1741-K)&gt;0)*1</f>
        <v>0</v>
      </c>
      <c r="H1741" s="4">
        <v>1726</v>
      </c>
      <c r="I1741" s="3">
        <v>0.6677897868493663</v>
      </c>
      <c r="J1741" s="128">
        <v>1.4618077362646292E-3</v>
      </c>
      <c r="K1741" s="128"/>
      <c r="L1741" s="128">
        <v>3.9E-2</v>
      </c>
      <c r="O1741" s="2"/>
    </row>
    <row r="1742" spans="2:15" x14ac:dyDescent="0.2">
      <c r="B1742" s="1">
        <v>1727</v>
      </c>
      <c r="C1742" s="5">
        <f ca="1">_xlfn.NORM.S.INV(RAND())</f>
        <v>7.8779531686338944E-2</v>
      </c>
      <c r="D1742" s="5">
        <f ca="1">S0*EXP((μ-0.5*σ*σ)*T+σ*SQRT(T)*$C1742)</f>
        <v>0.66968678751210819</v>
      </c>
      <c r="E1742" s="5">
        <f ca="1">MAX(0,CP*(D1742-K))</f>
        <v>0</v>
      </c>
      <c r="F1742" s="4">
        <f ca="1">(CP*(D1742-K)&gt;0)*1</f>
        <v>0</v>
      </c>
      <c r="H1742" s="4">
        <v>1727</v>
      </c>
      <c r="I1742" s="3">
        <v>0.66776200365860228</v>
      </c>
      <c r="J1742" s="128">
        <v>1.4004265461622625E-3</v>
      </c>
      <c r="K1742" s="128"/>
      <c r="L1742" s="128">
        <v>4.0800000000000003E-2</v>
      </c>
      <c r="O1742" s="2"/>
    </row>
    <row r="1743" spans="2:15" x14ac:dyDescent="0.2">
      <c r="B1743" s="1">
        <v>1728</v>
      </c>
      <c r="C1743" s="5">
        <f ca="1">_xlfn.NORM.S.INV(RAND())</f>
        <v>-0.4036055514968892</v>
      </c>
      <c r="D1743" s="5">
        <f ca="1">S0*EXP((μ-0.5*σ*σ)*T+σ*SQRT(T)*$C1743)</f>
        <v>0.63858385427780373</v>
      </c>
      <c r="E1743" s="5">
        <f ca="1">MAX(0,CP*(D1743-K))</f>
        <v>0</v>
      </c>
      <c r="F1743" s="4">
        <f ca="1">(CP*(D1743-K)&gt;0)*1</f>
        <v>0</v>
      </c>
      <c r="H1743" s="4">
        <v>1728</v>
      </c>
      <c r="I1743" s="3">
        <v>0.66786632637754884</v>
      </c>
      <c r="J1743" s="128">
        <v>1.6576759612480566E-3</v>
      </c>
      <c r="K1743" s="128"/>
      <c r="L1743" s="128">
        <v>4.6600000000000003E-2</v>
      </c>
      <c r="O1743" s="2"/>
    </row>
    <row r="1744" spans="2:15" x14ac:dyDescent="0.2">
      <c r="B1744" s="1">
        <v>1729</v>
      </c>
      <c r="C1744" s="5">
        <f ca="1">_xlfn.NORM.S.INV(RAND())</f>
        <v>0.15803541528591636</v>
      </c>
      <c r="D1744" s="5">
        <f ca="1">S0*EXP((μ-0.5*σ*σ)*T+σ*SQRT(T)*$C1744)</f>
        <v>0.6749399735085192</v>
      </c>
      <c r="E1744" s="5">
        <f ca="1">MAX(0,CP*(D1744-K))</f>
        <v>0</v>
      </c>
      <c r="F1744" s="4">
        <f ca="1">(CP*(D1744-K)&gt;0)*1</f>
        <v>0</v>
      </c>
      <c r="H1744" s="4">
        <v>1729</v>
      </c>
      <c r="I1744" s="3">
        <v>0.66763943564823802</v>
      </c>
      <c r="J1744" s="128">
        <v>1.1150269816099349E-3</v>
      </c>
      <c r="K1744" s="128"/>
      <c r="L1744" s="128">
        <v>3.5799999999999998E-2</v>
      </c>
      <c r="O1744" s="2"/>
    </row>
    <row r="1745" spans="2:15" x14ac:dyDescent="0.2">
      <c r="B1745" s="1">
        <v>1730</v>
      </c>
      <c r="C1745" s="5">
        <f ca="1">_xlfn.NORM.S.INV(RAND())</f>
        <v>0.73168156088409475</v>
      </c>
      <c r="D1745" s="5">
        <f ca="1">S0*EXP((μ-0.5*σ*σ)*T+σ*SQRT(T)*$C1745)</f>
        <v>0.71421074568022647</v>
      </c>
      <c r="E1745" s="5">
        <f ca="1">MAX(0,CP*(D1745-K))</f>
        <v>0</v>
      </c>
      <c r="F1745" s="4">
        <f ca="1">(CP*(D1745-K)&gt;0)*1</f>
        <v>0</v>
      </c>
      <c r="H1745" s="4">
        <v>1730</v>
      </c>
      <c r="I1745" s="3">
        <v>0.66771792772113781</v>
      </c>
      <c r="J1745" s="128">
        <v>1.3263254276040146E-3</v>
      </c>
      <c r="K1745" s="128"/>
      <c r="L1745" s="128">
        <v>4.3200000000000002E-2</v>
      </c>
      <c r="O1745" s="2"/>
    </row>
    <row r="1746" spans="2:15" x14ac:dyDescent="0.2">
      <c r="B1746" s="1">
        <v>1731</v>
      </c>
      <c r="C1746" s="5">
        <f ca="1">_xlfn.NORM.S.INV(RAND())</f>
        <v>-0.63293583185071123</v>
      </c>
      <c r="D1746" s="5">
        <f ca="1">S0*EXP((μ-0.5*σ*σ)*T+σ*SQRT(T)*$C1746)</f>
        <v>0.62430804279655405</v>
      </c>
      <c r="E1746" s="5">
        <f ca="1">MAX(0,CP*(D1746-K))</f>
        <v>0</v>
      </c>
      <c r="F1746" s="4">
        <f ca="1">(CP*(D1746-K)&gt;0)*1</f>
        <v>0</v>
      </c>
      <c r="H1746" s="4">
        <v>1731</v>
      </c>
      <c r="I1746" s="3">
        <v>0.66777104694040246</v>
      </c>
      <c r="J1746" s="128">
        <v>1.38603339776629E-3</v>
      </c>
      <c r="K1746" s="128"/>
      <c r="L1746" s="128">
        <v>4.2599999999999999E-2</v>
      </c>
      <c r="O1746" s="2"/>
    </row>
    <row r="1747" spans="2:15" x14ac:dyDescent="0.2">
      <c r="B1747" s="1">
        <v>1732</v>
      </c>
      <c r="C1747" s="5">
        <f ca="1">_xlfn.NORM.S.INV(RAND())</f>
        <v>-0.62905122221207521</v>
      </c>
      <c r="D1747" s="5">
        <f ca="1">S0*EXP((μ-0.5*σ*σ)*T+σ*SQRT(T)*$C1747)</f>
        <v>0.62454718223120798</v>
      </c>
      <c r="E1747" s="5">
        <f ca="1">MAX(0,CP*(D1747-K))</f>
        <v>0</v>
      </c>
      <c r="F1747" s="4">
        <f ca="1">(CP*(D1747-K)&gt;0)*1</f>
        <v>0</v>
      </c>
      <c r="H1747" s="4">
        <v>1732</v>
      </c>
      <c r="I1747" s="3">
        <v>0.66761195131466389</v>
      </c>
      <c r="J1747" s="128">
        <v>1.0825340101949053E-3</v>
      </c>
      <c r="K1747" s="128"/>
      <c r="L1747" s="128">
        <v>3.9199999999999999E-2</v>
      </c>
      <c r="O1747" s="2"/>
    </row>
    <row r="1748" spans="2:15" x14ac:dyDescent="0.2">
      <c r="B1748" s="1">
        <v>1733</v>
      </c>
      <c r="C1748" s="5">
        <f ca="1">_xlfn.NORM.S.INV(RAND())</f>
        <v>-0.30486355621260586</v>
      </c>
      <c r="D1748" s="5">
        <f ca="1">S0*EXP((μ-0.5*σ*σ)*T+σ*SQRT(T)*$C1748)</f>
        <v>0.64483064758459563</v>
      </c>
      <c r="E1748" s="5">
        <f ca="1">MAX(0,CP*(D1748-K))</f>
        <v>0</v>
      </c>
      <c r="F1748" s="4">
        <f ca="1">(CP*(D1748-K)&gt;0)*1</f>
        <v>0</v>
      </c>
      <c r="H1748" s="4">
        <v>1733</v>
      </c>
      <c r="I1748" s="3">
        <v>0.66769366490688598</v>
      </c>
      <c r="J1748" s="128">
        <v>1.3317710892739329E-3</v>
      </c>
      <c r="K1748" s="128"/>
      <c r="L1748" s="128">
        <v>3.9600000000000003E-2</v>
      </c>
      <c r="O1748" s="2"/>
    </row>
    <row r="1749" spans="2:15" x14ac:dyDescent="0.2">
      <c r="B1749" s="1">
        <v>1734</v>
      </c>
      <c r="C1749" s="5">
        <f ca="1">_xlfn.NORM.S.INV(RAND())</f>
        <v>-0.2404431801355191</v>
      </c>
      <c r="D1749" s="5">
        <f ca="1">S0*EXP((μ-0.5*σ*σ)*T+σ*SQRT(T)*$C1749)</f>
        <v>0.64893902646481783</v>
      </c>
      <c r="E1749" s="5">
        <f ca="1">MAX(0,CP*(D1749-K))</f>
        <v>0</v>
      </c>
      <c r="F1749" s="4">
        <f ca="1">(CP*(D1749-K)&gt;0)*1</f>
        <v>0</v>
      </c>
      <c r="H1749" s="4">
        <v>1734</v>
      </c>
      <c r="I1749" s="3">
        <v>0.66783364577520798</v>
      </c>
      <c r="J1749" s="128">
        <v>1.4285267630967451E-3</v>
      </c>
      <c r="K1749" s="128"/>
      <c r="L1749" s="128">
        <v>4.0399999999999998E-2</v>
      </c>
      <c r="O1749" s="2"/>
    </row>
    <row r="1750" spans="2:15" x14ac:dyDescent="0.2">
      <c r="B1750" s="1">
        <v>1735</v>
      </c>
      <c r="C1750" s="5">
        <f ca="1">_xlfn.NORM.S.INV(RAND())</f>
        <v>-0.40689383753923924</v>
      </c>
      <c r="D1750" s="5">
        <f ca="1">S0*EXP((μ-0.5*σ*σ)*T+σ*SQRT(T)*$C1750)</f>
        <v>0.63837686928925719</v>
      </c>
      <c r="E1750" s="5">
        <f ca="1">MAX(0,CP*(D1750-K))</f>
        <v>0</v>
      </c>
      <c r="F1750" s="4">
        <f ca="1">(CP*(D1750-K)&gt;0)*1</f>
        <v>0</v>
      </c>
      <c r="H1750" s="4">
        <v>1735</v>
      </c>
      <c r="I1750" s="3">
        <v>0.6677868069510291</v>
      </c>
      <c r="J1750" s="128">
        <v>1.477734975309517E-3</v>
      </c>
      <c r="K1750" s="128"/>
      <c r="L1750" s="128">
        <v>4.36E-2</v>
      </c>
      <c r="O1750" s="2"/>
    </row>
    <row r="1751" spans="2:15" x14ac:dyDescent="0.2">
      <c r="B1751" s="1">
        <v>1736</v>
      </c>
      <c r="C1751" s="5">
        <f ca="1">_xlfn.NORM.S.INV(RAND())</f>
        <v>1.0611491477476711</v>
      </c>
      <c r="D1751" s="5">
        <f ca="1">S0*EXP((μ-0.5*σ*σ)*T+σ*SQRT(T)*$C1751)</f>
        <v>0.73779016621972104</v>
      </c>
      <c r="E1751" s="5">
        <f ca="1">MAX(0,CP*(D1751-K))</f>
        <v>0</v>
      </c>
      <c r="F1751" s="4">
        <f ca="1">(CP*(D1751-K)&gt;0)*1</f>
        <v>0</v>
      </c>
      <c r="H1751" s="4">
        <v>1736</v>
      </c>
      <c r="I1751" s="3">
        <v>0.66771881133272959</v>
      </c>
      <c r="J1751" s="128">
        <v>1.2792733659741972E-3</v>
      </c>
      <c r="K1751" s="128"/>
      <c r="L1751" s="128">
        <v>3.8199999999999998E-2</v>
      </c>
      <c r="O1751" s="2"/>
    </row>
    <row r="1752" spans="2:15" x14ac:dyDescent="0.2">
      <c r="B1752" s="1">
        <v>1737</v>
      </c>
      <c r="C1752" s="5">
        <f ca="1">_xlfn.NORM.S.INV(RAND())</f>
        <v>-0.47088465248733413</v>
      </c>
      <c r="D1752" s="5">
        <f ca="1">S0*EXP((μ-0.5*σ*σ)*T+σ*SQRT(T)*$C1752)</f>
        <v>0.63436222280129984</v>
      </c>
      <c r="E1752" s="5">
        <f ca="1">MAX(0,CP*(D1752-K))</f>
        <v>0</v>
      </c>
      <c r="F1752" s="4">
        <f ca="1">(CP*(D1752-K)&gt;0)*1</f>
        <v>0</v>
      </c>
      <c r="H1752" s="4">
        <v>1737</v>
      </c>
      <c r="I1752" s="3">
        <v>0.66764974968030077</v>
      </c>
      <c r="J1752" s="128">
        <v>1.1931697866369554E-3</v>
      </c>
      <c r="K1752" s="128"/>
      <c r="L1752" s="128">
        <v>3.6799999999999999E-2</v>
      </c>
      <c r="O1752" s="2"/>
    </row>
    <row r="1753" spans="2:15" x14ac:dyDescent="0.2">
      <c r="B1753" s="1">
        <v>1738</v>
      </c>
      <c r="C1753" s="5">
        <f ca="1">_xlfn.NORM.S.INV(RAND())</f>
        <v>-0.40199303168653105</v>
      </c>
      <c r="D1753" s="5">
        <f ca="1">S0*EXP((μ-0.5*σ*σ)*T+σ*SQRT(T)*$C1753)</f>
        <v>0.6386853807356635</v>
      </c>
      <c r="E1753" s="5">
        <f ca="1">MAX(0,CP*(D1753-K))</f>
        <v>0</v>
      </c>
      <c r="F1753" s="4">
        <f ca="1">(CP*(D1753-K)&gt;0)*1</f>
        <v>0</v>
      </c>
      <c r="H1753" s="4">
        <v>1738</v>
      </c>
      <c r="I1753" s="3">
        <v>0.6677843963115625</v>
      </c>
      <c r="J1753" s="128">
        <v>1.3979475716685656E-3</v>
      </c>
      <c r="K1753" s="128"/>
      <c r="L1753" s="128">
        <v>4.4200000000000003E-2</v>
      </c>
      <c r="O1753" s="2"/>
    </row>
    <row r="1754" spans="2:15" x14ac:dyDescent="0.2">
      <c r="B1754" s="1">
        <v>1739</v>
      </c>
      <c r="C1754" s="5">
        <f ca="1">_xlfn.NORM.S.INV(RAND())</f>
        <v>-0.90579494923410886</v>
      </c>
      <c r="D1754" s="5">
        <f ca="1">S0*EXP((μ-0.5*σ*σ)*T+σ*SQRT(T)*$C1754)</f>
        <v>0.60773772461486597</v>
      </c>
      <c r="E1754" s="5">
        <f ca="1">MAX(0,CP*(D1754-K))</f>
        <v>0</v>
      </c>
      <c r="F1754" s="4">
        <f ca="1">(CP*(D1754-K)&gt;0)*1</f>
        <v>0</v>
      </c>
      <c r="H1754" s="4">
        <v>1739</v>
      </c>
      <c r="I1754" s="3">
        <v>0.66781062412307191</v>
      </c>
      <c r="J1754" s="128">
        <v>1.441360788391826E-3</v>
      </c>
      <c r="K1754" s="128"/>
      <c r="L1754" s="128">
        <v>3.8199999999999998E-2</v>
      </c>
      <c r="O1754" s="2"/>
    </row>
    <row r="1755" spans="2:15" x14ac:dyDescent="0.2">
      <c r="B1755" s="1">
        <v>1740</v>
      </c>
      <c r="C1755" s="5">
        <f ca="1">_xlfn.NORM.S.INV(RAND())</f>
        <v>-1.6060587271717157</v>
      </c>
      <c r="D1755" s="5">
        <f ca="1">S0*EXP((μ-0.5*σ*σ)*T+σ*SQRT(T)*$C1755)</f>
        <v>0.56719671346641032</v>
      </c>
      <c r="E1755" s="5">
        <f ca="1">MAX(0,CP*(D1755-K))</f>
        <v>0</v>
      </c>
      <c r="F1755" s="4">
        <f ca="1">(CP*(D1755-K)&gt;0)*1</f>
        <v>0</v>
      </c>
      <c r="H1755" s="4">
        <v>1740</v>
      </c>
      <c r="I1755" s="3">
        <v>0.6677192336644141</v>
      </c>
      <c r="J1755" s="128">
        <v>1.3253771371431445E-3</v>
      </c>
      <c r="K1755" s="128"/>
      <c r="L1755" s="128">
        <v>4.2599999999999999E-2</v>
      </c>
      <c r="O1755" s="2"/>
    </row>
    <row r="1756" spans="2:15" x14ac:dyDescent="0.2">
      <c r="B1756" s="1">
        <v>1741</v>
      </c>
      <c r="C1756" s="5">
        <f ca="1">_xlfn.NORM.S.INV(RAND())</f>
        <v>1.9445287608585633</v>
      </c>
      <c r="D1756" s="5">
        <f ca="1">S0*EXP((μ-0.5*σ*σ)*T+σ*SQRT(T)*$C1756)</f>
        <v>0.8049254121691386</v>
      </c>
      <c r="E1756" s="5">
        <f ca="1">MAX(0,CP*(D1756-K))</f>
        <v>1.6725412169138587E-2</v>
      </c>
      <c r="F1756" s="4">
        <f ca="1">(CP*(D1756-K)&gt;0)*1</f>
        <v>1</v>
      </c>
      <c r="H1756" s="4">
        <v>1741</v>
      </c>
      <c r="I1756" s="3">
        <v>0.66773100605865088</v>
      </c>
      <c r="J1756" s="128">
        <v>1.3686620501927524E-3</v>
      </c>
      <c r="K1756" s="128"/>
      <c r="L1756" s="128">
        <v>4.0800000000000003E-2</v>
      </c>
      <c r="O1756" s="2"/>
    </row>
    <row r="1757" spans="2:15" x14ac:dyDescent="0.2">
      <c r="B1757" s="1">
        <v>1742</v>
      </c>
      <c r="C1757" s="5">
        <f ca="1">_xlfn.NORM.S.INV(RAND())</f>
        <v>2.4267084377295274</v>
      </c>
      <c r="D1757" s="5">
        <f ca="1">S0*EXP((μ-0.5*σ*σ)*T+σ*SQRT(T)*$C1757)</f>
        <v>0.84411310116652993</v>
      </c>
      <c r="E1757" s="5">
        <f ca="1">MAX(0,CP*(D1757-K))</f>
        <v>5.5913101166529922E-2</v>
      </c>
      <c r="F1757" s="4">
        <f ca="1">(CP*(D1757-K)&gt;0)*1</f>
        <v>1</v>
      </c>
      <c r="H1757" s="4">
        <v>1742</v>
      </c>
      <c r="I1757" s="3">
        <v>0.66786078167782204</v>
      </c>
      <c r="J1757" s="128">
        <v>1.5255348645331289E-3</v>
      </c>
      <c r="K1757" s="128"/>
      <c r="L1757" s="128">
        <v>4.6199999999999998E-2</v>
      </c>
      <c r="O1757" s="2"/>
    </row>
    <row r="1758" spans="2:15" x14ac:dyDescent="0.2">
      <c r="B1758" s="1">
        <v>1743</v>
      </c>
      <c r="C1758" s="5">
        <f ca="1">_xlfn.NORM.S.INV(RAND())</f>
        <v>0.57446374547634316</v>
      </c>
      <c r="D1758" s="5">
        <f ca="1">S0*EXP((μ-0.5*σ*σ)*T+σ*SQRT(T)*$C1758)</f>
        <v>0.70322603844118559</v>
      </c>
      <c r="E1758" s="5">
        <f ca="1">MAX(0,CP*(D1758-K))</f>
        <v>0</v>
      </c>
      <c r="F1758" s="4">
        <f ca="1">(CP*(D1758-K)&gt;0)*1</f>
        <v>0</v>
      </c>
      <c r="H1758" s="4">
        <v>1743</v>
      </c>
      <c r="I1758" s="3">
        <v>0.667721280914924</v>
      </c>
      <c r="J1758" s="128">
        <v>1.4953776501970995E-3</v>
      </c>
      <c r="K1758" s="128"/>
      <c r="L1758" s="128">
        <v>4.3999999999999997E-2</v>
      </c>
      <c r="O1758" s="2"/>
    </row>
    <row r="1759" spans="2:15" x14ac:dyDescent="0.2">
      <c r="B1759" s="1">
        <v>1744</v>
      </c>
      <c r="C1759" s="5">
        <f ca="1">_xlfn.NORM.S.INV(RAND())</f>
        <v>-0.6864289086347346</v>
      </c>
      <c r="D1759" s="5">
        <f ca="1">S0*EXP((μ-0.5*σ*σ)*T+σ*SQRT(T)*$C1759)</f>
        <v>0.62102426658669874</v>
      </c>
      <c r="E1759" s="5">
        <f ca="1">MAX(0,CP*(D1759-K))</f>
        <v>0</v>
      </c>
      <c r="F1759" s="4">
        <f ca="1">(CP*(D1759-K)&gt;0)*1</f>
        <v>0</v>
      </c>
      <c r="H1759" s="4">
        <v>1744</v>
      </c>
      <c r="I1759" s="3">
        <v>0.66770480359913709</v>
      </c>
      <c r="J1759" s="128">
        <v>1.3956163735508033E-3</v>
      </c>
      <c r="K1759" s="128"/>
      <c r="L1759" s="128">
        <v>3.9800000000000002E-2</v>
      </c>
      <c r="O1759" s="2"/>
    </row>
    <row r="1760" spans="2:15" x14ac:dyDescent="0.2">
      <c r="B1760" s="1">
        <v>1745</v>
      </c>
      <c r="C1760" s="5">
        <f ca="1">_xlfn.NORM.S.INV(RAND())</f>
        <v>2.3098802699714214</v>
      </c>
      <c r="D1760" s="5">
        <f ca="1">S0*EXP((μ-0.5*σ*σ)*T+σ*SQRT(T)*$C1760)</f>
        <v>0.8344465563120913</v>
      </c>
      <c r="E1760" s="5">
        <f ca="1">MAX(0,CP*(D1760-K))</f>
        <v>4.6246556312091291E-2</v>
      </c>
      <c r="F1760" s="4">
        <f ca="1">(CP*(D1760-K)&gt;0)*1</f>
        <v>1</v>
      </c>
      <c r="H1760" s="4">
        <v>1745</v>
      </c>
      <c r="I1760" s="3">
        <v>0.66791291039415801</v>
      </c>
      <c r="J1760" s="128">
        <v>1.5078850955160662E-3</v>
      </c>
      <c r="K1760" s="128"/>
      <c r="L1760" s="128">
        <v>4.4999999999999998E-2</v>
      </c>
      <c r="O1760" s="2"/>
    </row>
    <row r="1761" spans="2:15" x14ac:dyDescent="0.2">
      <c r="B1761" s="1">
        <v>1746</v>
      </c>
      <c r="C1761" s="5">
        <f ca="1">_xlfn.NORM.S.INV(RAND())</f>
        <v>-0.40410589535435304</v>
      </c>
      <c r="D1761" s="5">
        <f ca="1">S0*EXP((μ-0.5*σ*σ)*T+σ*SQRT(T)*$C1761)</f>
        <v>0.63855235522347453</v>
      </c>
      <c r="E1761" s="5">
        <f ca="1">MAX(0,CP*(D1761-K))</f>
        <v>0</v>
      </c>
      <c r="F1761" s="4">
        <f ca="1">(CP*(D1761-K)&gt;0)*1</f>
        <v>0</v>
      </c>
      <c r="H1761" s="4">
        <v>1746</v>
      </c>
      <c r="I1761" s="3">
        <v>0.66767120465589247</v>
      </c>
      <c r="J1761" s="128">
        <v>1.2804346431889452E-3</v>
      </c>
      <c r="K1761" s="128"/>
      <c r="L1761" s="128">
        <v>3.9800000000000002E-2</v>
      </c>
      <c r="O1761" s="2"/>
    </row>
    <row r="1762" spans="2:15" x14ac:dyDescent="0.2">
      <c r="B1762" s="1">
        <v>1747</v>
      </c>
      <c r="C1762" s="5">
        <f ca="1">_xlfn.NORM.S.INV(RAND())</f>
        <v>0.68592819422341034</v>
      </c>
      <c r="D1762" s="5">
        <f ca="1">S0*EXP((μ-0.5*σ*σ)*T+σ*SQRT(T)*$C1762)</f>
        <v>0.71099640402025055</v>
      </c>
      <c r="E1762" s="5">
        <f ca="1">MAX(0,CP*(D1762-K))</f>
        <v>0</v>
      </c>
      <c r="F1762" s="4">
        <f ca="1">(CP*(D1762-K)&gt;0)*1</f>
        <v>0</v>
      </c>
      <c r="H1762" s="4">
        <v>1747</v>
      </c>
      <c r="I1762" s="3">
        <v>0.66786766330684511</v>
      </c>
      <c r="J1762" s="128">
        <v>1.2618814228104902E-3</v>
      </c>
      <c r="K1762" s="128"/>
      <c r="L1762" s="128">
        <v>4.3999999999999997E-2</v>
      </c>
      <c r="O1762" s="2"/>
    </row>
    <row r="1763" spans="2:15" x14ac:dyDescent="0.2">
      <c r="B1763" s="1">
        <v>1748</v>
      </c>
      <c r="C1763" s="5">
        <f ca="1">_xlfn.NORM.S.INV(RAND())</f>
        <v>0.26089663067674845</v>
      </c>
      <c r="D1763" s="5">
        <f ca="1">S0*EXP((μ-0.5*σ*σ)*T+σ*SQRT(T)*$C1763)</f>
        <v>0.68181924478493883</v>
      </c>
      <c r="E1763" s="5">
        <f ca="1">MAX(0,CP*(D1763-K))</f>
        <v>0</v>
      </c>
      <c r="F1763" s="4">
        <f ca="1">(CP*(D1763-K)&gt;0)*1</f>
        <v>0</v>
      </c>
      <c r="H1763" s="4">
        <v>1748</v>
      </c>
      <c r="I1763" s="3">
        <v>0.6676978287493841</v>
      </c>
      <c r="J1763" s="128">
        <v>1.2870728041920214E-3</v>
      </c>
      <c r="K1763" s="128"/>
      <c r="L1763" s="128">
        <v>4.1000000000000002E-2</v>
      </c>
      <c r="O1763" s="2"/>
    </row>
    <row r="1764" spans="2:15" x14ac:dyDescent="0.2">
      <c r="B1764" s="1">
        <v>1749</v>
      </c>
      <c r="C1764" s="5">
        <f ca="1">_xlfn.NORM.S.INV(RAND())</f>
        <v>-0.84096596877045959</v>
      </c>
      <c r="D1764" s="5">
        <f ca="1">S0*EXP((μ-0.5*σ*σ)*T+σ*SQRT(T)*$C1764)</f>
        <v>0.61163441325615653</v>
      </c>
      <c r="E1764" s="5">
        <f ca="1">MAX(0,CP*(D1764-K))</f>
        <v>0</v>
      </c>
      <c r="F1764" s="4">
        <f ca="1">(CP*(D1764-K)&gt;0)*1</f>
        <v>0</v>
      </c>
      <c r="H1764" s="4">
        <v>1749</v>
      </c>
      <c r="I1764" s="3">
        <v>0.66774412555293561</v>
      </c>
      <c r="J1764" s="128">
        <v>1.3368703036711275E-3</v>
      </c>
      <c r="K1764" s="128"/>
      <c r="L1764" s="128">
        <v>4.3400000000000001E-2</v>
      </c>
      <c r="O1764" s="2"/>
    </row>
    <row r="1765" spans="2:15" x14ac:dyDescent="0.2">
      <c r="B1765" s="1">
        <v>1750</v>
      </c>
      <c r="C1765" s="5">
        <f ca="1">_xlfn.NORM.S.INV(RAND())</f>
        <v>0.40500269283658274</v>
      </c>
      <c r="D1765" s="5">
        <f ca="1">S0*EXP((μ-0.5*σ*σ)*T+σ*SQRT(T)*$C1765)</f>
        <v>0.69157502260922388</v>
      </c>
      <c r="E1765" s="5">
        <f ca="1">MAX(0,CP*(D1765-K))</f>
        <v>0</v>
      </c>
      <c r="F1765" s="4">
        <f ca="1">(CP*(D1765-K)&gt;0)*1</f>
        <v>0</v>
      </c>
      <c r="H1765" s="4">
        <v>1750</v>
      </c>
      <c r="I1765" s="3">
        <v>0.66770759502774313</v>
      </c>
      <c r="J1765" s="128">
        <v>1.3865461980367322E-3</v>
      </c>
      <c r="K1765" s="128"/>
      <c r="L1765" s="128">
        <v>4.1000000000000002E-2</v>
      </c>
      <c r="O1765" s="2"/>
    </row>
    <row r="1766" spans="2:15" x14ac:dyDescent="0.2">
      <c r="B1766" s="1">
        <v>1751</v>
      </c>
      <c r="C1766" s="5">
        <f ca="1">_xlfn.NORM.S.INV(RAND())</f>
        <v>-6.4829951052353813E-2</v>
      </c>
      <c r="D1766" s="5">
        <f ca="1">S0*EXP((μ-0.5*σ*σ)*T+σ*SQRT(T)*$C1766)</f>
        <v>0.66027210226826383</v>
      </c>
      <c r="E1766" s="5">
        <f ca="1">MAX(0,CP*(D1766-K))</f>
        <v>0</v>
      </c>
      <c r="F1766" s="4">
        <f ca="1">(CP*(D1766-K)&gt;0)*1</f>
        <v>0</v>
      </c>
      <c r="H1766" s="4">
        <v>1751</v>
      </c>
      <c r="I1766" s="3">
        <v>0.66787555682185029</v>
      </c>
      <c r="J1766" s="128">
        <v>1.5150535407251434E-3</v>
      </c>
      <c r="K1766" s="128"/>
      <c r="L1766" s="128">
        <v>4.6600000000000003E-2</v>
      </c>
      <c r="O1766" s="2"/>
    </row>
    <row r="1767" spans="2:15" x14ac:dyDescent="0.2">
      <c r="B1767" s="1">
        <v>1752</v>
      </c>
      <c r="C1767" s="5">
        <f ca="1">_xlfn.NORM.S.INV(RAND())</f>
        <v>0.43145730291921663</v>
      </c>
      <c r="D1767" s="5">
        <f ca="1">S0*EXP((μ-0.5*σ*σ)*T+σ*SQRT(T)*$C1767)</f>
        <v>0.69338106877832517</v>
      </c>
      <c r="E1767" s="5">
        <f ca="1">MAX(0,CP*(D1767-K))</f>
        <v>0</v>
      </c>
      <c r="F1767" s="4">
        <f ca="1">(CP*(D1767-K)&gt;0)*1</f>
        <v>0</v>
      </c>
      <c r="H1767" s="4">
        <v>1752</v>
      </c>
      <c r="I1767" s="3">
        <v>0.66783564069406376</v>
      </c>
      <c r="J1767" s="128">
        <v>1.4789772428212701E-3</v>
      </c>
      <c r="K1767" s="128"/>
      <c r="L1767" s="128">
        <v>4.3999999999999997E-2</v>
      </c>
      <c r="O1767" s="2"/>
    </row>
    <row r="1768" spans="2:15" x14ac:dyDescent="0.2">
      <c r="B1768" s="1">
        <v>1753</v>
      </c>
      <c r="C1768" s="5">
        <f ca="1">_xlfn.NORM.S.INV(RAND())</f>
        <v>-9.2059366982872759E-2</v>
      </c>
      <c r="D1768" s="5">
        <f ca="1">S0*EXP((μ-0.5*σ*σ)*T+σ*SQRT(T)*$C1768)</f>
        <v>0.65850199250517982</v>
      </c>
      <c r="E1768" s="5">
        <f ca="1">MAX(0,CP*(D1768-K))</f>
        <v>0</v>
      </c>
      <c r="F1768" s="4">
        <f ca="1">(CP*(D1768-K)&gt;0)*1</f>
        <v>0</v>
      </c>
      <c r="H1768" s="4">
        <v>1753</v>
      </c>
      <c r="I1768" s="3">
        <v>0.66775743118622211</v>
      </c>
      <c r="J1768" s="128">
        <v>1.3374592262565318E-3</v>
      </c>
      <c r="K1768" s="128"/>
      <c r="L1768" s="128">
        <v>4.02E-2</v>
      </c>
      <c r="O1768" s="2"/>
    </row>
    <row r="1769" spans="2:15" x14ac:dyDescent="0.2">
      <c r="B1769" s="1">
        <v>1754</v>
      </c>
      <c r="C1769" s="5">
        <f ca="1">_xlfn.NORM.S.INV(RAND())</f>
        <v>-0.69266334720762979</v>
      </c>
      <c r="D1769" s="5">
        <f ca="1">S0*EXP((μ-0.5*σ*σ)*T+σ*SQRT(T)*$C1769)</f>
        <v>0.6206426790500571</v>
      </c>
      <c r="E1769" s="5">
        <f ca="1">MAX(0,CP*(D1769-K))</f>
        <v>0</v>
      </c>
      <c r="F1769" s="4">
        <f ca="1">(CP*(D1769-K)&gt;0)*1</f>
        <v>0</v>
      </c>
      <c r="H1769" s="4">
        <v>1754</v>
      </c>
      <c r="I1769" s="3">
        <v>0.66771836570143317</v>
      </c>
      <c r="J1769" s="128">
        <v>1.4160942790993232E-3</v>
      </c>
      <c r="K1769" s="128"/>
      <c r="L1769" s="128">
        <v>4.2000000000000003E-2</v>
      </c>
      <c r="O1769" s="2"/>
    </row>
    <row r="1770" spans="2:15" x14ac:dyDescent="0.2">
      <c r="B1770" s="1">
        <v>1755</v>
      </c>
      <c r="C1770" s="5">
        <f ca="1">_xlfn.NORM.S.INV(RAND())</f>
        <v>0.25137377243816122</v>
      </c>
      <c r="D1770" s="5">
        <f ca="1">S0*EXP((μ-0.5*σ*σ)*T+σ*SQRT(T)*$C1770)</f>
        <v>0.68117942974343049</v>
      </c>
      <c r="E1770" s="5">
        <f ca="1">MAX(0,CP*(D1770-K))</f>
        <v>0</v>
      </c>
      <c r="F1770" s="4">
        <f ca="1">(CP*(D1770-K)&gt;0)*1</f>
        <v>0</v>
      </c>
      <c r="H1770" s="4">
        <v>1755</v>
      </c>
      <c r="I1770" s="3">
        <v>0.66774436095766121</v>
      </c>
      <c r="J1770" s="128">
        <v>1.2993970482178788E-3</v>
      </c>
      <c r="K1770" s="128"/>
      <c r="L1770" s="128">
        <v>4.2999999999999997E-2</v>
      </c>
      <c r="O1770" s="2"/>
    </row>
    <row r="1771" spans="2:15" x14ac:dyDescent="0.2">
      <c r="B1771" s="1">
        <v>1756</v>
      </c>
      <c r="C1771" s="5">
        <f ca="1">_xlfn.NORM.S.INV(RAND())</f>
        <v>0.3065874366459847</v>
      </c>
      <c r="D1771" s="5">
        <f ca="1">S0*EXP((μ-0.5*σ*σ)*T+σ*SQRT(T)*$C1771)</f>
        <v>0.68489745525185242</v>
      </c>
      <c r="E1771" s="5">
        <f ca="1">MAX(0,CP*(D1771-K))</f>
        <v>0</v>
      </c>
      <c r="F1771" s="4">
        <f ca="1">(CP*(D1771-K)&gt;0)*1</f>
        <v>0</v>
      </c>
      <c r="H1771" s="4">
        <v>1756</v>
      </c>
      <c r="I1771" s="3">
        <v>0.6676797117403106</v>
      </c>
      <c r="J1771" s="128">
        <v>1.3313805281895527E-3</v>
      </c>
      <c r="K1771" s="128"/>
      <c r="L1771" s="128">
        <v>3.9199999999999999E-2</v>
      </c>
      <c r="O1771" s="2"/>
    </row>
    <row r="1772" spans="2:15" x14ac:dyDescent="0.2">
      <c r="B1772" s="1">
        <v>1757</v>
      </c>
      <c r="C1772" s="5">
        <f ca="1">_xlfn.NORM.S.INV(RAND())</f>
        <v>0.93306139187226467</v>
      </c>
      <c r="D1772" s="5">
        <f ca="1">S0*EXP((μ-0.5*σ*σ)*T+σ*SQRT(T)*$C1772)</f>
        <v>0.72853204243970027</v>
      </c>
      <c r="E1772" s="5">
        <f ca="1">MAX(0,CP*(D1772-K))</f>
        <v>0</v>
      </c>
      <c r="F1772" s="4">
        <f ca="1">(CP*(D1772-K)&gt;0)*1</f>
        <v>0</v>
      </c>
      <c r="H1772" s="4">
        <v>1757</v>
      </c>
      <c r="I1772" s="3">
        <v>0.66779479135866326</v>
      </c>
      <c r="J1772" s="128">
        <v>1.3272098197674182E-3</v>
      </c>
      <c r="K1772" s="128"/>
      <c r="L1772" s="128">
        <v>4.1799999999999997E-2</v>
      </c>
      <c r="O1772" s="2"/>
    </row>
    <row r="1773" spans="2:15" x14ac:dyDescent="0.2">
      <c r="B1773" s="1">
        <v>1758</v>
      </c>
      <c r="C1773" s="5">
        <f ca="1">_xlfn.NORM.S.INV(RAND())</f>
        <v>-0.24737771579473106</v>
      </c>
      <c r="D1773" s="5">
        <f ca="1">S0*EXP((μ-0.5*σ*σ)*T+σ*SQRT(T)*$C1773)</f>
        <v>0.64849552551612444</v>
      </c>
      <c r="E1773" s="5">
        <f ca="1">MAX(0,CP*(D1773-K))</f>
        <v>0</v>
      </c>
      <c r="F1773" s="4">
        <f ca="1">(CP*(D1773-K)&gt;0)*1</f>
        <v>0</v>
      </c>
      <c r="H1773" s="4">
        <v>1758</v>
      </c>
      <c r="I1773" s="3">
        <v>0.6678145093885075</v>
      </c>
      <c r="J1773" s="128">
        <v>1.3945328720986656E-3</v>
      </c>
      <c r="K1773" s="128"/>
      <c r="L1773" s="128">
        <v>4.48E-2</v>
      </c>
      <c r="O1773" s="2"/>
    </row>
    <row r="1774" spans="2:15" x14ac:dyDescent="0.2">
      <c r="B1774" s="1">
        <v>1759</v>
      </c>
      <c r="C1774" s="5">
        <f ca="1">_xlfn.NORM.S.INV(RAND())</f>
        <v>0.57578466644861093</v>
      </c>
      <c r="D1774" s="5">
        <f ca="1">S0*EXP((μ-0.5*σ*σ)*T+σ*SQRT(T)*$C1774)</f>
        <v>0.70331762289878619</v>
      </c>
      <c r="E1774" s="5">
        <f ca="1">MAX(0,CP*(D1774-K))</f>
        <v>0</v>
      </c>
      <c r="F1774" s="4">
        <f ca="1">(CP*(D1774-K)&gt;0)*1</f>
        <v>0</v>
      </c>
      <c r="H1774" s="4">
        <v>1759</v>
      </c>
      <c r="I1774" s="3">
        <v>0.66782796649550669</v>
      </c>
      <c r="J1774" s="128">
        <v>1.4824383213057318E-3</v>
      </c>
      <c r="K1774" s="128"/>
      <c r="L1774" s="128">
        <v>4.2599999999999999E-2</v>
      </c>
      <c r="O1774" s="2"/>
    </row>
    <row r="1775" spans="2:15" x14ac:dyDescent="0.2">
      <c r="B1775" s="1">
        <v>1760</v>
      </c>
      <c r="C1775" s="5">
        <f ca="1">_xlfn.NORM.S.INV(RAND())</f>
        <v>-0.36709159734481855</v>
      </c>
      <c r="D1775" s="5">
        <f ca="1">S0*EXP((μ-0.5*σ*σ)*T+σ*SQRT(T)*$C1775)</f>
        <v>0.64088678272968902</v>
      </c>
      <c r="E1775" s="5">
        <f ca="1">MAX(0,CP*(D1775-K))</f>
        <v>0</v>
      </c>
      <c r="F1775" s="4">
        <f ca="1">(CP*(D1775-K)&gt;0)*1</f>
        <v>0</v>
      </c>
      <c r="H1775" s="4">
        <v>1760</v>
      </c>
      <c r="I1775" s="3">
        <v>0.66781142619048883</v>
      </c>
      <c r="J1775" s="128">
        <v>1.4142492004684726E-3</v>
      </c>
      <c r="K1775" s="128"/>
      <c r="L1775" s="128">
        <v>4.2000000000000003E-2</v>
      </c>
      <c r="O1775" s="2"/>
    </row>
    <row r="1776" spans="2:15" x14ac:dyDescent="0.2">
      <c r="B1776" s="1">
        <v>1761</v>
      </c>
      <c r="C1776" s="5">
        <f ca="1">_xlfn.NORM.S.INV(RAND())</f>
        <v>1.1160215996460767</v>
      </c>
      <c r="D1776" s="5">
        <f ca="1">S0*EXP((μ-0.5*σ*σ)*T+σ*SQRT(T)*$C1776)</f>
        <v>0.74179223168254416</v>
      </c>
      <c r="E1776" s="5">
        <f ca="1">MAX(0,CP*(D1776-K))</f>
        <v>0</v>
      </c>
      <c r="F1776" s="4">
        <f ca="1">(CP*(D1776-K)&gt;0)*1</f>
        <v>0</v>
      </c>
      <c r="H1776" s="4">
        <v>1761</v>
      </c>
      <c r="I1776" s="3">
        <v>0.66769841599158619</v>
      </c>
      <c r="J1776" s="128">
        <v>1.3314418879872825E-3</v>
      </c>
      <c r="K1776" s="128"/>
      <c r="L1776" s="128">
        <v>4.0599999999999997E-2</v>
      </c>
      <c r="O1776" s="2"/>
    </row>
    <row r="1777" spans="2:15" x14ac:dyDescent="0.2">
      <c r="B1777" s="1">
        <v>1762</v>
      </c>
      <c r="C1777" s="5">
        <f ca="1">_xlfn.NORM.S.INV(RAND())</f>
        <v>-0.59426117609452167</v>
      </c>
      <c r="D1777" s="5">
        <f ca="1">S0*EXP((μ-0.5*σ*σ)*T+σ*SQRT(T)*$C1777)</f>
        <v>0.6266929710421606</v>
      </c>
      <c r="E1777" s="5">
        <f ca="1">MAX(0,CP*(D1777-K))</f>
        <v>0</v>
      </c>
      <c r="F1777" s="4">
        <f ca="1">(CP*(D1777-K)&gt;0)*1</f>
        <v>0</v>
      </c>
      <c r="H1777" s="4">
        <v>1762</v>
      </c>
      <c r="I1777" s="3">
        <v>0.66775491406103382</v>
      </c>
      <c r="J1777" s="128">
        <v>1.446636106121004E-3</v>
      </c>
      <c r="K1777" s="128"/>
      <c r="L1777" s="128">
        <v>4.3400000000000001E-2</v>
      </c>
      <c r="O1777" s="2"/>
    </row>
    <row r="1778" spans="2:15" x14ac:dyDescent="0.2">
      <c r="B1778" s="1">
        <v>1763</v>
      </c>
      <c r="C1778" s="5">
        <f ca="1">_xlfn.NORM.S.INV(RAND())</f>
        <v>-0.95137957503216408</v>
      </c>
      <c r="D1778" s="5">
        <f ca="1">S0*EXP((μ-0.5*σ*σ)*T+σ*SQRT(T)*$C1778)</f>
        <v>0.60501263492863167</v>
      </c>
      <c r="E1778" s="5">
        <f ca="1">MAX(0,CP*(D1778-K))</f>
        <v>0</v>
      </c>
      <c r="F1778" s="4">
        <f ca="1">(CP*(D1778-K)&gt;0)*1</f>
        <v>0</v>
      </c>
      <c r="H1778" s="4">
        <v>1763</v>
      </c>
      <c r="I1778" s="3">
        <v>0.66777407967426561</v>
      </c>
      <c r="J1778" s="128">
        <v>1.4011463985501948E-3</v>
      </c>
      <c r="K1778" s="128"/>
      <c r="L1778" s="128">
        <v>4.2599999999999999E-2</v>
      </c>
      <c r="O1778" s="2"/>
    </row>
    <row r="1779" spans="2:15" x14ac:dyDescent="0.2">
      <c r="B1779" s="1">
        <v>1764</v>
      </c>
      <c r="C1779" s="5">
        <f ca="1">_xlfn.NORM.S.INV(RAND())</f>
        <v>-1.4902575975374458E-2</v>
      </c>
      <c r="D1779" s="5">
        <f ca="1">S0*EXP((μ-0.5*σ*σ)*T+σ*SQRT(T)*$C1779)</f>
        <v>0.66353011431396869</v>
      </c>
      <c r="E1779" s="5">
        <f ca="1">MAX(0,CP*(D1779-K))</f>
        <v>0</v>
      </c>
      <c r="F1779" s="4">
        <f ca="1">(CP*(D1779-K)&gt;0)*1</f>
        <v>0</v>
      </c>
      <c r="H1779" s="4">
        <v>1764</v>
      </c>
      <c r="I1779" s="3">
        <v>0.66782658304548481</v>
      </c>
      <c r="J1779" s="128">
        <v>1.5715629691186042E-3</v>
      </c>
      <c r="K1779" s="128"/>
      <c r="L1779" s="128">
        <v>4.4200000000000003E-2</v>
      </c>
      <c r="O1779" s="2"/>
    </row>
    <row r="1780" spans="2:15" x14ac:dyDescent="0.2">
      <c r="B1780" s="1">
        <v>1765</v>
      </c>
      <c r="C1780" s="5">
        <f ca="1">_xlfn.NORM.S.INV(RAND())</f>
        <v>-0.21407663923345702</v>
      </c>
      <c r="D1780" s="5">
        <f ca="1">S0*EXP((μ-0.5*σ*σ)*T+σ*SQRT(T)*$C1780)</f>
        <v>0.6506280797391133</v>
      </c>
      <c r="E1780" s="5">
        <f ca="1">MAX(0,CP*(D1780-K))</f>
        <v>0</v>
      </c>
      <c r="F1780" s="4">
        <f ca="1">(CP*(D1780-K)&gt;0)*1</f>
        <v>0</v>
      </c>
      <c r="H1780" s="4">
        <v>1765</v>
      </c>
      <c r="I1780" s="3">
        <v>0.66779154513050654</v>
      </c>
      <c r="J1780" s="128">
        <v>1.3763862377503468E-3</v>
      </c>
      <c r="K1780" s="128"/>
      <c r="L1780" s="128">
        <v>4.2999999999999997E-2</v>
      </c>
      <c r="O1780" s="2"/>
    </row>
    <row r="1781" spans="2:15" x14ac:dyDescent="0.2">
      <c r="B1781" s="1">
        <v>1766</v>
      </c>
      <c r="C1781" s="5">
        <f ca="1">_xlfn.NORM.S.INV(RAND())</f>
        <v>-0.74680917848956796</v>
      </c>
      <c r="D1781" s="5">
        <f ca="1">S0*EXP((μ-0.5*σ*σ)*T+σ*SQRT(T)*$C1781)</f>
        <v>0.61733845304419988</v>
      </c>
      <c r="E1781" s="5">
        <f ca="1">MAX(0,CP*(D1781-K))</f>
        <v>0</v>
      </c>
      <c r="F1781" s="4">
        <f ca="1">(CP*(D1781-K)&gt;0)*1</f>
        <v>0</v>
      </c>
      <c r="H1781" s="4">
        <v>1766</v>
      </c>
      <c r="I1781" s="3">
        <v>0.66780228270068287</v>
      </c>
      <c r="J1781" s="128">
        <v>1.4859723384750894E-3</v>
      </c>
      <c r="K1781" s="128"/>
      <c r="L1781" s="128">
        <v>4.1599999999999998E-2</v>
      </c>
      <c r="O1781" s="2"/>
    </row>
    <row r="1782" spans="2:15" x14ac:dyDescent="0.2">
      <c r="B1782" s="1">
        <v>1767</v>
      </c>
      <c r="C1782" s="5">
        <f ca="1">_xlfn.NORM.S.INV(RAND())</f>
        <v>1.0218775619860427</v>
      </c>
      <c r="D1782" s="5">
        <f ca="1">S0*EXP((μ-0.5*σ*σ)*T+σ*SQRT(T)*$C1782)</f>
        <v>0.73493919675179187</v>
      </c>
      <c r="E1782" s="5">
        <f ca="1">MAX(0,CP*(D1782-K))</f>
        <v>0</v>
      </c>
      <c r="F1782" s="4">
        <f ca="1">(CP*(D1782-K)&gt;0)*1</f>
        <v>0</v>
      </c>
      <c r="H1782" s="4">
        <v>1767</v>
      </c>
      <c r="I1782" s="3">
        <v>0.66763540912682107</v>
      </c>
      <c r="J1782" s="128">
        <v>1.2063301416967021E-3</v>
      </c>
      <c r="K1782" s="128"/>
      <c r="L1782" s="128">
        <v>3.8800000000000001E-2</v>
      </c>
      <c r="O1782" s="2"/>
    </row>
    <row r="1783" spans="2:15" x14ac:dyDescent="0.2">
      <c r="B1783" s="1">
        <v>1768</v>
      </c>
      <c r="C1783" s="5">
        <f ca="1">_xlfn.NORM.S.INV(RAND())</f>
        <v>0.43342042774274575</v>
      </c>
      <c r="D1783" s="5">
        <f ca="1">S0*EXP((μ-0.5*σ*σ)*T+σ*SQRT(T)*$C1783)</f>
        <v>0.69351527839703742</v>
      </c>
      <c r="E1783" s="5">
        <f ca="1">MAX(0,CP*(D1783-K))</f>
        <v>0</v>
      </c>
      <c r="F1783" s="4">
        <f ca="1">(CP*(D1783-K)&gt;0)*1</f>
        <v>0</v>
      </c>
      <c r="H1783" s="4">
        <v>1768</v>
      </c>
      <c r="I1783" s="3">
        <v>0.66759098163245145</v>
      </c>
      <c r="J1783" s="128">
        <v>1.2036081659375607E-3</v>
      </c>
      <c r="K1783" s="128"/>
      <c r="L1783" s="128">
        <v>3.8199999999999998E-2</v>
      </c>
      <c r="O1783" s="2"/>
    </row>
    <row r="1784" spans="2:15" x14ac:dyDescent="0.2">
      <c r="B1784" s="1">
        <v>1769</v>
      </c>
      <c r="C1784" s="5">
        <f ca="1">_xlfn.NORM.S.INV(RAND())</f>
        <v>-0.92731006342620614</v>
      </c>
      <c r="D1784" s="5">
        <f ca="1">S0*EXP((μ-0.5*σ*σ)*T+σ*SQRT(T)*$C1784)</f>
        <v>0.60645000575194552</v>
      </c>
      <c r="E1784" s="5">
        <f ca="1">MAX(0,CP*(D1784-K))</f>
        <v>0</v>
      </c>
      <c r="F1784" s="4">
        <f ca="1">(CP*(D1784-K)&gt;0)*1</f>
        <v>0</v>
      </c>
      <c r="H1784" s="4">
        <v>1769</v>
      </c>
      <c r="I1784" s="3">
        <v>0.6676305116053578</v>
      </c>
      <c r="J1784" s="128">
        <v>1.248062825698962E-3</v>
      </c>
      <c r="K1784" s="128"/>
      <c r="L1784" s="128">
        <v>3.8399999999999997E-2</v>
      </c>
      <c r="O1784" s="2"/>
    </row>
    <row r="1785" spans="2:15" x14ac:dyDescent="0.2">
      <c r="B1785" s="1">
        <v>1770</v>
      </c>
      <c r="C1785" s="5">
        <f ca="1">_xlfn.NORM.S.INV(RAND())</f>
        <v>0.14223475202717867</v>
      </c>
      <c r="D1785" s="5">
        <f ca="1">S0*EXP((μ-0.5*σ*σ)*T+σ*SQRT(T)*$C1785)</f>
        <v>0.67388940598410785</v>
      </c>
      <c r="E1785" s="5">
        <f ca="1">MAX(0,CP*(D1785-K))</f>
        <v>0</v>
      </c>
      <c r="F1785" s="4">
        <f ca="1">(CP*(D1785-K)&gt;0)*1</f>
        <v>0</v>
      </c>
      <c r="H1785" s="4">
        <v>1770</v>
      </c>
      <c r="I1785" s="3">
        <v>0.66770019032454919</v>
      </c>
      <c r="J1785" s="128">
        <v>1.3376458700256797E-3</v>
      </c>
      <c r="K1785" s="128"/>
      <c r="L1785" s="128">
        <v>3.9399999999999998E-2</v>
      </c>
      <c r="O1785" s="2"/>
    </row>
    <row r="1786" spans="2:15" x14ac:dyDescent="0.2">
      <c r="B1786" s="1">
        <v>1771</v>
      </c>
      <c r="C1786" s="5">
        <f ca="1">_xlfn.NORM.S.INV(RAND())</f>
        <v>5.8186803364092911E-2</v>
      </c>
      <c r="D1786" s="5">
        <f ca="1">S0*EXP((μ-0.5*σ*σ)*T+σ*SQRT(T)*$C1786)</f>
        <v>0.6683285786286759</v>
      </c>
      <c r="E1786" s="5">
        <f ca="1">MAX(0,CP*(D1786-K))</f>
        <v>0</v>
      </c>
      <c r="F1786" s="4">
        <f ca="1">(CP*(D1786-K)&gt;0)*1</f>
        <v>0</v>
      </c>
      <c r="H1786" s="4">
        <v>1771</v>
      </c>
      <c r="I1786" s="3">
        <v>0.66777018686628331</v>
      </c>
      <c r="J1786" s="128">
        <v>1.288506304261431E-3</v>
      </c>
      <c r="K1786" s="128"/>
      <c r="L1786" s="128">
        <v>4.1000000000000002E-2</v>
      </c>
      <c r="O1786" s="2"/>
    </row>
    <row r="1787" spans="2:15" x14ac:dyDescent="0.2">
      <c r="B1787" s="1">
        <v>1772</v>
      </c>
      <c r="C1787" s="5">
        <f ca="1">_xlfn.NORM.S.INV(RAND())</f>
        <v>2.1455855549450451</v>
      </c>
      <c r="D1787" s="5">
        <f ca="1">S0*EXP((μ-0.5*σ*σ)*T+σ*SQRT(T)*$C1787)</f>
        <v>0.82103956378271414</v>
      </c>
      <c r="E1787" s="5">
        <f ca="1">MAX(0,CP*(D1787-K))</f>
        <v>3.2839563782714132E-2</v>
      </c>
      <c r="F1787" s="4">
        <f ca="1">(CP*(D1787-K)&gt;0)*1</f>
        <v>1</v>
      </c>
      <c r="H1787" s="4">
        <v>1772</v>
      </c>
      <c r="I1787" s="3">
        <v>0.66777341355908493</v>
      </c>
      <c r="J1787" s="128">
        <v>1.4119136945238112E-3</v>
      </c>
      <c r="K1787" s="128"/>
      <c r="L1787" s="128">
        <v>4.2000000000000003E-2</v>
      </c>
      <c r="O1787" s="2"/>
    </row>
    <row r="1788" spans="2:15" x14ac:dyDescent="0.2">
      <c r="B1788" s="1">
        <v>1773</v>
      </c>
      <c r="C1788" s="5">
        <f ca="1">_xlfn.NORM.S.INV(RAND())</f>
        <v>0.58733037353604989</v>
      </c>
      <c r="D1788" s="5">
        <f ca="1">S0*EXP((μ-0.5*σ*σ)*T+σ*SQRT(T)*$C1788)</f>
        <v>0.70411863845303935</v>
      </c>
      <c r="E1788" s="5">
        <f ca="1">MAX(0,CP*(D1788-K))</f>
        <v>0</v>
      </c>
      <c r="F1788" s="4">
        <f ca="1">(CP*(D1788-K)&gt;0)*1</f>
        <v>0</v>
      </c>
      <c r="H1788" s="4">
        <v>1773</v>
      </c>
      <c r="I1788" s="3">
        <v>0.66771810398626408</v>
      </c>
      <c r="J1788" s="128">
        <v>1.3453195836541235E-3</v>
      </c>
      <c r="K1788" s="128"/>
      <c r="L1788" s="128">
        <v>3.9E-2</v>
      </c>
      <c r="O1788" s="2"/>
    </row>
    <row r="1789" spans="2:15" x14ac:dyDescent="0.2">
      <c r="B1789" s="1">
        <v>1774</v>
      </c>
      <c r="C1789" s="5">
        <f ca="1">_xlfn.NORM.S.INV(RAND())</f>
        <v>3.4029216732319219</v>
      </c>
      <c r="D1789" s="5">
        <f ca="1">S0*EXP((μ-0.5*σ*σ)*T+σ*SQRT(T)*$C1789)</f>
        <v>0.92939039740170493</v>
      </c>
      <c r="E1789" s="5">
        <f ca="1">MAX(0,CP*(D1789-K))</f>
        <v>0.14119039740170491</v>
      </c>
      <c r="F1789" s="4">
        <f ca="1">(CP*(D1789-K)&gt;0)*1</f>
        <v>1</v>
      </c>
      <c r="H1789" s="4">
        <v>1774</v>
      </c>
      <c r="I1789" s="3">
        <v>0.66773451500411252</v>
      </c>
      <c r="J1789" s="128">
        <v>1.3949725765945462E-3</v>
      </c>
      <c r="K1789" s="128"/>
      <c r="L1789" s="128">
        <v>4.2000000000000003E-2</v>
      </c>
      <c r="O1789" s="2"/>
    </row>
    <row r="1790" spans="2:15" x14ac:dyDescent="0.2">
      <c r="B1790" s="1">
        <v>1775</v>
      </c>
      <c r="C1790" s="5">
        <f ca="1">_xlfn.NORM.S.INV(RAND())</f>
        <v>-0.44815512712096861</v>
      </c>
      <c r="D1790" s="5">
        <f ca="1">S0*EXP((μ-0.5*σ*σ)*T+σ*SQRT(T)*$C1790)</f>
        <v>0.635785324982161</v>
      </c>
      <c r="E1790" s="5">
        <f ca="1">MAX(0,CP*(D1790-K))</f>
        <v>0</v>
      </c>
      <c r="F1790" s="4">
        <f ca="1">(CP*(D1790-K)&gt;0)*1</f>
        <v>0</v>
      </c>
      <c r="H1790" s="4">
        <v>1775</v>
      </c>
      <c r="I1790" s="3">
        <v>0.66786258545017696</v>
      </c>
      <c r="J1790" s="128">
        <v>1.4334608151547628E-3</v>
      </c>
      <c r="K1790" s="128"/>
      <c r="L1790" s="128">
        <v>4.4999999999999998E-2</v>
      </c>
      <c r="O1790" s="2"/>
    </row>
    <row r="1791" spans="2:15" x14ac:dyDescent="0.2">
      <c r="B1791" s="1">
        <v>1776</v>
      </c>
      <c r="C1791" s="5">
        <f ca="1">_xlfn.NORM.S.INV(RAND())</f>
        <v>-0.40578691950032125</v>
      </c>
      <c r="D1791" s="5">
        <f ca="1">S0*EXP((μ-0.5*σ*σ)*T+σ*SQRT(T)*$C1791)</f>
        <v>0.63844653804033924</v>
      </c>
      <c r="E1791" s="5">
        <f ca="1">MAX(0,CP*(D1791-K))</f>
        <v>0</v>
      </c>
      <c r="F1791" s="4">
        <f ca="1">(CP*(D1791-K)&gt;0)*1</f>
        <v>0</v>
      </c>
      <c r="H1791" s="4">
        <v>1776</v>
      </c>
      <c r="I1791" s="3">
        <v>0.667607351277135</v>
      </c>
      <c r="J1791" s="128">
        <v>1.1574256734141251E-3</v>
      </c>
      <c r="K1791" s="128"/>
      <c r="L1791" s="128">
        <v>3.7999999999999999E-2</v>
      </c>
      <c r="O1791" s="2"/>
    </row>
    <row r="1792" spans="2:15" x14ac:dyDescent="0.2">
      <c r="B1792" s="1">
        <v>1777</v>
      </c>
      <c r="C1792" s="5">
        <f ca="1">_xlfn.NORM.S.INV(RAND())</f>
        <v>0.5949219079515532</v>
      </c>
      <c r="D1792" s="5">
        <f ca="1">S0*EXP((μ-0.5*σ*σ)*T+σ*SQRT(T)*$C1792)</f>
        <v>0.7046458193393903</v>
      </c>
      <c r="E1792" s="5">
        <f ca="1">MAX(0,CP*(D1792-K))</f>
        <v>0</v>
      </c>
      <c r="F1792" s="4">
        <f ca="1">(CP*(D1792-K)&gt;0)*1</f>
        <v>0</v>
      </c>
      <c r="H1792" s="4">
        <v>1777</v>
      </c>
      <c r="I1792" s="3">
        <v>0.6676607783985844</v>
      </c>
      <c r="J1792" s="128">
        <v>1.3397325452164355E-3</v>
      </c>
      <c r="K1792" s="128"/>
      <c r="L1792" s="128">
        <v>4.2000000000000003E-2</v>
      </c>
      <c r="O1792" s="2"/>
    </row>
    <row r="1793" spans="2:15" x14ac:dyDescent="0.2">
      <c r="B1793" s="1">
        <v>1778</v>
      </c>
      <c r="C1793" s="5">
        <f ca="1">_xlfn.NORM.S.INV(RAND())</f>
        <v>-2.2972552630011629</v>
      </c>
      <c r="D1793" s="5">
        <f ca="1">S0*EXP((μ-0.5*σ*σ)*T+σ*SQRT(T)*$C1793)</f>
        <v>0.52983353024285074</v>
      </c>
      <c r="E1793" s="5">
        <f ca="1">MAX(0,CP*(D1793-K))</f>
        <v>0</v>
      </c>
      <c r="F1793" s="4">
        <f ca="1">(CP*(D1793-K)&gt;0)*1</f>
        <v>0</v>
      </c>
      <c r="H1793" s="4">
        <v>1778</v>
      </c>
      <c r="I1793" s="3">
        <v>0.66780804435417107</v>
      </c>
      <c r="J1793" s="128">
        <v>1.3900162482017914E-3</v>
      </c>
      <c r="K1793" s="128"/>
      <c r="L1793" s="128">
        <v>4.3200000000000002E-2</v>
      </c>
      <c r="O1793" s="2"/>
    </row>
    <row r="1794" spans="2:15" x14ac:dyDescent="0.2">
      <c r="B1794" s="1">
        <v>1779</v>
      </c>
      <c r="C1794" s="5">
        <f ca="1">_xlfn.NORM.S.INV(RAND())</f>
        <v>-1.0387837247164438</v>
      </c>
      <c r="D1794" s="5">
        <f ca="1">S0*EXP((μ-0.5*σ*σ)*T+σ*SQRT(T)*$C1794)</f>
        <v>0.5998216661959721</v>
      </c>
      <c r="E1794" s="5">
        <f ca="1">MAX(0,CP*(D1794-K))</f>
        <v>0</v>
      </c>
      <c r="F1794" s="4">
        <f ca="1">(CP*(D1794-K)&gt;0)*1</f>
        <v>0</v>
      </c>
      <c r="H1794" s="4">
        <v>1779</v>
      </c>
      <c r="I1794" s="3">
        <v>0.66778467277354681</v>
      </c>
      <c r="J1794" s="128">
        <v>1.4247449152463365E-3</v>
      </c>
      <c r="K1794" s="128"/>
      <c r="L1794" s="128">
        <v>4.5400000000000003E-2</v>
      </c>
      <c r="O1794" s="2"/>
    </row>
    <row r="1795" spans="2:15" x14ac:dyDescent="0.2">
      <c r="B1795" s="1">
        <v>1780</v>
      </c>
      <c r="C1795" s="5">
        <f ca="1">_xlfn.NORM.S.INV(RAND())</f>
        <v>-0.63515628101080357</v>
      </c>
      <c r="D1795" s="5">
        <f ca="1">S0*EXP((μ-0.5*σ*σ)*T+σ*SQRT(T)*$C1795)</f>
        <v>0.62417139143921663</v>
      </c>
      <c r="E1795" s="5">
        <f ca="1">MAX(0,CP*(D1795-K))</f>
        <v>0</v>
      </c>
      <c r="F1795" s="4">
        <f ca="1">(CP*(D1795-K)&gt;0)*1</f>
        <v>0</v>
      </c>
      <c r="H1795" s="4">
        <v>1780</v>
      </c>
      <c r="I1795" s="3">
        <v>0.66769751516811437</v>
      </c>
      <c r="J1795" s="128">
        <v>1.3400400497338226E-3</v>
      </c>
      <c r="K1795" s="128"/>
      <c r="L1795" s="128">
        <v>4.0800000000000003E-2</v>
      </c>
      <c r="O1795" s="2"/>
    </row>
    <row r="1796" spans="2:15" x14ac:dyDescent="0.2">
      <c r="B1796" s="1">
        <v>1781</v>
      </c>
      <c r="C1796" s="5">
        <f ca="1">_xlfn.NORM.S.INV(RAND())</f>
        <v>-1.0042316591561873</v>
      </c>
      <c r="D1796" s="5">
        <f ca="1">S0*EXP((μ-0.5*σ*σ)*T+σ*SQRT(T)*$C1796)</f>
        <v>0.60186838314029401</v>
      </c>
      <c r="E1796" s="5">
        <f ca="1">MAX(0,CP*(D1796-K))</f>
        <v>0</v>
      </c>
      <c r="F1796" s="4">
        <f ca="1">(CP*(D1796-K)&gt;0)*1</f>
        <v>0</v>
      </c>
      <c r="H1796" s="4">
        <v>1781</v>
      </c>
      <c r="I1796" s="3">
        <v>0.66772954832085185</v>
      </c>
      <c r="J1796" s="128">
        <v>1.401938628145676E-3</v>
      </c>
      <c r="K1796" s="128"/>
      <c r="L1796" s="128">
        <v>4.0599999999999997E-2</v>
      </c>
      <c r="O1796" s="2"/>
    </row>
    <row r="1797" spans="2:15" x14ac:dyDescent="0.2">
      <c r="B1797" s="1">
        <v>1782</v>
      </c>
      <c r="C1797" s="5">
        <f ca="1">_xlfn.NORM.S.INV(RAND())</f>
        <v>-1.3786335868669146</v>
      </c>
      <c r="D1797" s="5">
        <f ca="1">S0*EXP((μ-0.5*σ*σ)*T+σ*SQRT(T)*$C1797)</f>
        <v>0.58005762382509851</v>
      </c>
      <c r="E1797" s="5">
        <f ca="1">MAX(0,CP*(D1797-K))</f>
        <v>0</v>
      </c>
      <c r="F1797" s="4">
        <f ca="1">(CP*(D1797-K)&gt;0)*1</f>
        <v>0</v>
      </c>
      <c r="H1797" s="4">
        <v>1782</v>
      </c>
      <c r="I1797" s="3">
        <v>0.66768062768749747</v>
      </c>
      <c r="J1797" s="128">
        <v>1.265089511497253E-3</v>
      </c>
      <c r="K1797" s="128"/>
      <c r="L1797" s="128">
        <v>0.04</v>
      </c>
      <c r="O1797" s="2"/>
    </row>
    <row r="1798" spans="2:15" x14ac:dyDescent="0.2">
      <c r="B1798" s="1">
        <v>1783</v>
      </c>
      <c r="C1798" s="5">
        <f ca="1">_xlfn.NORM.S.INV(RAND())</f>
        <v>-0.90070866612185285</v>
      </c>
      <c r="D1798" s="5">
        <f ca="1">S0*EXP((μ-0.5*σ*σ)*T+σ*SQRT(T)*$C1798)</f>
        <v>0.60804254733756669</v>
      </c>
      <c r="E1798" s="5">
        <f ca="1">MAX(0,CP*(D1798-K))</f>
        <v>0</v>
      </c>
      <c r="F1798" s="4">
        <f ca="1">(CP*(D1798-K)&gt;0)*1</f>
        <v>0</v>
      </c>
      <c r="H1798" s="4">
        <v>1783</v>
      </c>
      <c r="I1798" s="3">
        <v>0.66778607468990803</v>
      </c>
      <c r="J1798" s="128">
        <v>1.4363931884820848E-3</v>
      </c>
      <c r="K1798" s="128"/>
      <c r="L1798" s="128">
        <v>4.3200000000000002E-2</v>
      </c>
      <c r="O1798" s="2"/>
    </row>
    <row r="1799" spans="2:15" x14ac:dyDescent="0.2">
      <c r="B1799" s="1">
        <v>1784</v>
      </c>
      <c r="C1799" s="5">
        <f ca="1">_xlfn.NORM.S.INV(RAND())</f>
        <v>0.90149455387344724</v>
      </c>
      <c r="D1799" s="5">
        <f ca="1">S0*EXP((μ-0.5*σ*σ)*T+σ*SQRT(T)*$C1799)</f>
        <v>0.72626830604982218</v>
      </c>
      <c r="E1799" s="5">
        <f ca="1">MAX(0,CP*(D1799-K))</f>
        <v>0</v>
      </c>
      <c r="F1799" s="4">
        <f ca="1">(CP*(D1799-K)&gt;0)*1</f>
        <v>0</v>
      </c>
      <c r="H1799" s="4">
        <v>1784</v>
      </c>
      <c r="I1799" s="3">
        <v>0.66774785646848334</v>
      </c>
      <c r="J1799" s="128">
        <v>1.2905417740957281E-3</v>
      </c>
      <c r="K1799" s="128"/>
      <c r="L1799" s="128">
        <v>3.9199999999999999E-2</v>
      </c>
      <c r="O1799" s="2"/>
    </row>
    <row r="1800" spans="2:15" x14ac:dyDescent="0.2">
      <c r="B1800" s="1">
        <v>1785</v>
      </c>
      <c r="C1800" s="5">
        <f ca="1">_xlfn.NORM.S.INV(RAND())</f>
        <v>1.94461958178455</v>
      </c>
      <c r="D1800" s="5">
        <f ca="1">S0*EXP((μ-0.5*σ*σ)*T+σ*SQRT(T)*$C1800)</f>
        <v>0.80493261934682014</v>
      </c>
      <c r="E1800" s="5">
        <f ca="1">MAX(0,CP*(D1800-K))</f>
        <v>1.6732619346820132E-2</v>
      </c>
      <c r="F1800" s="4">
        <f ca="1">(CP*(D1800-K)&gt;0)*1</f>
        <v>1</v>
      </c>
      <c r="H1800" s="4">
        <v>1785</v>
      </c>
      <c r="I1800" s="3">
        <v>0.66783150882259656</v>
      </c>
      <c r="J1800" s="128">
        <v>1.4840043944917818E-3</v>
      </c>
      <c r="K1800" s="128"/>
      <c r="L1800" s="128">
        <v>4.6399999999999997E-2</v>
      </c>
      <c r="O1800" s="2"/>
    </row>
    <row r="1801" spans="2:15" x14ac:dyDescent="0.2">
      <c r="B1801" s="1">
        <v>1786</v>
      </c>
      <c r="C1801" s="5">
        <f ca="1">_xlfn.NORM.S.INV(RAND())</f>
        <v>0.64554614082613948</v>
      </c>
      <c r="D1801" s="5">
        <f ca="1">S0*EXP((μ-0.5*σ*σ)*T+σ*SQRT(T)*$C1801)</f>
        <v>0.70817143745955069</v>
      </c>
      <c r="E1801" s="5">
        <f ca="1">MAX(0,CP*(D1801-K))</f>
        <v>0</v>
      </c>
      <c r="F1801" s="4">
        <f ca="1">(CP*(D1801-K)&gt;0)*1</f>
        <v>0</v>
      </c>
      <c r="H1801" s="4">
        <v>1786</v>
      </c>
      <c r="I1801" s="3">
        <v>0.66785136652575461</v>
      </c>
      <c r="J1801" s="128">
        <v>1.5304361276862605E-3</v>
      </c>
      <c r="K1801" s="128"/>
      <c r="L1801" s="128">
        <v>4.58E-2</v>
      </c>
      <c r="O1801" s="2"/>
    </row>
    <row r="1802" spans="2:15" x14ac:dyDescent="0.2">
      <c r="B1802" s="1">
        <v>1787</v>
      </c>
      <c r="C1802" s="5">
        <f ca="1">_xlfn.NORM.S.INV(RAND())</f>
        <v>-0.5657332287589012</v>
      </c>
      <c r="D1802" s="5">
        <f ca="1">S0*EXP((μ-0.5*σ*σ)*T+σ*SQRT(T)*$C1802)</f>
        <v>0.62845802480228941</v>
      </c>
      <c r="E1802" s="5">
        <f ca="1">MAX(0,CP*(D1802-K))</f>
        <v>0</v>
      </c>
      <c r="F1802" s="4">
        <f ca="1">(CP*(D1802-K)&gt;0)*1</f>
        <v>0</v>
      </c>
      <c r="H1802" s="4">
        <v>1787</v>
      </c>
      <c r="I1802" s="3">
        <v>0.66773061738487072</v>
      </c>
      <c r="J1802" s="128">
        <v>1.4725979937379404E-3</v>
      </c>
      <c r="K1802" s="128"/>
      <c r="L1802" s="128">
        <v>4.1599999999999998E-2</v>
      </c>
      <c r="O1802" s="2"/>
    </row>
    <row r="1803" spans="2:15" x14ac:dyDescent="0.2">
      <c r="B1803" s="1">
        <v>1788</v>
      </c>
      <c r="C1803" s="5">
        <f ca="1">_xlfn.NORM.S.INV(RAND())</f>
        <v>-1.1941085135223601</v>
      </c>
      <c r="D1803" s="5">
        <f ca="1">S0*EXP((μ-0.5*σ*σ)*T+σ*SQRT(T)*$C1803)</f>
        <v>0.59070651888303138</v>
      </c>
      <c r="E1803" s="5">
        <f ca="1">MAX(0,CP*(D1803-K))</f>
        <v>0</v>
      </c>
      <c r="F1803" s="4">
        <f ca="1">(CP*(D1803-K)&gt;0)*1</f>
        <v>0</v>
      </c>
      <c r="H1803" s="4">
        <v>1788</v>
      </c>
      <c r="I1803" s="3">
        <v>0.66774199270797396</v>
      </c>
      <c r="J1803" s="128">
        <v>1.3717989202127927E-3</v>
      </c>
      <c r="K1803" s="128"/>
      <c r="L1803" s="128">
        <v>3.9399999999999998E-2</v>
      </c>
      <c r="O1803" s="2"/>
    </row>
    <row r="1804" spans="2:15" x14ac:dyDescent="0.2">
      <c r="B1804" s="1">
        <v>1789</v>
      </c>
      <c r="C1804" s="5">
        <f ca="1">_xlfn.NORM.S.INV(RAND())</f>
        <v>-0.52468261642762226</v>
      </c>
      <c r="D1804" s="5">
        <f ca="1">S0*EXP((μ-0.5*σ*σ)*T+σ*SQRT(T)*$C1804)</f>
        <v>0.63100659584399099</v>
      </c>
      <c r="E1804" s="5">
        <f ca="1">MAX(0,CP*(D1804-K))</f>
        <v>0</v>
      </c>
      <c r="F1804" s="4">
        <f ca="1">(CP*(D1804-K)&gt;0)*1</f>
        <v>0</v>
      </c>
      <c r="H1804" s="4">
        <v>1789</v>
      </c>
      <c r="I1804" s="3">
        <v>0.66772584810632984</v>
      </c>
      <c r="J1804" s="128">
        <v>1.2680879902971884E-3</v>
      </c>
      <c r="K1804" s="128"/>
      <c r="L1804" s="128">
        <v>4.2200000000000001E-2</v>
      </c>
      <c r="O1804" s="2"/>
    </row>
    <row r="1805" spans="2:15" x14ac:dyDescent="0.2">
      <c r="B1805" s="1">
        <v>1790</v>
      </c>
      <c r="C1805" s="5">
        <f ca="1">_xlfn.NORM.S.INV(RAND())</f>
        <v>0.73433104981046493</v>
      </c>
      <c r="D1805" s="5">
        <f ca="1">S0*EXP((μ-0.5*σ*σ)*T+σ*SQRT(T)*$C1805)</f>
        <v>0.71439732647162235</v>
      </c>
      <c r="E1805" s="5">
        <f ca="1">MAX(0,CP*(D1805-K))</f>
        <v>0</v>
      </c>
      <c r="F1805" s="4">
        <f ca="1">(CP*(D1805-K)&gt;0)*1</f>
        <v>0</v>
      </c>
      <c r="H1805" s="4">
        <v>1790</v>
      </c>
      <c r="I1805" s="3">
        <v>0.66782746752215116</v>
      </c>
      <c r="J1805" s="128">
        <v>1.4311548406291837E-3</v>
      </c>
      <c r="K1805" s="128"/>
      <c r="L1805" s="128">
        <v>4.3799999999999999E-2</v>
      </c>
      <c r="O1805" s="2"/>
    </row>
    <row r="1806" spans="2:15" x14ac:dyDescent="0.2">
      <c r="B1806" s="1">
        <v>1791</v>
      </c>
      <c r="C1806" s="5">
        <f ca="1">_xlfn.NORM.S.INV(RAND())</f>
        <v>0.92925238316564529</v>
      </c>
      <c r="D1806" s="5">
        <f ca="1">S0*EXP((μ-0.5*σ*σ)*T+σ*SQRT(T)*$C1806)</f>
        <v>0.72825851506134109</v>
      </c>
      <c r="E1806" s="5">
        <f ca="1">MAX(0,CP*(D1806-K))</f>
        <v>0</v>
      </c>
      <c r="F1806" s="4">
        <f ca="1">(CP*(D1806-K)&gt;0)*1</f>
        <v>0</v>
      </c>
      <c r="H1806" s="4">
        <v>1791</v>
      </c>
      <c r="I1806" s="3">
        <v>0.66784050246275128</v>
      </c>
      <c r="J1806" s="128">
        <v>1.5259391975394306E-3</v>
      </c>
      <c r="K1806" s="128"/>
      <c r="L1806" s="128">
        <v>4.5400000000000003E-2</v>
      </c>
      <c r="O1806" s="2"/>
    </row>
    <row r="1807" spans="2:15" x14ac:dyDescent="0.2">
      <c r="B1807" s="1">
        <v>1792</v>
      </c>
      <c r="C1807" s="5">
        <f ca="1">_xlfn.NORM.S.INV(RAND())</f>
        <v>-1.5651650091833651</v>
      </c>
      <c r="D1807" s="5">
        <f ca="1">S0*EXP((μ-0.5*σ*σ)*T+σ*SQRT(T)*$C1807)</f>
        <v>0.5694880441490292</v>
      </c>
      <c r="E1807" s="5">
        <f ca="1">MAX(0,CP*(D1807-K))</f>
        <v>0</v>
      </c>
      <c r="F1807" s="4">
        <f ca="1">(CP*(D1807-K)&gt;0)*1</f>
        <v>0</v>
      </c>
      <c r="H1807" s="4">
        <v>1792</v>
      </c>
      <c r="I1807" s="3">
        <v>0.66767272494206131</v>
      </c>
      <c r="J1807" s="128">
        <v>1.2899458975606359E-3</v>
      </c>
      <c r="K1807" s="128"/>
      <c r="L1807" s="128">
        <v>4.3799999999999999E-2</v>
      </c>
      <c r="O1807" s="2"/>
    </row>
    <row r="1808" spans="2:15" x14ac:dyDescent="0.2">
      <c r="B1808" s="1">
        <v>1793</v>
      </c>
      <c r="C1808" s="5">
        <f ca="1">_xlfn.NORM.S.INV(RAND())</f>
        <v>-1.1532004786409298</v>
      </c>
      <c r="D1808" s="5">
        <f ca="1">S0*EXP((μ-0.5*σ*σ)*T+σ*SQRT(T)*$C1808)</f>
        <v>0.59309366034031263</v>
      </c>
      <c r="E1808" s="5">
        <f ca="1">MAX(0,CP*(D1808-K))</f>
        <v>0</v>
      </c>
      <c r="F1808" s="4">
        <f ca="1">(CP*(D1808-K)&gt;0)*1</f>
        <v>0</v>
      </c>
      <c r="H1808" s="4">
        <v>1793</v>
      </c>
      <c r="I1808" s="3">
        <v>0.66769042909202292</v>
      </c>
      <c r="J1808" s="128">
        <v>1.2268664551798808E-3</v>
      </c>
      <c r="K1808" s="128"/>
      <c r="L1808" s="128">
        <v>4.1200000000000001E-2</v>
      </c>
      <c r="O1808" s="2"/>
    </row>
    <row r="1809" spans="2:15" x14ac:dyDescent="0.2">
      <c r="B1809" s="1">
        <v>1794</v>
      </c>
      <c r="C1809" s="5">
        <f ca="1">_xlfn.NORM.S.INV(RAND())</f>
        <v>-1.966503536286643</v>
      </c>
      <c r="D1809" s="5">
        <f ca="1">S0*EXP((μ-0.5*σ*σ)*T+σ*SQRT(T)*$C1809)</f>
        <v>0.54739509672491515</v>
      </c>
      <c r="E1809" s="5">
        <f ca="1">MAX(0,CP*(D1809-K))</f>
        <v>0</v>
      </c>
      <c r="F1809" s="4">
        <f ca="1">(CP*(D1809-K)&gt;0)*1</f>
        <v>0</v>
      </c>
      <c r="H1809" s="4">
        <v>1794</v>
      </c>
      <c r="I1809" s="3">
        <v>0.66772381688927507</v>
      </c>
      <c r="J1809" s="128">
        <v>1.4057289870213702E-3</v>
      </c>
      <c r="K1809" s="128"/>
      <c r="L1809" s="128">
        <v>4.1399999999999999E-2</v>
      </c>
      <c r="O1809" s="2"/>
    </row>
    <row r="1810" spans="2:15" x14ac:dyDescent="0.2">
      <c r="B1810" s="1">
        <v>1795</v>
      </c>
      <c r="C1810" s="5">
        <f ca="1">_xlfn.NORM.S.INV(RAND())</f>
        <v>-0.72042659667846021</v>
      </c>
      <c r="D1810" s="5">
        <f ca="1">S0*EXP((μ-0.5*σ*σ)*T+σ*SQRT(T)*$C1810)</f>
        <v>0.61894623542137461</v>
      </c>
      <c r="E1810" s="5">
        <f ca="1">MAX(0,CP*(D1810-K))</f>
        <v>0</v>
      </c>
      <c r="F1810" s="4">
        <f ca="1">(CP*(D1810-K)&gt;0)*1</f>
        <v>0</v>
      </c>
      <c r="H1810" s="4">
        <v>1795</v>
      </c>
      <c r="I1810" s="3">
        <v>0.66774147720345534</v>
      </c>
      <c r="J1810" s="128">
        <v>1.3364146829967004E-3</v>
      </c>
      <c r="K1810" s="128"/>
      <c r="L1810" s="128">
        <v>0.04</v>
      </c>
      <c r="O1810" s="2"/>
    </row>
    <row r="1811" spans="2:15" x14ac:dyDescent="0.2">
      <c r="B1811" s="1">
        <v>1796</v>
      </c>
      <c r="C1811" s="5">
        <f ca="1">_xlfn.NORM.S.INV(RAND())</f>
        <v>0.25783780354997299</v>
      </c>
      <c r="D1811" s="5">
        <f ca="1">S0*EXP((μ-0.5*σ*σ)*T+σ*SQRT(T)*$C1811)</f>
        <v>0.68161366499065112</v>
      </c>
      <c r="E1811" s="5">
        <f ca="1">MAX(0,CP*(D1811-K))</f>
        <v>0</v>
      </c>
      <c r="F1811" s="4">
        <f ca="1">(CP*(D1811-K)&gt;0)*1</f>
        <v>0</v>
      </c>
      <c r="H1811" s="4">
        <v>1796</v>
      </c>
      <c r="I1811" s="3">
        <v>0.66760227574646169</v>
      </c>
      <c r="J1811" s="128">
        <v>1.125504489065331E-3</v>
      </c>
      <c r="K1811" s="128"/>
      <c r="L1811" s="128">
        <v>3.5000000000000003E-2</v>
      </c>
      <c r="O1811" s="2"/>
    </row>
    <row r="1812" spans="2:15" x14ac:dyDescent="0.2">
      <c r="B1812" s="1">
        <v>1797</v>
      </c>
      <c r="C1812" s="5">
        <f ca="1">_xlfn.NORM.S.INV(RAND())</f>
        <v>-1.2337416703829447</v>
      </c>
      <c r="D1812" s="5">
        <f ca="1">S0*EXP((μ-0.5*σ*σ)*T+σ*SQRT(T)*$C1812)</f>
        <v>0.58840293537787725</v>
      </c>
      <c r="E1812" s="5">
        <f ca="1">MAX(0,CP*(D1812-K))</f>
        <v>0</v>
      </c>
      <c r="F1812" s="4">
        <f ca="1">(CP*(D1812-K)&gt;0)*1</f>
        <v>0</v>
      </c>
      <c r="H1812" s="4">
        <v>1797</v>
      </c>
      <c r="I1812" s="3">
        <v>0.6676695791809667</v>
      </c>
      <c r="J1812" s="128">
        <v>1.3335171305233712E-3</v>
      </c>
      <c r="K1812" s="128"/>
      <c r="L1812" s="128">
        <v>0.04</v>
      </c>
      <c r="O1812" s="2"/>
    </row>
    <row r="1813" spans="2:15" x14ac:dyDescent="0.2">
      <c r="B1813" s="1">
        <v>1798</v>
      </c>
      <c r="C1813" s="5">
        <f ca="1">_xlfn.NORM.S.INV(RAND())</f>
        <v>-0.22063436557219443</v>
      </c>
      <c r="D1813" s="5">
        <f ca="1">S0*EXP((μ-0.5*σ*σ)*T+σ*SQRT(T)*$C1813)</f>
        <v>0.65020757835269916</v>
      </c>
      <c r="E1813" s="5">
        <f ca="1">MAX(0,CP*(D1813-K))</f>
        <v>0</v>
      </c>
      <c r="F1813" s="4">
        <f ca="1">(CP*(D1813-K)&gt;0)*1</f>
        <v>0</v>
      </c>
      <c r="H1813" s="4">
        <v>1798</v>
      </c>
      <c r="I1813" s="3">
        <v>0.66779105438206587</v>
      </c>
      <c r="J1813" s="128">
        <v>1.4102842565223385E-3</v>
      </c>
      <c r="K1813" s="128"/>
      <c r="L1813" s="128">
        <v>4.2200000000000001E-2</v>
      </c>
      <c r="O1813" s="2"/>
    </row>
    <row r="1814" spans="2:15" x14ac:dyDescent="0.2">
      <c r="B1814" s="1">
        <v>1799</v>
      </c>
      <c r="C1814" s="5">
        <f ca="1">_xlfn.NORM.S.INV(RAND())</f>
        <v>-0.19740986627588733</v>
      </c>
      <c r="D1814" s="5">
        <f ca="1">S0*EXP((μ-0.5*σ*σ)*T+σ*SQRT(T)*$C1814)</f>
        <v>0.6516980282866438</v>
      </c>
      <c r="E1814" s="5">
        <f ca="1">MAX(0,CP*(D1814-K))</f>
        <v>0</v>
      </c>
      <c r="F1814" s="4">
        <f ca="1">(CP*(D1814-K)&gt;0)*1</f>
        <v>0</v>
      </c>
      <c r="H1814" s="4">
        <v>1799</v>
      </c>
      <c r="I1814" s="3">
        <v>0.66754176271475074</v>
      </c>
      <c r="J1814" s="128">
        <v>1.0559159587489157E-3</v>
      </c>
      <c r="K1814" s="128"/>
      <c r="L1814" s="128">
        <v>3.4799999999999998E-2</v>
      </c>
      <c r="O1814" s="2"/>
    </row>
    <row r="1815" spans="2:15" x14ac:dyDescent="0.2">
      <c r="B1815" s="1">
        <v>1800</v>
      </c>
      <c r="C1815" s="5">
        <f ca="1">_xlfn.NORM.S.INV(RAND())</f>
        <v>-0.35280112860562196</v>
      </c>
      <c r="D1815" s="5">
        <f ca="1">S0*EXP((μ-0.5*σ*σ)*T+σ*SQRT(T)*$C1815)</f>
        <v>0.64179033956587805</v>
      </c>
      <c r="E1815" s="5">
        <f ca="1">MAX(0,CP*(D1815-K))</f>
        <v>0</v>
      </c>
      <c r="F1815" s="4">
        <f ca="1">(CP*(D1815-K)&gt;0)*1</f>
        <v>0</v>
      </c>
      <c r="H1815" s="4">
        <v>1800</v>
      </c>
      <c r="I1815" s="3">
        <v>0.66772423342857168</v>
      </c>
      <c r="J1815" s="128">
        <v>1.3992697698897005E-3</v>
      </c>
      <c r="K1815" s="128"/>
      <c r="L1815" s="128">
        <v>3.9E-2</v>
      </c>
      <c r="O1815" s="2"/>
    </row>
    <row r="1816" spans="2:15" x14ac:dyDescent="0.2">
      <c r="B1816" s="1">
        <v>1801</v>
      </c>
      <c r="C1816" s="5">
        <f ca="1">_xlfn.NORM.S.INV(RAND())</f>
        <v>0.69036480276152079</v>
      </c>
      <c r="D1816" s="5">
        <f ca="1">S0*EXP((μ-0.5*σ*σ)*T+σ*SQRT(T)*$C1816)</f>
        <v>0.71130745761003844</v>
      </c>
      <c r="E1816" s="5">
        <f ca="1">MAX(0,CP*(D1816-K))</f>
        <v>0</v>
      </c>
      <c r="F1816" s="4">
        <f ca="1">(CP*(D1816-K)&gt;0)*1</f>
        <v>0</v>
      </c>
      <c r="H1816" s="4">
        <v>1801</v>
      </c>
      <c r="I1816" s="3">
        <v>0.66789122833207115</v>
      </c>
      <c r="J1816" s="128">
        <v>1.5294118555792533E-3</v>
      </c>
      <c r="K1816" s="128"/>
      <c r="L1816" s="128">
        <v>4.4600000000000001E-2</v>
      </c>
      <c r="O1816" s="2"/>
    </row>
    <row r="1817" spans="2:15" x14ac:dyDescent="0.2">
      <c r="B1817" s="1">
        <v>1802</v>
      </c>
      <c r="C1817" s="5">
        <f ca="1">_xlfn.NORM.S.INV(RAND())</f>
        <v>0.36576340690813686</v>
      </c>
      <c r="D1817" s="5">
        <f ca="1">S0*EXP((μ-0.5*σ*σ)*T+σ*SQRT(T)*$C1817)</f>
        <v>0.68890483146024795</v>
      </c>
      <c r="E1817" s="5">
        <f ca="1">MAX(0,CP*(D1817-K))</f>
        <v>0</v>
      </c>
      <c r="F1817" s="4">
        <f ca="1">(CP*(D1817-K)&gt;0)*1</f>
        <v>0</v>
      </c>
      <c r="H1817" s="4">
        <v>1802</v>
      </c>
      <c r="I1817" s="3">
        <v>0.66799645781507411</v>
      </c>
      <c r="J1817" s="128">
        <v>1.6743925270020789E-3</v>
      </c>
      <c r="K1817" s="128"/>
      <c r="L1817" s="128">
        <v>4.7199999999999999E-2</v>
      </c>
      <c r="O1817" s="2"/>
    </row>
    <row r="1818" spans="2:15" x14ac:dyDescent="0.2">
      <c r="B1818" s="1">
        <v>1803</v>
      </c>
      <c r="C1818" s="5">
        <f ca="1">_xlfn.NORM.S.INV(RAND())</f>
        <v>-0.30473812259666894</v>
      </c>
      <c r="D1818" s="5">
        <f ca="1">S0*EXP((μ-0.5*σ*σ)*T+σ*SQRT(T)*$C1818)</f>
        <v>0.64483862172757378</v>
      </c>
      <c r="E1818" s="5">
        <f ca="1">MAX(0,CP*(D1818-K))</f>
        <v>0</v>
      </c>
      <c r="F1818" s="4">
        <f ca="1">(CP*(D1818-K)&gt;0)*1</f>
        <v>0</v>
      </c>
      <c r="H1818" s="4">
        <v>1803</v>
      </c>
      <c r="I1818" s="3">
        <v>0.66777302877132039</v>
      </c>
      <c r="J1818" s="128">
        <v>1.362209118761693E-3</v>
      </c>
      <c r="K1818" s="128"/>
      <c r="L1818" s="128">
        <v>0.04</v>
      </c>
      <c r="O1818" s="2"/>
    </row>
    <row r="1819" spans="2:15" x14ac:dyDescent="0.2">
      <c r="B1819" s="1">
        <v>1804</v>
      </c>
      <c r="C1819" s="5">
        <f ca="1">_xlfn.NORM.S.INV(RAND())</f>
        <v>1.5829091157308348</v>
      </c>
      <c r="D1819" s="5">
        <f ca="1">S0*EXP((μ-0.5*σ*σ)*T+σ*SQRT(T)*$C1819)</f>
        <v>0.77673439007589862</v>
      </c>
      <c r="E1819" s="5">
        <f ca="1">MAX(0,CP*(D1819-K))</f>
        <v>0</v>
      </c>
      <c r="F1819" s="4">
        <f ca="1">(CP*(D1819-K)&gt;0)*1</f>
        <v>0</v>
      </c>
      <c r="H1819" s="4">
        <v>1804</v>
      </c>
      <c r="I1819" s="3">
        <v>0.66787557908812412</v>
      </c>
      <c r="J1819" s="128">
        <v>1.6354352894676315E-3</v>
      </c>
      <c r="K1819" s="128"/>
      <c r="L1819" s="128">
        <v>4.4600000000000001E-2</v>
      </c>
      <c r="O1819" s="2"/>
    </row>
    <row r="1820" spans="2:15" x14ac:dyDescent="0.2">
      <c r="B1820" s="1">
        <v>1805</v>
      </c>
      <c r="C1820" s="5">
        <f ca="1">_xlfn.NORM.S.INV(RAND())</f>
        <v>-1.403456285011603</v>
      </c>
      <c r="D1820" s="5">
        <f ca="1">S0*EXP((μ-0.5*σ*σ)*T+σ*SQRT(T)*$C1820)</f>
        <v>0.57863983826130128</v>
      </c>
      <c r="E1820" s="5">
        <f ca="1">MAX(0,CP*(D1820-K))</f>
        <v>0</v>
      </c>
      <c r="F1820" s="4">
        <f ca="1">(CP*(D1820-K)&gt;0)*1</f>
        <v>0</v>
      </c>
      <c r="H1820" s="4">
        <v>1805</v>
      </c>
      <c r="I1820" s="3">
        <v>0.66766786800888001</v>
      </c>
      <c r="J1820" s="128">
        <v>1.3160779237838826E-3</v>
      </c>
      <c r="K1820" s="128"/>
      <c r="L1820" s="128">
        <v>4.2000000000000003E-2</v>
      </c>
      <c r="O1820" s="2"/>
    </row>
    <row r="1821" spans="2:15" x14ac:dyDescent="0.2">
      <c r="B1821" s="1">
        <v>1806</v>
      </c>
      <c r="C1821" s="5">
        <f ca="1">_xlfn.NORM.S.INV(RAND())</f>
        <v>0.85830517977440923</v>
      </c>
      <c r="D1821" s="5">
        <f ca="1">S0*EXP((μ-0.5*σ*σ)*T+σ*SQRT(T)*$C1821)</f>
        <v>0.72318247991340245</v>
      </c>
      <c r="E1821" s="5">
        <f ca="1">MAX(0,CP*(D1821-K))</f>
        <v>0</v>
      </c>
      <c r="F1821" s="4">
        <f ca="1">(CP*(D1821-K)&gt;0)*1</f>
        <v>0</v>
      </c>
      <c r="H1821" s="4">
        <v>1806</v>
      </c>
      <c r="I1821" s="3">
        <v>0.66765571088767317</v>
      </c>
      <c r="J1821" s="128">
        <v>1.1552862145692525E-3</v>
      </c>
      <c r="K1821" s="128"/>
      <c r="L1821" s="128">
        <v>3.9199999999999999E-2</v>
      </c>
      <c r="O1821" s="2"/>
    </row>
    <row r="1822" spans="2:15" x14ac:dyDescent="0.2">
      <c r="B1822" s="1">
        <v>1807</v>
      </c>
      <c r="C1822" s="5">
        <f ca="1">_xlfn.NORM.S.INV(RAND())</f>
        <v>-0.50908684199986276</v>
      </c>
      <c r="D1822" s="5">
        <f ca="1">S0*EXP((μ-0.5*σ*σ)*T+σ*SQRT(T)*$C1822)</f>
        <v>0.63197754498439462</v>
      </c>
      <c r="E1822" s="5">
        <f ca="1">MAX(0,CP*(D1822-K))</f>
        <v>0</v>
      </c>
      <c r="F1822" s="4">
        <f ca="1">(CP*(D1822-K)&gt;0)*1</f>
        <v>0</v>
      </c>
      <c r="H1822" s="4">
        <v>1807</v>
      </c>
      <c r="I1822" s="3">
        <v>0.66763692728076951</v>
      </c>
      <c r="J1822" s="128">
        <v>1.3209206107654176E-3</v>
      </c>
      <c r="K1822" s="128"/>
      <c r="L1822" s="128">
        <v>4.0800000000000003E-2</v>
      </c>
      <c r="O1822" s="2"/>
    </row>
    <row r="1823" spans="2:15" x14ac:dyDescent="0.2">
      <c r="B1823" s="1">
        <v>1808</v>
      </c>
      <c r="C1823" s="5">
        <f ca="1">_xlfn.NORM.S.INV(RAND())</f>
        <v>3.5039477525483628E-2</v>
      </c>
      <c r="D1823" s="5">
        <f ca="1">S0*EXP((μ-0.5*σ*σ)*T+σ*SQRT(T)*$C1823)</f>
        <v>0.66680516746234675</v>
      </c>
      <c r="E1823" s="5">
        <f ca="1">MAX(0,CP*(D1823-K))</f>
        <v>0</v>
      </c>
      <c r="F1823" s="4">
        <f ca="1">(CP*(D1823-K)&gt;0)*1</f>
        <v>0</v>
      </c>
      <c r="H1823" s="4">
        <v>1808</v>
      </c>
      <c r="I1823" s="3">
        <v>0.66762378000135236</v>
      </c>
      <c r="J1823" s="128">
        <v>1.2632479122984986E-3</v>
      </c>
      <c r="K1823" s="128"/>
      <c r="L1823" s="128">
        <v>3.9199999999999999E-2</v>
      </c>
      <c r="O1823" s="2"/>
    </row>
    <row r="1824" spans="2:15" x14ac:dyDescent="0.2">
      <c r="B1824" s="1">
        <v>1809</v>
      </c>
      <c r="C1824" s="5">
        <f ca="1">_xlfn.NORM.S.INV(RAND())</f>
        <v>1.0062978436620389</v>
      </c>
      <c r="D1824" s="5">
        <f ca="1">S0*EXP((μ-0.5*σ*σ)*T+σ*SQRT(T)*$C1824)</f>
        <v>0.73381122234829932</v>
      </c>
      <c r="E1824" s="5">
        <f ca="1">MAX(0,CP*(D1824-K))</f>
        <v>0</v>
      </c>
      <c r="F1824" s="4">
        <f ca="1">(CP*(D1824-K)&gt;0)*1</f>
        <v>0</v>
      </c>
      <c r="H1824" s="4">
        <v>1809</v>
      </c>
      <c r="I1824" s="3">
        <v>0.66772467542877134</v>
      </c>
      <c r="J1824" s="128">
        <v>1.4274643690117988E-3</v>
      </c>
      <c r="K1824" s="128"/>
      <c r="L1824" s="128">
        <v>4.2200000000000001E-2</v>
      </c>
      <c r="O1824" s="2"/>
    </row>
    <row r="1825" spans="2:15" x14ac:dyDescent="0.2">
      <c r="B1825" s="1">
        <v>1810</v>
      </c>
      <c r="C1825" s="5">
        <f ca="1">_xlfn.NORM.S.INV(RAND())</f>
        <v>-2.2263331150446799</v>
      </c>
      <c r="D1825" s="5">
        <f ca="1">S0*EXP((μ-0.5*σ*σ)*T+σ*SQRT(T)*$C1825)</f>
        <v>0.53355112652805692</v>
      </c>
      <c r="E1825" s="5">
        <f ca="1">MAX(0,CP*(D1825-K))</f>
        <v>0</v>
      </c>
      <c r="F1825" s="4">
        <f ca="1">(CP*(D1825-K)&gt;0)*1</f>
        <v>0</v>
      </c>
      <c r="H1825" s="4">
        <v>1810</v>
      </c>
      <c r="I1825" s="3">
        <v>0.66787553589598314</v>
      </c>
      <c r="J1825" s="128">
        <v>1.5416591653511207E-3</v>
      </c>
      <c r="K1825" s="128"/>
      <c r="L1825" s="128">
        <v>4.4200000000000003E-2</v>
      </c>
      <c r="O1825" s="2"/>
    </row>
    <row r="1826" spans="2:15" x14ac:dyDescent="0.2">
      <c r="B1826" s="1">
        <v>1811</v>
      </c>
      <c r="C1826" s="5">
        <f ca="1">_xlfn.NORM.S.INV(RAND())</f>
        <v>0.58027259339883086</v>
      </c>
      <c r="D1826" s="5">
        <f ca="1">S0*EXP((μ-0.5*σ*σ)*T+σ*SQRT(T)*$C1826)</f>
        <v>0.70362887699851595</v>
      </c>
      <c r="E1826" s="5">
        <f ca="1">MAX(0,CP*(D1826-K))</f>
        <v>0</v>
      </c>
      <c r="F1826" s="4">
        <f ca="1">(CP*(D1826-K)&gt;0)*1</f>
        <v>0</v>
      </c>
      <c r="H1826" s="4">
        <v>1811</v>
      </c>
      <c r="I1826" s="3">
        <v>0.66780595483067873</v>
      </c>
      <c r="J1826" s="128">
        <v>1.538831356914663E-3</v>
      </c>
      <c r="K1826" s="128"/>
      <c r="L1826" s="128">
        <v>4.4400000000000002E-2</v>
      </c>
      <c r="O1826" s="2"/>
    </row>
    <row r="1827" spans="2:15" x14ac:dyDescent="0.2">
      <c r="B1827" s="1">
        <v>1812</v>
      </c>
      <c r="C1827" s="5">
        <f ca="1">_xlfn.NORM.S.INV(RAND())</f>
        <v>0.23790446410300836</v>
      </c>
      <c r="D1827" s="5">
        <f ca="1">S0*EXP((μ-0.5*σ*σ)*T+σ*SQRT(T)*$C1827)</f>
        <v>0.68027548846065433</v>
      </c>
      <c r="E1827" s="5">
        <f ca="1">MAX(0,CP*(D1827-K))</f>
        <v>0</v>
      </c>
      <c r="F1827" s="4">
        <f ca="1">(CP*(D1827-K)&gt;0)*1</f>
        <v>0</v>
      </c>
      <c r="H1827" s="4">
        <v>1812</v>
      </c>
      <c r="I1827" s="3">
        <v>0.66789113050919713</v>
      </c>
      <c r="J1827" s="128">
        <v>1.6042391698506211E-3</v>
      </c>
      <c r="K1827" s="128"/>
      <c r="L1827" s="128">
        <v>4.6800000000000001E-2</v>
      </c>
      <c r="O1827" s="2"/>
    </row>
    <row r="1828" spans="2:15" x14ac:dyDescent="0.2">
      <c r="B1828" s="1">
        <v>1813</v>
      </c>
      <c r="C1828" s="5">
        <f ca="1">_xlfn.NORM.S.INV(RAND())</f>
        <v>-0.50564363976791848</v>
      </c>
      <c r="D1828" s="5">
        <f ca="1">S0*EXP((μ-0.5*σ*σ)*T+σ*SQRT(T)*$C1828)</f>
        <v>0.63219211034622858</v>
      </c>
      <c r="E1828" s="5">
        <f ca="1">MAX(0,CP*(D1828-K))</f>
        <v>0</v>
      </c>
      <c r="F1828" s="4">
        <f ca="1">(CP*(D1828-K)&gt;0)*1</f>
        <v>0</v>
      </c>
      <c r="H1828" s="4">
        <v>1813</v>
      </c>
      <c r="I1828" s="3">
        <v>0.66767716805459409</v>
      </c>
      <c r="J1828" s="128">
        <v>1.3107446933055575E-3</v>
      </c>
      <c r="K1828" s="128"/>
      <c r="L1828" s="128">
        <v>4.2599999999999999E-2</v>
      </c>
      <c r="O1828" s="2"/>
    </row>
    <row r="1829" spans="2:15" x14ac:dyDescent="0.2">
      <c r="B1829" s="1">
        <v>1814</v>
      </c>
      <c r="C1829" s="5">
        <f ca="1">_xlfn.NORM.S.INV(RAND())</f>
        <v>-0.65407545175258508</v>
      </c>
      <c r="D1829" s="5">
        <f ca="1">S0*EXP((μ-0.5*σ*σ)*T+σ*SQRT(T)*$C1829)</f>
        <v>0.62300827627551314</v>
      </c>
      <c r="E1829" s="5">
        <f ca="1">MAX(0,CP*(D1829-K))</f>
        <v>0</v>
      </c>
      <c r="F1829" s="4">
        <f ca="1">(CP*(D1829-K)&gt;0)*1</f>
        <v>0</v>
      </c>
      <c r="H1829" s="4">
        <v>1814</v>
      </c>
      <c r="I1829" s="3">
        <v>0.66780629786827805</v>
      </c>
      <c r="J1829" s="128">
        <v>1.3113702006404245E-3</v>
      </c>
      <c r="K1829" s="128"/>
      <c r="L1829" s="128">
        <v>4.2000000000000003E-2</v>
      </c>
      <c r="O1829" s="2"/>
    </row>
    <row r="1830" spans="2:15" x14ac:dyDescent="0.2">
      <c r="B1830" s="1">
        <v>1815</v>
      </c>
      <c r="C1830" s="5">
        <f ca="1">_xlfn.NORM.S.INV(RAND())</f>
        <v>-1.0470380268931299</v>
      </c>
      <c r="D1830" s="5">
        <f ca="1">S0*EXP((μ-0.5*σ*σ)*T+σ*SQRT(T)*$C1830)</f>
        <v>0.59933374741309942</v>
      </c>
      <c r="E1830" s="5">
        <f ca="1">MAX(0,CP*(D1830-K))</f>
        <v>0</v>
      </c>
      <c r="F1830" s="4">
        <f ca="1">(CP*(D1830-K)&gt;0)*1</f>
        <v>0</v>
      </c>
      <c r="H1830" s="4">
        <v>1815</v>
      </c>
      <c r="I1830" s="3">
        <v>0.66749882459143683</v>
      </c>
      <c r="J1830" s="128">
        <v>1.0972710642432393E-3</v>
      </c>
      <c r="K1830" s="128"/>
      <c r="L1830" s="128">
        <v>3.6600000000000001E-2</v>
      </c>
      <c r="O1830" s="2"/>
    </row>
    <row r="1831" spans="2:15" x14ac:dyDescent="0.2">
      <c r="B1831" s="1">
        <v>1816</v>
      </c>
      <c r="C1831" s="5">
        <f ca="1">_xlfn.NORM.S.INV(RAND())</f>
        <v>-0.22738664323545896</v>
      </c>
      <c r="D1831" s="5">
        <f ca="1">S0*EXP((μ-0.5*σ*σ)*T+σ*SQRT(T)*$C1831)</f>
        <v>0.64977488572503672</v>
      </c>
      <c r="E1831" s="5">
        <f ca="1">MAX(0,CP*(D1831-K))</f>
        <v>0</v>
      </c>
      <c r="F1831" s="4">
        <f ca="1">(CP*(D1831-K)&gt;0)*1</f>
        <v>0</v>
      </c>
      <c r="H1831" s="4">
        <v>1816</v>
      </c>
      <c r="I1831" s="3">
        <v>0.6676435531335887</v>
      </c>
      <c r="J1831" s="128">
        <v>1.2961021709925618E-3</v>
      </c>
      <c r="K1831" s="128"/>
      <c r="L1831" s="128">
        <v>4.1000000000000002E-2</v>
      </c>
      <c r="O1831" s="2"/>
    </row>
    <row r="1832" spans="2:15" x14ac:dyDescent="0.2">
      <c r="B1832" s="1">
        <v>1817</v>
      </c>
      <c r="C1832" s="5">
        <f ca="1">_xlfn.NORM.S.INV(RAND())</f>
        <v>0.89369020443750868</v>
      </c>
      <c r="D1832" s="5">
        <f ca="1">S0*EXP((μ-0.5*σ*σ)*T+σ*SQRT(T)*$C1832)</f>
        <v>0.7257097220976958</v>
      </c>
      <c r="E1832" s="5">
        <f ca="1">MAX(0,CP*(D1832-K))</f>
        <v>0</v>
      </c>
      <c r="F1832" s="4">
        <f ca="1">(CP*(D1832-K)&gt;0)*1</f>
        <v>0</v>
      </c>
      <c r="H1832" s="4">
        <v>1817</v>
      </c>
      <c r="I1832" s="3">
        <v>0.66762948110980147</v>
      </c>
      <c r="J1832" s="128">
        <v>1.1923589613039107E-3</v>
      </c>
      <c r="K1832" s="128"/>
      <c r="L1832" s="128">
        <v>3.8399999999999997E-2</v>
      </c>
      <c r="O1832" s="2"/>
    </row>
    <row r="1833" spans="2:15" x14ac:dyDescent="0.2">
      <c r="B1833" s="1">
        <v>1818</v>
      </c>
      <c r="C1833" s="5">
        <f ca="1">_xlfn.NORM.S.INV(RAND())</f>
        <v>1.1724257583363589</v>
      </c>
      <c r="D1833" s="5">
        <f ca="1">S0*EXP((μ-0.5*σ*σ)*T+σ*SQRT(T)*$C1833)</f>
        <v>0.74592863794405173</v>
      </c>
      <c r="E1833" s="5">
        <f ca="1">MAX(0,CP*(D1833-K))</f>
        <v>0</v>
      </c>
      <c r="F1833" s="4">
        <f ca="1">(CP*(D1833-K)&gt;0)*1</f>
        <v>0</v>
      </c>
      <c r="H1833" s="4">
        <v>1818</v>
      </c>
      <c r="I1833" s="3">
        <v>0.66760882752651429</v>
      </c>
      <c r="J1833" s="128">
        <v>1.1708360503891453E-3</v>
      </c>
      <c r="K1833" s="128"/>
      <c r="L1833" s="128">
        <v>3.9399999999999998E-2</v>
      </c>
      <c r="O1833" s="2"/>
    </row>
    <row r="1834" spans="2:15" x14ac:dyDescent="0.2">
      <c r="B1834" s="1">
        <v>1819</v>
      </c>
      <c r="C1834" s="5">
        <f ca="1">_xlfn.NORM.S.INV(RAND())</f>
        <v>-5.2612123562087762E-2</v>
      </c>
      <c r="D1834" s="5">
        <f ca="1">S0*EXP((μ-0.5*σ*σ)*T+σ*SQRT(T)*$C1834)</f>
        <v>0.6610678955029462</v>
      </c>
      <c r="E1834" s="5">
        <f ca="1">MAX(0,CP*(D1834-K))</f>
        <v>0</v>
      </c>
      <c r="F1834" s="4">
        <f ca="1">(CP*(D1834-K)&gt;0)*1</f>
        <v>0</v>
      </c>
      <c r="H1834" s="4">
        <v>1819</v>
      </c>
      <c r="I1834" s="3">
        <v>0.66773298472863496</v>
      </c>
      <c r="J1834" s="128">
        <v>1.4152005737438384E-3</v>
      </c>
      <c r="K1834" s="128"/>
      <c r="L1834" s="128">
        <v>4.02E-2</v>
      </c>
      <c r="O1834" s="2"/>
    </row>
    <row r="1835" spans="2:15" x14ac:dyDescent="0.2">
      <c r="B1835" s="1">
        <v>1820</v>
      </c>
      <c r="C1835" s="5">
        <f ca="1">_xlfn.NORM.S.INV(RAND())</f>
        <v>0.21026917607995582</v>
      </c>
      <c r="D1835" s="5">
        <f ca="1">S0*EXP((μ-0.5*σ*σ)*T+σ*SQRT(T)*$C1835)</f>
        <v>0.67842460507583735</v>
      </c>
      <c r="E1835" s="5">
        <f ca="1">MAX(0,CP*(D1835-K))</f>
        <v>0</v>
      </c>
      <c r="F1835" s="4">
        <f ca="1">(CP*(D1835-K)&gt;0)*1</f>
        <v>0</v>
      </c>
      <c r="H1835" s="4">
        <v>1820</v>
      </c>
      <c r="I1835" s="3">
        <v>0.66774995605060683</v>
      </c>
      <c r="J1835" s="128">
        <v>1.3364379171416096E-3</v>
      </c>
      <c r="K1835" s="128"/>
      <c r="L1835" s="128">
        <v>4.24E-2</v>
      </c>
      <c r="O1835" s="2"/>
    </row>
    <row r="1836" spans="2:15" x14ac:dyDescent="0.2">
      <c r="B1836" s="1">
        <v>1821</v>
      </c>
      <c r="C1836" s="5">
        <f ca="1">_xlfn.NORM.S.INV(RAND())</f>
        <v>1.3535961221705051</v>
      </c>
      <c r="D1836" s="5">
        <f ca="1">S0*EXP((μ-0.5*σ*σ)*T+σ*SQRT(T)*$C1836)</f>
        <v>0.7593714592473324</v>
      </c>
      <c r="E1836" s="5">
        <f ca="1">MAX(0,CP*(D1836-K))</f>
        <v>0</v>
      </c>
      <c r="F1836" s="4">
        <f ca="1">(CP*(D1836-K)&gt;0)*1</f>
        <v>0</v>
      </c>
      <c r="H1836" s="4">
        <v>1821</v>
      </c>
      <c r="I1836" s="3">
        <v>0.66773589601413363</v>
      </c>
      <c r="J1836" s="128">
        <v>1.3507690347276174E-3</v>
      </c>
      <c r="K1836" s="128"/>
      <c r="L1836" s="128">
        <v>3.8800000000000001E-2</v>
      </c>
      <c r="O1836" s="2"/>
    </row>
    <row r="1837" spans="2:15" x14ac:dyDescent="0.2">
      <c r="B1837" s="1">
        <v>1822</v>
      </c>
      <c r="C1837" s="5">
        <f ca="1">_xlfn.NORM.S.INV(RAND())</f>
        <v>0.38391934217791385</v>
      </c>
      <c r="D1837" s="5">
        <f ca="1">S0*EXP((μ-0.5*σ*σ)*T+σ*SQRT(T)*$C1837)</f>
        <v>0.69013903934624277</v>
      </c>
      <c r="E1837" s="5">
        <f ca="1">MAX(0,CP*(D1837-K))</f>
        <v>0</v>
      </c>
      <c r="F1837" s="4">
        <f ca="1">(CP*(D1837-K)&gt;0)*1</f>
        <v>0</v>
      </c>
      <c r="H1837" s="4">
        <v>1822</v>
      </c>
      <c r="I1837" s="3">
        <v>0.6676484826903204</v>
      </c>
      <c r="J1837" s="128">
        <v>1.151541100805602E-3</v>
      </c>
      <c r="K1837" s="128"/>
      <c r="L1837" s="128">
        <v>3.9E-2</v>
      </c>
      <c r="O1837" s="2"/>
    </row>
    <row r="1838" spans="2:15" x14ac:dyDescent="0.2">
      <c r="B1838" s="1">
        <v>1823</v>
      </c>
      <c r="C1838" s="5">
        <f ca="1">_xlfn.NORM.S.INV(RAND())</f>
        <v>-1.3044795941030436</v>
      </c>
      <c r="D1838" s="5">
        <f ca="1">S0*EXP((μ-0.5*σ*σ)*T+σ*SQRT(T)*$C1838)</f>
        <v>0.58431376334015805</v>
      </c>
      <c r="E1838" s="5">
        <f ca="1">MAX(0,CP*(D1838-K))</f>
        <v>0</v>
      </c>
      <c r="F1838" s="4">
        <f ca="1">(CP*(D1838-K)&gt;0)*1</f>
        <v>0</v>
      </c>
      <c r="H1838" s="4">
        <v>1823</v>
      </c>
      <c r="I1838" s="3">
        <v>0.66783703419254792</v>
      </c>
      <c r="J1838" s="128">
        <v>1.5205034337829463E-3</v>
      </c>
      <c r="K1838" s="128"/>
      <c r="L1838" s="128">
        <v>4.2799999999999998E-2</v>
      </c>
      <c r="O1838" s="2"/>
    </row>
    <row r="1839" spans="2:15" x14ac:dyDescent="0.2">
      <c r="B1839" s="1">
        <v>1824</v>
      </c>
      <c r="C1839" s="5">
        <f ca="1">_xlfn.NORM.S.INV(RAND())</f>
        <v>0.18569748508786052</v>
      </c>
      <c r="D1839" s="5">
        <f ca="1">S0*EXP((μ-0.5*σ*σ)*T+σ*SQRT(T)*$C1839)</f>
        <v>0.67678313703439363</v>
      </c>
      <c r="E1839" s="5">
        <f ca="1">MAX(0,CP*(D1839-K))</f>
        <v>0</v>
      </c>
      <c r="F1839" s="4">
        <f ca="1">(CP*(D1839-K)&gt;0)*1</f>
        <v>0</v>
      </c>
      <c r="H1839" s="4">
        <v>1824</v>
      </c>
      <c r="I1839" s="3">
        <v>0.66775767437386935</v>
      </c>
      <c r="J1839" s="128">
        <v>1.3477592972192286E-3</v>
      </c>
      <c r="K1839" s="128"/>
      <c r="L1839" s="128">
        <v>4.3200000000000002E-2</v>
      </c>
      <c r="O1839" s="2"/>
    </row>
    <row r="1840" spans="2:15" x14ac:dyDescent="0.2">
      <c r="B1840" s="1">
        <v>1825</v>
      </c>
      <c r="C1840" s="5">
        <f ca="1">_xlfn.NORM.S.INV(RAND())</f>
        <v>-0.18758003072364376</v>
      </c>
      <c r="D1840" s="5">
        <f ca="1">S0*EXP((μ-0.5*σ*σ)*T+σ*SQRT(T)*$C1840)</f>
        <v>0.65232989406398323</v>
      </c>
      <c r="E1840" s="5">
        <f ca="1">MAX(0,CP*(D1840-K))</f>
        <v>0</v>
      </c>
      <c r="F1840" s="4">
        <f ca="1">(CP*(D1840-K)&gt;0)*1</f>
        <v>0</v>
      </c>
      <c r="H1840" s="4">
        <v>1825</v>
      </c>
      <c r="I1840" s="3">
        <v>0.66779168020252666</v>
      </c>
      <c r="J1840" s="128">
        <v>1.3216748295715212E-3</v>
      </c>
      <c r="K1840" s="128"/>
      <c r="L1840" s="128">
        <v>3.9600000000000003E-2</v>
      </c>
      <c r="O1840" s="2"/>
    </row>
    <row r="1841" spans="2:15" x14ac:dyDescent="0.2">
      <c r="B1841" s="1">
        <v>1826</v>
      </c>
      <c r="C1841" s="5">
        <f ca="1">_xlfn.NORM.S.INV(RAND())</f>
        <v>-1.7987655505994655</v>
      </c>
      <c r="D1841" s="5">
        <f ca="1">S0*EXP((μ-0.5*σ*σ)*T+σ*SQRT(T)*$C1841)</f>
        <v>0.55652255654289962</v>
      </c>
      <c r="E1841" s="5">
        <f ca="1">MAX(0,CP*(D1841-K))</f>
        <v>0</v>
      </c>
      <c r="F1841" s="4">
        <f ca="1">(CP*(D1841-K)&gt;0)*1</f>
        <v>0</v>
      </c>
      <c r="H1841" s="4">
        <v>1826</v>
      </c>
      <c r="I1841" s="3">
        <v>0.66769386733154357</v>
      </c>
      <c r="J1841" s="128">
        <v>1.3384112096790567E-3</v>
      </c>
      <c r="K1841" s="128"/>
      <c r="L1841" s="128">
        <v>3.8199999999999998E-2</v>
      </c>
      <c r="O1841" s="2"/>
    </row>
    <row r="1842" spans="2:15" x14ac:dyDescent="0.2">
      <c r="B1842" s="1">
        <v>1827</v>
      </c>
      <c r="C1842" s="5">
        <f ca="1">_xlfn.NORM.S.INV(RAND())</f>
        <v>0.16230873727264691</v>
      </c>
      <c r="D1842" s="5">
        <f ca="1">S0*EXP((μ-0.5*σ*σ)*T+σ*SQRT(T)*$C1842)</f>
        <v>0.67522438292706344</v>
      </c>
      <c r="E1842" s="5">
        <f ca="1">MAX(0,CP*(D1842-K))</f>
        <v>0</v>
      </c>
      <c r="F1842" s="4">
        <f ca="1">(CP*(D1842-K)&gt;0)*1</f>
        <v>0</v>
      </c>
      <c r="H1842" s="4">
        <v>1827</v>
      </c>
      <c r="I1842" s="3">
        <v>0.66794934878242485</v>
      </c>
      <c r="J1842" s="128">
        <v>1.6555464049109294E-3</v>
      </c>
      <c r="K1842" s="128"/>
      <c r="L1842" s="128">
        <v>4.82E-2</v>
      </c>
      <c r="O1842" s="2"/>
    </row>
    <row r="1843" spans="2:15" x14ac:dyDescent="0.2">
      <c r="B1843" s="1">
        <v>1828</v>
      </c>
      <c r="C1843" s="5">
        <f ca="1">_xlfn.NORM.S.INV(RAND())</f>
        <v>0.28084939462619762</v>
      </c>
      <c r="D1843" s="5">
        <f ca="1">S0*EXP((μ-0.5*σ*σ)*T+σ*SQRT(T)*$C1843)</f>
        <v>0.68316176631512049</v>
      </c>
      <c r="E1843" s="5">
        <f ca="1">MAX(0,CP*(D1843-K))</f>
        <v>0</v>
      </c>
      <c r="F1843" s="4">
        <f ca="1">(CP*(D1843-K)&gt;0)*1</f>
        <v>0</v>
      </c>
      <c r="H1843" s="4">
        <v>1828</v>
      </c>
      <c r="I1843" s="3">
        <v>0.66789080501790743</v>
      </c>
      <c r="J1843" s="128">
        <v>1.6254154828614889E-3</v>
      </c>
      <c r="K1843" s="128"/>
      <c r="L1843" s="128">
        <v>4.3799999999999999E-2</v>
      </c>
      <c r="O1843" s="2"/>
    </row>
    <row r="1844" spans="2:15" x14ac:dyDescent="0.2">
      <c r="B1844" s="1">
        <v>1829</v>
      </c>
      <c r="C1844" s="5">
        <f ca="1">_xlfn.NORM.S.INV(RAND())</f>
        <v>0.155050591911467</v>
      </c>
      <c r="D1844" s="5">
        <f ca="1">S0*EXP((μ-0.5*σ*σ)*T+σ*SQRT(T)*$C1844)</f>
        <v>0.67474139071754025</v>
      </c>
      <c r="E1844" s="5">
        <f ca="1">MAX(0,CP*(D1844-K))</f>
        <v>0</v>
      </c>
      <c r="F1844" s="4">
        <f ca="1">(CP*(D1844-K)&gt;0)*1</f>
        <v>0</v>
      </c>
      <c r="H1844" s="4">
        <v>1829</v>
      </c>
      <c r="I1844" s="3">
        <v>0.66775738652393135</v>
      </c>
      <c r="J1844" s="128">
        <v>1.3194594235779271E-3</v>
      </c>
      <c r="K1844" s="128"/>
      <c r="L1844" s="128">
        <v>4.1000000000000002E-2</v>
      </c>
      <c r="O1844" s="2"/>
    </row>
    <row r="1845" spans="2:15" x14ac:dyDescent="0.2">
      <c r="B1845" s="1">
        <v>1830</v>
      </c>
      <c r="C1845" s="5">
        <f ca="1">_xlfn.NORM.S.INV(RAND())</f>
        <v>0.98663509386131287</v>
      </c>
      <c r="D1845" s="5">
        <f ca="1">S0*EXP((μ-0.5*σ*σ)*T+σ*SQRT(T)*$C1845)</f>
        <v>0.73239010660464299</v>
      </c>
      <c r="E1845" s="5">
        <f ca="1">MAX(0,CP*(D1845-K))</f>
        <v>0</v>
      </c>
      <c r="F1845" s="4">
        <f ca="1">(CP*(D1845-K)&gt;0)*1</f>
        <v>0</v>
      </c>
      <c r="H1845" s="4">
        <v>1830</v>
      </c>
      <c r="I1845" s="3">
        <v>0.66777940383664791</v>
      </c>
      <c r="J1845" s="128">
        <v>1.306062480038227E-3</v>
      </c>
      <c r="K1845" s="128"/>
      <c r="L1845" s="128">
        <v>4.0800000000000003E-2</v>
      </c>
      <c r="O1845" s="2"/>
    </row>
    <row r="1846" spans="2:15" x14ac:dyDescent="0.2">
      <c r="B1846" s="1">
        <v>1831</v>
      </c>
      <c r="C1846" s="5">
        <f ca="1">_xlfn.NORM.S.INV(RAND())</f>
        <v>-0.5093025649807289</v>
      </c>
      <c r="D1846" s="5">
        <f ca="1">S0*EXP((μ-0.5*σ*σ)*T+σ*SQRT(T)*$C1846)</f>
        <v>0.63196410449252183</v>
      </c>
      <c r="E1846" s="5">
        <f ca="1">MAX(0,CP*(D1846-K))</f>
        <v>0</v>
      </c>
      <c r="F1846" s="4">
        <f ca="1">(CP*(D1846-K)&gt;0)*1</f>
        <v>0</v>
      </c>
      <c r="H1846" s="4">
        <v>1831</v>
      </c>
      <c r="I1846" s="3">
        <v>0.66768250957735842</v>
      </c>
      <c r="J1846" s="128">
        <v>1.2684748819280771E-3</v>
      </c>
      <c r="K1846" s="128"/>
      <c r="L1846" s="128">
        <v>3.8399999999999997E-2</v>
      </c>
      <c r="O1846" s="2"/>
    </row>
    <row r="1847" spans="2:15" x14ac:dyDescent="0.2">
      <c r="B1847" s="1">
        <v>1832</v>
      </c>
      <c r="C1847" s="5">
        <f ca="1">_xlfn.NORM.S.INV(RAND())</f>
        <v>-0.82764750569278789</v>
      </c>
      <c r="D1847" s="5">
        <f ca="1">S0*EXP((μ-0.5*σ*σ)*T+σ*SQRT(T)*$C1847)</f>
        <v>0.61243803725399859</v>
      </c>
      <c r="E1847" s="5">
        <f ca="1">MAX(0,CP*(D1847-K))</f>
        <v>0</v>
      </c>
      <c r="F1847" s="4">
        <f ca="1">(CP*(D1847-K)&gt;0)*1</f>
        <v>0</v>
      </c>
      <c r="H1847" s="4">
        <v>1832</v>
      </c>
      <c r="I1847" s="3">
        <v>0.66780294025066378</v>
      </c>
      <c r="J1847" s="128">
        <v>1.4879763723828546E-3</v>
      </c>
      <c r="K1847" s="128"/>
      <c r="L1847" s="128">
        <v>4.5600000000000002E-2</v>
      </c>
      <c r="O1847" s="2"/>
    </row>
    <row r="1848" spans="2:15" x14ac:dyDescent="0.2">
      <c r="B1848" s="1">
        <v>1833</v>
      </c>
      <c r="C1848" s="5">
        <f ca="1">_xlfn.NORM.S.INV(RAND())</f>
        <v>0.40818794977413281</v>
      </c>
      <c r="D1848" s="5">
        <f ca="1">S0*EXP((μ-0.5*σ*σ)*T+σ*SQRT(T)*$C1848)</f>
        <v>0.69179222954165975</v>
      </c>
      <c r="E1848" s="5">
        <f ca="1">MAX(0,CP*(D1848-K))</f>
        <v>0</v>
      </c>
      <c r="F1848" s="4">
        <f ca="1">(CP*(D1848-K)&gt;0)*1</f>
        <v>0</v>
      </c>
      <c r="H1848" s="4">
        <v>1833</v>
      </c>
      <c r="I1848" s="3">
        <v>0.66782377423420358</v>
      </c>
      <c r="J1848" s="128">
        <v>1.4331223644202271E-3</v>
      </c>
      <c r="K1848" s="128"/>
      <c r="L1848" s="128">
        <v>4.36E-2</v>
      </c>
      <c r="O1848" s="2"/>
    </row>
    <row r="1849" spans="2:15" x14ac:dyDescent="0.2">
      <c r="B1849" s="1">
        <v>1834</v>
      </c>
      <c r="C1849" s="5">
        <f ca="1">_xlfn.NORM.S.INV(RAND())</f>
        <v>-0.23026979836057826</v>
      </c>
      <c r="D1849" s="5">
        <f ca="1">S0*EXP((μ-0.5*σ*σ)*T+σ*SQRT(T)*$C1849)</f>
        <v>0.64959021802904671</v>
      </c>
      <c r="E1849" s="5">
        <f ca="1">MAX(0,CP*(D1849-K))</f>
        <v>0</v>
      </c>
      <c r="F1849" s="4">
        <f ca="1">(CP*(D1849-K)&gt;0)*1</f>
        <v>0</v>
      </c>
      <c r="H1849" s="4">
        <v>1834</v>
      </c>
      <c r="I1849" s="3">
        <v>0.66770712775651808</v>
      </c>
      <c r="J1849" s="128">
        <v>1.415143923028642E-3</v>
      </c>
      <c r="K1849" s="128"/>
      <c r="L1849" s="128">
        <v>3.8600000000000002E-2</v>
      </c>
      <c r="O1849" s="2"/>
    </row>
    <row r="1850" spans="2:15" x14ac:dyDescent="0.2">
      <c r="B1850" s="1">
        <v>1835</v>
      </c>
      <c r="C1850" s="5">
        <f ca="1">_xlfn.NORM.S.INV(RAND())</f>
        <v>1.9285659177371917</v>
      </c>
      <c r="D1850" s="5">
        <f ca="1">S0*EXP((μ-0.5*σ*σ)*T+σ*SQRT(T)*$C1850)</f>
        <v>0.80365966805353117</v>
      </c>
      <c r="E1850" s="5">
        <f ca="1">MAX(0,CP*(D1850-K))</f>
        <v>1.5459668053531161E-2</v>
      </c>
      <c r="F1850" s="4">
        <f ca="1">(CP*(D1850-K)&gt;0)*1</f>
        <v>1</v>
      </c>
      <c r="H1850" s="4">
        <v>1835</v>
      </c>
      <c r="I1850" s="3">
        <v>0.66761120626409443</v>
      </c>
      <c r="J1850" s="128">
        <v>1.1230075747915896E-3</v>
      </c>
      <c r="K1850" s="128"/>
      <c r="L1850" s="128">
        <v>3.8399999999999997E-2</v>
      </c>
      <c r="O1850" s="2"/>
    </row>
    <row r="1851" spans="2:15" x14ac:dyDescent="0.2">
      <c r="B1851" s="1">
        <v>1836</v>
      </c>
      <c r="C1851" s="5">
        <f ca="1">_xlfn.NORM.S.INV(RAND())</f>
        <v>-1.6554799378275545E-2</v>
      </c>
      <c r="D1851" s="5">
        <f ca="1">S0*EXP((μ-0.5*σ*σ)*T+σ*SQRT(T)*$C1851)</f>
        <v>0.66342204167466146</v>
      </c>
      <c r="E1851" s="5">
        <f ca="1">MAX(0,CP*(D1851-K))</f>
        <v>0</v>
      </c>
      <c r="F1851" s="4">
        <f ca="1">(CP*(D1851-K)&gt;0)*1</f>
        <v>0</v>
      </c>
      <c r="H1851" s="4">
        <v>1836</v>
      </c>
      <c r="I1851" s="3">
        <v>0.66757340802854248</v>
      </c>
      <c r="J1851" s="128">
        <v>1.1139029962029519E-3</v>
      </c>
      <c r="K1851" s="128"/>
      <c r="L1851" s="128">
        <v>3.7199999999999997E-2</v>
      </c>
      <c r="O1851" s="2"/>
    </row>
    <row r="1852" spans="2:15" x14ac:dyDescent="0.2">
      <c r="B1852" s="1">
        <v>1837</v>
      </c>
      <c r="C1852" s="5">
        <f ca="1">_xlfn.NORM.S.INV(RAND())</f>
        <v>1.3821808520190861</v>
      </c>
      <c r="D1852" s="5">
        <f ca="1">S0*EXP((μ-0.5*σ*σ)*T+σ*SQRT(T)*$C1852)</f>
        <v>0.76151445923451522</v>
      </c>
      <c r="E1852" s="5">
        <f ca="1">MAX(0,CP*(D1852-K))</f>
        <v>0</v>
      </c>
      <c r="F1852" s="4">
        <f ca="1">(CP*(D1852-K)&gt;0)*1</f>
        <v>0</v>
      </c>
      <c r="H1852" s="4">
        <v>1837</v>
      </c>
      <c r="I1852" s="3">
        <v>0.66764222089631275</v>
      </c>
      <c r="J1852" s="128">
        <v>1.3166583058767545E-3</v>
      </c>
      <c r="K1852" s="128"/>
      <c r="L1852" s="128">
        <v>4.1399999999999999E-2</v>
      </c>
      <c r="O1852" s="2"/>
    </row>
    <row r="1853" spans="2:15" x14ac:dyDescent="0.2">
      <c r="B1853" s="1">
        <v>1838</v>
      </c>
      <c r="C1853" s="5">
        <f ca="1">_xlfn.NORM.S.INV(RAND())</f>
        <v>-0.91550123917446125</v>
      </c>
      <c r="D1853" s="5">
        <f ca="1">S0*EXP((μ-0.5*σ*σ)*T+σ*SQRT(T)*$C1853)</f>
        <v>0.60715644726493856</v>
      </c>
      <c r="E1853" s="5">
        <f ca="1">MAX(0,CP*(D1853-K))</f>
        <v>0</v>
      </c>
      <c r="F1853" s="4">
        <f ca="1">(CP*(D1853-K)&gt;0)*1</f>
        <v>0</v>
      </c>
      <c r="H1853" s="4">
        <v>1838</v>
      </c>
      <c r="I1853" s="3">
        <v>0.66764983895409846</v>
      </c>
      <c r="J1853" s="128">
        <v>1.183164721188673E-3</v>
      </c>
      <c r="K1853" s="128"/>
      <c r="L1853" s="128">
        <v>3.9399999999999998E-2</v>
      </c>
      <c r="O1853" s="2"/>
    </row>
    <row r="1854" spans="2:15" x14ac:dyDescent="0.2">
      <c r="B1854" s="1">
        <v>1839</v>
      </c>
      <c r="C1854" s="5">
        <f ca="1">_xlfn.NORM.S.INV(RAND())</f>
        <v>-0.48691306254698702</v>
      </c>
      <c r="D1854" s="5">
        <f ca="1">S0*EXP((μ-0.5*σ*σ)*T+σ*SQRT(T)*$C1854)</f>
        <v>0.63336059496307273</v>
      </c>
      <c r="E1854" s="5">
        <f ca="1">MAX(0,CP*(D1854-K))</f>
        <v>0</v>
      </c>
      <c r="F1854" s="4">
        <f ca="1">(CP*(D1854-K)&gt;0)*1</f>
        <v>0</v>
      </c>
      <c r="H1854" s="4">
        <v>1839</v>
      </c>
      <c r="I1854" s="3">
        <v>0.6677619393285873</v>
      </c>
      <c r="J1854" s="128">
        <v>1.3589589227113285E-3</v>
      </c>
      <c r="K1854" s="128"/>
      <c r="L1854" s="128">
        <v>4.3400000000000001E-2</v>
      </c>
      <c r="O1854" s="2"/>
    </row>
    <row r="1855" spans="2:15" x14ac:dyDescent="0.2">
      <c r="B1855" s="1">
        <v>1840</v>
      </c>
      <c r="C1855" s="5">
        <f ca="1">_xlfn.NORM.S.INV(RAND())</f>
        <v>0.13516278382727498</v>
      </c>
      <c r="D1855" s="5">
        <f ca="1">S0*EXP((μ-0.5*σ*σ)*T+σ*SQRT(T)*$C1855)</f>
        <v>0.67341972901931779</v>
      </c>
      <c r="E1855" s="5">
        <f ca="1">MAX(0,CP*(D1855-K))</f>
        <v>0</v>
      </c>
      <c r="F1855" s="4">
        <f ca="1">(CP*(D1855-K)&gt;0)*1</f>
        <v>0</v>
      </c>
      <c r="H1855" s="4">
        <v>1840</v>
      </c>
      <c r="I1855" s="3">
        <v>0.66765710164212255</v>
      </c>
      <c r="J1855" s="128">
        <v>1.2829576816516539E-3</v>
      </c>
      <c r="K1855" s="128"/>
      <c r="L1855" s="128">
        <v>4.02E-2</v>
      </c>
      <c r="O1855" s="2"/>
    </row>
    <row r="1856" spans="2:15" x14ac:dyDescent="0.2">
      <c r="B1856" s="1">
        <v>1841</v>
      </c>
      <c r="C1856" s="5">
        <f ca="1">_xlfn.NORM.S.INV(RAND())</f>
        <v>-0.1141824073948407</v>
      </c>
      <c r="D1856" s="5">
        <f ca="1">S0*EXP((μ-0.5*σ*σ)*T+σ*SQRT(T)*$C1856)</f>
        <v>0.65706732882892049</v>
      </c>
      <c r="E1856" s="5">
        <f ca="1">MAX(0,CP*(D1856-K))</f>
        <v>0</v>
      </c>
      <c r="F1856" s="4">
        <f ca="1">(CP*(D1856-K)&gt;0)*1</f>
        <v>0</v>
      </c>
      <c r="H1856" s="4">
        <v>1841</v>
      </c>
      <c r="I1856" s="3">
        <v>0.6677146696839884</v>
      </c>
      <c r="J1856" s="128">
        <v>1.46903297821817E-3</v>
      </c>
      <c r="K1856" s="128"/>
      <c r="L1856" s="128">
        <v>4.1799999999999997E-2</v>
      </c>
      <c r="O1856" s="2"/>
    </row>
    <row r="1857" spans="2:15" x14ac:dyDescent="0.2">
      <c r="B1857" s="1">
        <v>1842</v>
      </c>
      <c r="C1857" s="5">
        <f ca="1">_xlfn.NORM.S.INV(RAND())</f>
        <v>9.9090771639588723E-2</v>
      </c>
      <c r="D1857" s="5">
        <f ca="1">S0*EXP((μ-0.5*σ*σ)*T+σ*SQRT(T)*$C1857)</f>
        <v>0.67102913447214574</v>
      </c>
      <c r="E1857" s="5">
        <f ca="1">MAX(0,CP*(D1857-K))</f>
        <v>0</v>
      </c>
      <c r="F1857" s="4">
        <f ca="1">(CP*(D1857-K)&gt;0)*1</f>
        <v>0</v>
      </c>
      <c r="H1857" s="4">
        <v>1842</v>
      </c>
      <c r="I1857" s="3">
        <v>0.66777202567099136</v>
      </c>
      <c r="J1857" s="128">
        <v>1.3831239227296678E-3</v>
      </c>
      <c r="K1857" s="128"/>
      <c r="L1857" s="128">
        <v>4.2799999999999998E-2</v>
      </c>
      <c r="O1857" s="2"/>
    </row>
    <row r="1858" spans="2:15" x14ac:dyDescent="0.2">
      <c r="B1858" s="1">
        <v>1843</v>
      </c>
      <c r="C1858" s="5">
        <f ca="1">_xlfn.NORM.S.INV(RAND())</f>
        <v>-3.1965121951505511</v>
      </c>
      <c r="D1858" s="5">
        <f ca="1">S0*EXP((μ-0.5*σ*σ)*T+σ*SQRT(T)*$C1858)</f>
        <v>0.48488288993923961</v>
      </c>
      <c r="E1858" s="5">
        <f ca="1">MAX(0,CP*(D1858-K))</f>
        <v>0</v>
      </c>
      <c r="F1858" s="4">
        <f ca="1">(CP*(D1858-K)&gt;0)*1</f>
        <v>0</v>
      </c>
      <c r="H1858" s="4">
        <v>1843</v>
      </c>
      <c r="I1858" s="3">
        <v>0.66784630302333448</v>
      </c>
      <c r="J1858" s="128">
        <v>1.4549513224695759E-3</v>
      </c>
      <c r="K1858" s="128"/>
      <c r="L1858" s="128">
        <v>4.3799999999999999E-2</v>
      </c>
      <c r="O1858" s="2"/>
    </row>
    <row r="1859" spans="2:15" x14ac:dyDescent="0.2">
      <c r="B1859" s="1">
        <v>1844</v>
      </c>
      <c r="C1859" s="5">
        <f ca="1">_xlfn.NORM.S.INV(RAND())</f>
        <v>0.58678648420086232</v>
      </c>
      <c r="D1859" s="5">
        <f ca="1">S0*EXP((μ-0.5*σ*σ)*T+σ*SQRT(T)*$C1859)</f>
        <v>0.70408088414972347</v>
      </c>
      <c r="E1859" s="5">
        <f ca="1">MAX(0,CP*(D1859-K))</f>
        <v>0</v>
      </c>
      <c r="F1859" s="4">
        <f ca="1">(CP*(D1859-K)&gt;0)*1</f>
        <v>0</v>
      </c>
      <c r="H1859" s="4">
        <v>1844</v>
      </c>
      <c r="I1859" s="3">
        <v>0.6676776989720633</v>
      </c>
      <c r="J1859" s="128">
        <v>1.3969950237318308E-3</v>
      </c>
      <c r="K1859" s="128"/>
      <c r="L1859" s="128">
        <v>0.04</v>
      </c>
      <c r="O1859" s="2"/>
    </row>
    <row r="1860" spans="2:15" x14ac:dyDescent="0.2">
      <c r="B1860" s="1">
        <v>1845</v>
      </c>
      <c r="C1860" s="5">
        <f ca="1">_xlfn.NORM.S.INV(RAND())</f>
        <v>1.668267232172765</v>
      </c>
      <c r="D1860" s="5">
        <f ca="1">S0*EXP((μ-0.5*σ*σ)*T+σ*SQRT(T)*$C1860)</f>
        <v>0.78329837697400995</v>
      </c>
      <c r="E1860" s="5">
        <f ca="1">MAX(0,CP*(D1860-K))</f>
        <v>0</v>
      </c>
      <c r="F1860" s="4">
        <f ca="1">(CP*(D1860-K)&gt;0)*1</f>
        <v>0</v>
      </c>
      <c r="H1860" s="4">
        <v>1845</v>
      </c>
      <c r="I1860" s="3">
        <v>0.66784655032915585</v>
      </c>
      <c r="J1860" s="128">
        <v>1.4159535575508392E-3</v>
      </c>
      <c r="K1860" s="128"/>
      <c r="L1860" s="128">
        <v>4.5199999999999997E-2</v>
      </c>
      <c r="O1860" s="2"/>
    </row>
    <row r="1861" spans="2:15" x14ac:dyDescent="0.2">
      <c r="B1861" s="1">
        <v>1846</v>
      </c>
      <c r="C1861" s="5">
        <f ca="1">_xlfn.NORM.S.INV(RAND())</f>
        <v>0.18685058221944498</v>
      </c>
      <c r="D1861" s="5">
        <f ca="1">S0*EXP((μ-0.5*σ*σ)*T+σ*SQRT(T)*$C1861)</f>
        <v>0.67686007874317222</v>
      </c>
      <c r="E1861" s="5">
        <f ca="1">MAX(0,CP*(D1861-K))</f>
        <v>0</v>
      </c>
      <c r="F1861" s="4">
        <f ca="1">(CP*(D1861-K)&gt;0)*1</f>
        <v>0</v>
      </c>
      <c r="H1861" s="4">
        <v>1846</v>
      </c>
      <c r="I1861" s="3">
        <v>0.66772255626701293</v>
      </c>
      <c r="J1861" s="128">
        <v>1.330245518219483E-3</v>
      </c>
      <c r="K1861" s="128"/>
      <c r="L1861" s="128">
        <v>4.1399999999999999E-2</v>
      </c>
      <c r="O1861" s="2"/>
    </row>
    <row r="1862" spans="2:15" x14ac:dyDescent="0.2">
      <c r="B1862" s="1">
        <v>1847</v>
      </c>
      <c r="C1862" s="5">
        <f ca="1">_xlfn.NORM.S.INV(RAND())</f>
        <v>0.61947065548914659</v>
      </c>
      <c r="D1862" s="5">
        <f ca="1">S0*EXP((μ-0.5*σ*σ)*T+σ*SQRT(T)*$C1862)</f>
        <v>0.70635326772876394</v>
      </c>
      <c r="E1862" s="5">
        <f ca="1">MAX(0,CP*(D1862-K))</f>
        <v>0</v>
      </c>
      <c r="F1862" s="4">
        <f ca="1">(CP*(D1862-K)&gt;0)*1</f>
        <v>0</v>
      </c>
      <c r="H1862" s="4">
        <v>1847</v>
      </c>
      <c r="I1862" s="3">
        <v>0.66786030723134149</v>
      </c>
      <c r="J1862" s="128">
        <v>1.4614210279390715E-3</v>
      </c>
      <c r="K1862" s="128"/>
      <c r="L1862" s="128">
        <v>4.24E-2</v>
      </c>
      <c r="O1862" s="2"/>
    </row>
    <row r="1863" spans="2:15" x14ac:dyDescent="0.2">
      <c r="B1863" s="1">
        <v>1848</v>
      </c>
      <c r="C1863" s="5">
        <f ca="1">_xlfn.NORM.S.INV(RAND())</f>
        <v>0.81382061974901199</v>
      </c>
      <c r="D1863" s="5">
        <f ca="1">S0*EXP((μ-0.5*σ*σ)*T+σ*SQRT(T)*$C1863)</f>
        <v>0.72001782077884524</v>
      </c>
      <c r="E1863" s="5">
        <f ca="1">MAX(0,CP*(D1863-K))</f>
        <v>0</v>
      </c>
      <c r="F1863" s="4">
        <f ca="1">(CP*(D1863-K)&gt;0)*1</f>
        <v>0</v>
      </c>
      <c r="H1863" s="4">
        <v>1848</v>
      </c>
      <c r="I1863" s="3">
        <v>0.66775145133986191</v>
      </c>
      <c r="J1863" s="128">
        <v>1.345193946819457E-3</v>
      </c>
      <c r="K1863" s="128"/>
      <c r="L1863" s="128">
        <v>4.0599999999999997E-2</v>
      </c>
      <c r="O1863" s="2"/>
    </row>
    <row r="1864" spans="2:15" x14ac:dyDescent="0.2">
      <c r="B1864" s="1">
        <v>1849</v>
      </c>
      <c r="C1864" s="5">
        <f ca="1">_xlfn.NORM.S.INV(RAND())</f>
        <v>0.49029899211897177</v>
      </c>
      <c r="D1864" s="5">
        <f ca="1">S0*EXP((μ-0.5*σ*σ)*T+σ*SQRT(T)*$C1864)</f>
        <v>0.69741509878195573</v>
      </c>
      <c r="E1864" s="5">
        <f ca="1">MAX(0,CP*(D1864-K))</f>
        <v>0</v>
      </c>
      <c r="F1864" s="4">
        <f ca="1">(CP*(D1864-K)&gt;0)*1</f>
        <v>0</v>
      </c>
      <c r="H1864" s="4">
        <v>1849</v>
      </c>
      <c r="I1864" s="3">
        <v>0.66785447815855192</v>
      </c>
      <c r="J1864" s="128">
        <v>1.4903729392581483E-3</v>
      </c>
      <c r="K1864" s="128"/>
      <c r="L1864" s="128">
        <v>4.3999999999999997E-2</v>
      </c>
      <c r="O1864" s="2"/>
    </row>
    <row r="1865" spans="2:15" x14ac:dyDescent="0.2">
      <c r="B1865" s="1">
        <v>1850</v>
      </c>
      <c r="C1865" s="5">
        <f ca="1">_xlfn.NORM.S.INV(RAND())</f>
        <v>0.87046099054079218</v>
      </c>
      <c r="D1865" s="5">
        <f ca="1">S0*EXP((μ-0.5*σ*σ)*T+σ*SQRT(T)*$C1865)</f>
        <v>0.72404966900248535</v>
      </c>
      <c r="E1865" s="5">
        <f ca="1">MAX(0,CP*(D1865-K))</f>
        <v>0</v>
      </c>
      <c r="F1865" s="4">
        <f ca="1">(CP*(D1865-K)&gt;0)*1</f>
        <v>0</v>
      </c>
      <c r="H1865" s="4">
        <v>1850</v>
      </c>
      <c r="I1865" s="3">
        <v>0.66773959482085798</v>
      </c>
      <c r="J1865" s="128">
        <v>1.3928962575179115E-3</v>
      </c>
      <c r="K1865" s="128"/>
      <c r="L1865" s="128">
        <v>4.02E-2</v>
      </c>
      <c r="O1865" s="2"/>
    </row>
    <row r="1866" spans="2:15" x14ac:dyDescent="0.2">
      <c r="B1866" s="1">
        <v>1851</v>
      </c>
      <c r="C1866" s="5">
        <f ca="1">_xlfn.NORM.S.INV(RAND())</f>
        <v>-1.1118387476368621</v>
      </c>
      <c r="D1866" s="5">
        <f ca="1">S0*EXP((μ-0.5*σ*σ)*T+σ*SQRT(T)*$C1866)</f>
        <v>0.59551708476659504</v>
      </c>
      <c r="E1866" s="5">
        <f ca="1">MAX(0,CP*(D1866-K))</f>
        <v>0</v>
      </c>
      <c r="F1866" s="4">
        <f ca="1">(CP*(D1866-K)&gt;0)*1</f>
        <v>0</v>
      </c>
      <c r="H1866" s="4">
        <v>1851</v>
      </c>
      <c r="I1866" s="3">
        <v>0.66784999385129573</v>
      </c>
      <c r="J1866" s="128">
        <v>1.5093216746221354E-3</v>
      </c>
      <c r="K1866" s="128"/>
      <c r="L1866" s="128">
        <v>4.36E-2</v>
      </c>
      <c r="O1866" s="2"/>
    </row>
    <row r="1867" spans="2:15" x14ac:dyDescent="0.2">
      <c r="B1867" s="1">
        <v>1852</v>
      </c>
      <c r="C1867" s="5">
        <f ca="1">_xlfn.NORM.S.INV(RAND())</f>
        <v>2.3395098493891653</v>
      </c>
      <c r="D1867" s="5">
        <f ca="1">S0*EXP((μ-0.5*σ*σ)*T+σ*SQRT(T)*$C1867)</f>
        <v>0.83688762611569967</v>
      </c>
      <c r="E1867" s="5">
        <f ca="1">MAX(0,CP*(D1867-K))</f>
        <v>4.8687626115699656E-2</v>
      </c>
      <c r="F1867" s="4">
        <f ca="1">(CP*(D1867-K)&gt;0)*1</f>
        <v>1</v>
      </c>
      <c r="H1867" s="4">
        <v>1852</v>
      </c>
      <c r="I1867" s="3">
        <v>0.66786018892530841</v>
      </c>
      <c r="J1867" s="128">
        <v>1.4547362662531197E-3</v>
      </c>
      <c r="K1867" s="128"/>
      <c r="L1867" s="128">
        <v>4.3400000000000001E-2</v>
      </c>
      <c r="O1867" s="2"/>
    </row>
    <row r="1868" spans="2:15" x14ac:dyDescent="0.2">
      <c r="B1868" s="1">
        <v>1853</v>
      </c>
      <c r="C1868" s="5">
        <f ca="1">_xlfn.NORM.S.INV(RAND())</f>
        <v>-1.5197009842767326</v>
      </c>
      <c r="D1868" s="5">
        <f ca="1">S0*EXP((μ-0.5*σ*σ)*T+σ*SQRT(T)*$C1868)</f>
        <v>0.57204632293575075</v>
      </c>
      <c r="E1868" s="5">
        <f ca="1">MAX(0,CP*(D1868-K))</f>
        <v>0</v>
      </c>
      <c r="F1868" s="4">
        <f ca="1">(CP*(D1868-K)&gt;0)*1</f>
        <v>0</v>
      </c>
      <c r="H1868" s="4">
        <v>1853</v>
      </c>
      <c r="I1868" s="3">
        <v>0.66779984972792861</v>
      </c>
      <c r="J1868" s="128">
        <v>1.6652054445879059E-3</v>
      </c>
      <c r="K1868" s="128"/>
      <c r="L1868" s="128">
        <v>4.4200000000000003E-2</v>
      </c>
      <c r="O1868" s="2"/>
    </row>
    <row r="1869" spans="2:15" x14ac:dyDescent="0.2">
      <c r="B1869" s="1">
        <v>1854</v>
      </c>
      <c r="C1869" s="5">
        <f ca="1">_xlfn.NORM.S.INV(RAND())</f>
        <v>0.78300119192494233</v>
      </c>
      <c r="D1869" s="5">
        <f ca="1">S0*EXP((μ-0.5*σ*σ)*T+σ*SQRT(T)*$C1869)</f>
        <v>0.71783343207229988</v>
      </c>
      <c r="E1869" s="5">
        <f ca="1">MAX(0,CP*(D1869-K))</f>
        <v>0</v>
      </c>
      <c r="F1869" s="4">
        <f ca="1">(CP*(D1869-K)&gt;0)*1</f>
        <v>0</v>
      </c>
      <c r="H1869" s="4">
        <v>1854</v>
      </c>
      <c r="I1869" s="3">
        <v>0.6678040715334268</v>
      </c>
      <c r="J1869" s="128">
        <v>1.4215307276234622E-3</v>
      </c>
      <c r="K1869" s="128"/>
      <c r="L1869" s="128">
        <v>4.0800000000000003E-2</v>
      </c>
      <c r="O1869" s="2"/>
    </row>
    <row r="1870" spans="2:15" x14ac:dyDescent="0.2">
      <c r="B1870" s="1">
        <v>1855</v>
      </c>
      <c r="C1870" s="5">
        <f ca="1">_xlfn.NORM.S.INV(RAND())</f>
        <v>-0.12708695567785153</v>
      </c>
      <c r="D1870" s="5">
        <f ca="1">S0*EXP((μ-0.5*σ*σ)*T+σ*SQRT(T)*$C1870)</f>
        <v>0.65623192171415479</v>
      </c>
      <c r="E1870" s="5">
        <f ca="1">MAX(0,CP*(D1870-K))</f>
        <v>0</v>
      </c>
      <c r="F1870" s="4">
        <f ca="1">(CP*(D1870-K)&gt;0)*1</f>
        <v>0</v>
      </c>
      <c r="H1870" s="4">
        <v>1855</v>
      </c>
      <c r="I1870" s="3">
        <v>0.66764915083807697</v>
      </c>
      <c r="J1870" s="128">
        <v>1.2741612033135355E-3</v>
      </c>
      <c r="K1870" s="128"/>
      <c r="L1870" s="128">
        <v>4.0399999999999998E-2</v>
      </c>
      <c r="O1870" s="2"/>
    </row>
    <row r="1871" spans="2:15" x14ac:dyDescent="0.2">
      <c r="B1871" s="1">
        <v>1856</v>
      </c>
      <c r="C1871" s="5">
        <f ca="1">_xlfn.NORM.S.INV(RAND())</f>
        <v>-0.37742077423289211</v>
      </c>
      <c r="D1871" s="5">
        <f ca="1">S0*EXP((μ-0.5*σ*σ)*T+σ*SQRT(T)*$C1871)</f>
        <v>0.64023448233367175</v>
      </c>
      <c r="E1871" s="5">
        <f ca="1">MAX(0,CP*(D1871-K))</f>
        <v>0</v>
      </c>
      <c r="F1871" s="4">
        <f ca="1">(CP*(D1871-K)&gt;0)*1</f>
        <v>0</v>
      </c>
      <c r="H1871" s="4">
        <v>1856</v>
      </c>
      <c r="I1871" s="3">
        <v>0.66772153893862818</v>
      </c>
      <c r="J1871" s="128">
        <v>1.2991795370917753E-3</v>
      </c>
      <c r="K1871" s="128"/>
      <c r="L1871" s="128">
        <v>4.1799999999999997E-2</v>
      </c>
      <c r="O1871" s="2"/>
    </row>
    <row r="1872" spans="2:15" x14ac:dyDescent="0.2">
      <c r="B1872" s="1">
        <v>1857</v>
      </c>
      <c r="C1872" s="5">
        <f ca="1">_xlfn.NORM.S.INV(RAND())</f>
        <v>1.1411454514229413</v>
      </c>
      <c r="D1872" s="5">
        <f ca="1">S0*EXP((μ-0.5*σ*σ)*T+σ*SQRT(T)*$C1872)</f>
        <v>0.74363185195310466</v>
      </c>
      <c r="E1872" s="5">
        <f ca="1">MAX(0,CP*(D1872-K))</f>
        <v>0</v>
      </c>
      <c r="F1872" s="4">
        <f ca="1">(CP*(D1872-K)&gt;0)*1</f>
        <v>0</v>
      </c>
      <c r="H1872" s="4">
        <v>1857</v>
      </c>
      <c r="I1872" s="3">
        <v>0.66758207090052524</v>
      </c>
      <c r="J1872" s="128">
        <v>1.1929770918676218E-3</v>
      </c>
      <c r="K1872" s="128"/>
      <c r="L1872" s="128">
        <v>3.6200000000000003E-2</v>
      </c>
      <c r="O1872" s="2"/>
    </row>
    <row r="1873" spans="2:15" x14ac:dyDescent="0.2">
      <c r="B1873" s="1">
        <v>1858</v>
      </c>
      <c r="C1873" s="5">
        <f ca="1">_xlfn.NORM.S.INV(RAND())</f>
        <v>-0.10964244967168967</v>
      </c>
      <c r="D1873" s="5">
        <f ca="1">S0*EXP((μ-0.5*σ*σ)*T+σ*SQRT(T)*$C1873)</f>
        <v>0.65736148678393225</v>
      </c>
      <c r="E1873" s="5">
        <f ca="1">MAX(0,CP*(D1873-K))</f>
        <v>0</v>
      </c>
      <c r="F1873" s="4">
        <f ca="1">(CP*(D1873-K)&gt;0)*1</f>
        <v>0</v>
      </c>
      <c r="H1873" s="4">
        <v>1858</v>
      </c>
      <c r="I1873" s="3">
        <v>0.6678601743737097</v>
      </c>
      <c r="J1873" s="128">
        <v>1.5319462526065027E-3</v>
      </c>
      <c r="K1873" s="128"/>
      <c r="L1873" s="128">
        <v>4.2599999999999999E-2</v>
      </c>
      <c r="O1873" s="2"/>
    </row>
    <row r="1874" spans="2:15" x14ac:dyDescent="0.2">
      <c r="B1874" s="1">
        <v>1859</v>
      </c>
      <c r="C1874" s="5">
        <f ca="1">_xlfn.NORM.S.INV(RAND())</f>
        <v>-0.88922973046349907</v>
      </c>
      <c r="D1874" s="5">
        <f ca="1">S0*EXP((μ-0.5*σ*σ)*T+σ*SQRT(T)*$C1874)</f>
        <v>0.60873104596073235</v>
      </c>
      <c r="E1874" s="5">
        <f ca="1">MAX(0,CP*(D1874-K))</f>
        <v>0</v>
      </c>
      <c r="F1874" s="4">
        <f ca="1">(CP*(D1874-K)&gt;0)*1</f>
        <v>0</v>
      </c>
      <c r="H1874" s="4">
        <v>1859</v>
      </c>
      <c r="I1874" s="3">
        <v>0.66777257884868135</v>
      </c>
      <c r="J1874" s="128">
        <v>1.398893068559815E-3</v>
      </c>
      <c r="K1874" s="128"/>
      <c r="L1874" s="128">
        <v>4.2200000000000001E-2</v>
      </c>
      <c r="O1874" s="2"/>
    </row>
    <row r="1875" spans="2:15" x14ac:dyDescent="0.2">
      <c r="B1875" s="1">
        <v>1860</v>
      </c>
      <c r="C1875" s="5">
        <f ca="1">_xlfn.NORM.S.INV(RAND())</f>
        <v>-5.9027429789762879E-2</v>
      </c>
      <c r="D1875" s="5">
        <f ca="1">S0*EXP((μ-0.5*σ*σ)*T+σ*SQRT(T)*$C1875)</f>
        <v>0.66064992286992519</v>
      </c>
      <c r="E1875" s="5">
        <f ca="1">MAX(0,CP*(D1875-K))</f>
        <v>0</v>
      </c>
      <c r="F1875" s="4">
        <f ca="1">(CP*(D1875-K)&gt;0)*1</f>
        <v>0</v>
      </c>
      <c r="H1875" s="4">
        <v>1860</v>
      </c>
      <c r="I1875" s="3">
        <v>0.66767084221194284</v>
      </c>
      <c r="J1875" s="128">
        <v>1.2729583700723205E-3</v>
      </c>
      <c r="K1875" s="128"/>
      <c r="L1875" s="128">
        <v>4.1399999999999999E-2</v>
      </c>
      <c r="O1875" s="2"/>
    </row>
    <row r="1876" spans="2:15" x14ac:dyDescent="0.2">
      <c r="B1876" s="1">
        <v>1861</v>
      </c>
      <c r="C1876" s="5">
        <f ca="1">_xlfn.NORM.S.INV(RAND())</f>
        <v>0.14197888416679963</v>
      </c>
      <c r="D1876" s="5">
        <f ca="1">S0*EXP((μ-0.5*σ*σ)*T+σ*SQRT(T)*$C1876)</f>
        <v>0.67387240709231311</v>
      </c>
      <c r="E1876" s="5">
        <f ca="1">MAX(0,CP*(D1876-K))</f>
        <v>0</v>
      </c>
      <c r="F1876" s="4">
        <f ca="1">(CP*(D1876-K)&gt;0)*1</f>
        <v>0</v>
      </c>
      <c r="H1876" s="4">
        <v>1861</v>
      </c>
      <c r="I1876" s="3">
        <v>0.66760143039846831</v>
      </c>
      <c r="J1876" s="128">
        <v>1.1685994977987185E-3</v>
      </c>
      <c r="K1876" s="128"/>
      <c r="L1876" s="128">
        <v>4.02E-2</v>
      </c>
      <c r="O1876" s="2"/>
    </row>
    <row r="1877" spans="2:15" x14ac:dyDescent="0.2">
      <c r="B1877" s="1">
        <v>1862</v>
      </c>
      <c r="C1877" s="5">
        <f ca="1">_xlfn.NORM.S.INV(RAND())</f>
        <v>0.34445558240427115</v>
      </c>
      <c r="D1877" s="5">
        <f ca="1">S0*EXP((μ-0.5*σ*σ)*T+σ*SQRT(T)*$C1877)</f>
        <v>0.68745917871815032</v>
      </c>
      <c r="E1877" s="5">
        <f ca="1">MAX(0,CP*(D1877-K))</f>
        <v>0</v>
      </c>
      <c r="F1877" s="4">
        <f ca="1">(CP*(D1877-K)&gt;0)*1</f>
        <v>0</v>
      </c>
      <c r="H1877" s="4">
        <v>1862</v>
      </c>
      <c r="I1877" s="3">
        <v>0.667807337267187</v>
      </c>
      <c r="J1877" s="128">
        <v>1.4230421767907214E-3</v>
      </c>
      <c r="K1877" s="128"/>
      <c r="L1877" s="128">
        <v>4.1399999999999999E-2</v>
      </c>
      <c r="O1877" s="2"/>
    </row>
    <row r="1878" spans="2:15" x14ac:dyDescent="0.2">
      <c r="B1878" s="1">
        <v>1863</v>
      </c>
      <c r="C1878" s="5">
        <f ca="1">_xlfn.NORM.S.INV(RAND())</f>
        <v>-2.2478033324256153</v>
      </c>
      <c r="D1878" s="5">
        <f ca="1">S0*EXP((μ-0.5*σ*σ)*T+σ*SQRT(T)*$C1878)</f>
        <v>0.53242295626006597</v>
      </c>
      <c r="E1878" s="5">
        <f ca="1">MAX(0,CP*(D1878-K))</f>
        <v>0</v>
      </c>
      <c r="F1878" s="4">
        <f ca="1">(CP*(D1878-K)&gt;0)*1</f>
        <v>0</v>
      </c>
      <c r="H1878" s="4">
        <v>1863</v>
      </c>
      <c r="I1878" s="3">
        <v>0.66789296027580902</v>
      </c>
      <c r="J1878" s="128">
        <v>1.4865058762165574E-3</v>
      </c>
      <c r="K1878" s="128"/>
      <c r="L1878" s="128">
        <v>4.7399999999999998E-2</v>
      </c>
      <c r="O1878" s="2"/>
    </row>
    <row r="1879" spans="2:15" x14ac:dyDescent="0.2">
      <c r="B1879" s="1">
        <v>1864</v>
      </c>
      <c r="C1879" s="5">
        <f ca="1">_xlfn.NORM.S.INV(RAND())</f>
        <v>0.23177697794086771</v>
      </c>
      <c r="D1879" s="5">
        <f ca="1">S0*EXP((μ-0.5*σ*σ)*T+σ*SQRT(T)*$C1879)</f>
        <v>0.67986466265847278</v>
      </c>
      <c r="E1879" s="5">
        <f ca="1">MAX(0,CP*(D1879-K))</f>
        <v>0</v>
      </c>
      <c r="F1879" s="4">
        <f ca="1">(CP*(D1879-K)&gt;0)*1</f>
        <v>0</v>
      </c>
      <c r="H1879" s="4">
        <v>1864</v>
      </c>
      <c r="I1879" s="3">
        <v>0.66781080307579543</v>
      </c>
      <c r="J1879" s="128">
        <v>1.6091724153706743E-3</v>
      </c>
      <c r="K1879" s="128"/>
      <c r="L1879" s="128">
        <v>4.2599999999999999E-2</v>
      </c>
      <c r="O1879" s="2"/>
    </row>
    <row r="1880" spans="2:15" x14ac:dyDescent="0.2">
      <c r="B1880" s="1">
        <v>1865</v>
      </c>
      <c r="C1880" s="5">
        <f ca="1">_xlfn.NORM.S.INV(RAND())</f>
        <v>-1.2046960850380097</v>
      </c>
      <c r="D1880" s="5">
        <f ca="1">S0*EXP((μ-0.5*σ*σ)*T+σ*SQRT(T)*$C1880)</f>
        <v>0.59009025998633458</v>
      </c>
      <c r="E1880" s="5">
        <f ca="1">MAX(0,CP*(D1880-K))</f>
        <v>0</v>
      </c>
      <c r="F1880" s="4">
        <f ca="1">(CP*(D1880-K)&gt;0)*1</f>
        <v>0</v>
      </c>
      <c r="H1880" s="4">
        <v>1865</v>
      </c>
      <c r="I1880" s="3">
        <v>0.66762994434044443</v>
      </c>
      <c r="J1880" s="128">
        <v>1.2324362832037161E-3</v>
      </c>
      <c r="K1880" s="128"/>
      <c r="L1880" s="128">
        <v>3.78E-2</v>
      </c>
      <c r="O1880" s="2"/>
    </row>
    <row r="1881" spans="2:15" x14ac:dyDescent="0.2">
      <c r="B1881" s="1">
        <v>1866</v>
      </c>
      <c r="C1881" s="5">
        <f ca="1">_xlfn.NORM.S.INV(RAND())</f>
        <v>0.5021694656931196</v>
      </c>
      <c r="D1881" s="5">
        <f ca="1">S0*EXP((μ-0.5*σ*σ)*T+σ*SQRT(T)*$C1881)</f>
        <v>0.69823174745248484</v>
      </c>
      <c r="E1881" s="5">
        <f ca="1">MAX(0,CP*(D1881-K))</f>
        <v>0</v>
      </c>
      <c r="F1881" s="4">
        <f ca="1">(CP*(D1881-K)&gt;0)*1</f>
        <v>0</v>
      </c>
      <c r="H1881" s="4">
        <v>1866</v>
      </c>
      <c r="I1881" s="3">
        <v>0.6677462594436433</v>
      </c>
      <c r="J1881" s="128">
        <v>1.3212389765649081E-3</v>
      </c>
      <c r="K1881" s="128"/>
      <c r="L1881" s="128">
        <v>4.24E-2</v>
      </c>
      <c r="O1881" s="2"/>
    </row>
    <row r="1882" spans="2:15" x14ac:dyDescent="0.2">
      <c r="B1882" s="1">
        <v>1867</v>
      </c>
      <c r="C1882" s="5">
        <f ca="1">_xlfn.NORM.S.INV(RAND())</f>
        <v>-1.4100701794230981</v>
      </c>
      <c r="D1882" s="5">
        <f ca="1">S0*EXP((μ-0.5*σ*σ)*T+σ*SQRT(T)*$C1882)</f>
        <v>0.5782626608061362</v>
      </c>
      <c r="E1882" s="5">
        <f ca="1">MAX(0,CP*(D1882-K))</f>
        <v>0</v>
      </c>
      <c r="F1882" s="4">
        <f ca="1">(CP*(D1882-K)&gt;0)*1</f>
        <v>0</v>
      </c>
      <c r="H1882" s="4">
        <v>1867</v>
      </c>
      <c r="I1882" s="3">
        <v>0.66770775363458623</v>
      </c>
      <c r="J1882" s="128">
        <v>1.3672433724495666E-3</v>
      </c>
      <c r="K1882" s="128"/>
      <c r="L1882" s="128">
        <v>4.02E-2</v>
      </c>
      <c r="O1882" s="2"/>
    </row>
    <row r="1883" spans="2:15" x14ac:dyDescent="0.2">
      <c r="B1883" s="1">
        <v>1868</v>
      </c>
      <c r="C1883" s="5">
        <f ca="1">_xlfn.NORM.S.INV(RAND())</f>
        <v>0.2633707792772953</v>
      </c>
      <c r="D1883" s="5">
        <f ca="1">S0*EXP((μ-0.5*σ*σ)*T+σ*SQRT(T)*$C1883)</f>
        <v>0.68198557445416541</v>
      </c>
      <c r="E1883" s="5">
        <f ca="1">MAX(0,CP*(D1883-K))</f>
        <v>0</v>
      </c>
      <c r="F1883" s="4">
        <f ca="1">(CP*(D1883-K)&gt;0)*1</f>
        <v>0</v>
      </c>
      <c r="H1883" s="4">
        <v>1868</v>
      </c>
      <c r="I1883" s="3">
        <v>0.66774419273638408</v>
      </c>
      <c r="J1883" s="128">
        <v>1.3764168548663217E-3</v>
      </c>
      <c r="K1883" s="128"/>
      <c r="L1883" s="128">
        <v>4.2999999999999997E-2</v>
      </c>
      <c r="O1883" s="2"/>
    </row>
    <row r="1884" spans="2:15" x14ac:dyDescent="0.2">
      <c r="B1884" s="1">
        <v>1869</v>
      </c>
      <c r="C1884" s="5">
        <f ca="1">_xlfn.NORM.S.INV(RAND())</f>
        <v>1.731227812754188</v>
      </c>
      <c r="D1884" s="5">
        <f ca="1">S0*EXP((μ-0.5*σ*σ)*T+σ*SQRT(T)*$C1884)</f>
        <v>0.78817552827297366</v>
      </c>
      <c r="E1884" s="5">
        <f ca="1">MAX(0,CP*(D1884-K))</f>
        <v>0</v>
      </c>
      <c r="F1884" s="4">
        <f ca="1">(CP*(D1884-K)&gt;0)*1</f>
        <v>0</v>
      </c>
      <c r="H1884" s="4">
        <v>1869</v>
      </c>
      <c r="I1884" s="3">
        <v>0.66794233544141468</v>
      </c>
      <c r="J1884" s="128">
        <v>1.4245881740928405E-3</v>
      </c>
      <c r="K1884" s="128"/>
      <c r="L1884" s="128">
        <v>4.5199999999999997E-2</v>
      </c>
      <c r="O1884" s="2"/>
    </row>
    <row r="1885" spans="2:15" x14ac:dyDescent="0.2">
      <c r="B1885" s="1">
        <v>1870</v>
      </c>
      <c r="C1885" s="5">
        <f ca="1">_xlfn.NORM.S.INV(RAND())</f>
        <v>-1.3821157949124128</v>
      </c>
      <c r="D1885" s="5">
        <f ca="1">S0*EXP((μ-0.5*σ*σ)*T+σ*SQRT(T)*$C1885)</f>
        <v>0.57985852301394836</v>
      </c>
      <c r="E1885" s="5">
        <f ca="1">MAX(0,CP*(D1885-K))</f>
        <v>0</v>
      </c>
      <c r="F1885" s="4">
        <f ca="1">(CP*(D1885-K)&gt;0)*1</f>
        <v>0</v>
      </c>
      <c r="H1885" s="4">
        <v>1870</v>
      </c>
      <c r="I1885" s="3">
        <v>0.66770326599050134</v>
      </c>
      <c r="J1885" s="128">
        <v>1.272592604919131E-3</v>
      </c>
      <c r="K1885" s="128"/>
      <c r="L1885" s="128">
        <v>3.8800000000000001E-2</v>
      </c>
      <c r="O1885" s="2"/>
    </row>
    <row r="1886" spans="2:15" x14ac:dyDescent="0.2">
      <c r="B1886" s="1">
        <v>1871</v>
      </c>
      <c r="C1886" s="5">
        <f ca="1">_xlfn.NORM.S.INV(RAND())</f>
        <v>0.98583090800160156</v>
      </c>
      <c r="D1886" s="5">
        <f ca="1">S0*EXP((μ-0.5*σ*σ)*T+σ*SQRT(T)*$C1886)</f>
        <v>0.73233204307855349</v>
      </c>
      <c r="E1886" s="5">
        <f ca="1">MAX(0,CP*(D1886-K))</f>
        <v>0</v>
      </c>
      <c r="F1886" s="4">
        <f ca="1">(CP*(D1886-K)&gt;0)*1</f>
        <v>0</v>
      </c>
      <c r="H1886" s="4">
        <v>1871</v>
      </c>
      <c r="I1886" s="3">
        <v>0.6676589286679494</v>
      </c>
      <c r="J1886" s="128">
        <v>1.2183233390318832E-3</v>
      </c>
      <c r="K1886" s="128"/>
      <c r="L1886" s="128">
        <v>4.1000000000000002E-2</v>
      </c>
      <c r="O1886" s="2"/>
    </row>
    <row r="1887" spans="2:15" x14ac:dyDescent="0.2">
      <c r="B1887" s="1">
        <v>1872</v>
      </c>
      <c r="C1887" s="5">
        <f ca="1">_xlfn.NORM.S.INV(RAND())</f>
        <v>0.55922724273292412</v>
      </c>
      <c r="D1887" s="5">
        <f ca="1">S0*EXP((μ-0.5*σ*σ)*T+σ*SQRT(T)*$C1887)</f>
        <v>0.70217049571920254</v>
      </c>
      <c r="E1887" s="5">
        <f ca="1">MAX(0,CP*(D1887-K))</f>
        <v>0</v>
      </c>
      <c r="F1887" s="4">
        <f ca="1">(CP*(D1887-K)&gt;0)*1</f>
        <v>0</v>
      </c>
      <c r="H1887" s="4">
        <v>1872</v>
      </c>
      <c r="I1887" s="3">
        <v>0.66771223290003046</v>
      </c>
      <c r="J1887" s="128">
        <v>1.2374857523594046E-3</v>
      </c>
      <c r="K1887" s="128"/>
      <c r="L1887" s="128">
        <v>3.9600000000000003E-2</v>
      </c>
      <c r="O1887" s="2"/>
    </row>
    <row r="1888" spans="2:15" x14ac:dyDescent="0.2">
      <c r="B1888" s="1">
        <v>1873</v>
      </c>
      <c r="C1888" s="5">
        <f ca="1">_xlfn.NORM.S.INV(RAND())</f>
        <v>-0.86353492373573471</v>
      </c>
      <c r="D1888" s="5">
        <f ca="1">S0*EXP((μ-0.5*σ*σ)*T+σ*SQRT(T)*$C1888)</f>
        <v>0.61027502968576652</v>
      </c>
      <c r="E1888" s="5">
        <f ca="1">MAX(0,CP*(D1888-K))</f>
        <v>0</v>
      </c>
      <c r="F1888" s="4">
        <f ca="1">(CP*(D1888-K)&gt;0)*1</f>
        <v>0</v>
      </c>
      <c r="H1888" s="4">
        <v>1873</v>
      </c>
      <c r="I1888" s="3">
        <v>0.66753632679558528</v>
      </c>
      <c r="J1888" s="128">
        <v>9.8472374826733878E-4</v>
      </c>
      <c r="K1888" s="128"/>
      <c r="L1888" s="128">
        <v>3.7999999999999999E-2</v>
      </c>
      <c r="O1888" s="2"/>
    </row>
    <row r="1889" spans="2:15" x14ac:dyDescent="0.2">
      <c r="B1889" s="1">
        <v>1874</v>
      </c>
      <c r="C1889" s="5">
        <f ca="1">_xlfn.NORM.S.INV(RAND())</f>
        <v>0.46028372422867697</v>
      </c>
      <c r="D1889" s="5">
        <f ca="1">S0*EXP((μ-0.5*σ*σ)*T+σ*SQRT(T)*$C1889)</f>
        <v>0.69535440774777224</v>
      </c>
      <c r="E1889" s="5">
        <f ca="1">MAX(0,CP*(D1889-K))</f>
        <v>0</v>
      </c>
      <c r="F1889" s="4">
        <f ca="1">(CP*(D1889-K)&gt;0)*1</f>
        <v>0</v>
      </c>
      <c r="H1889" s="4">
        <v>1874</v>
      </c>
      <c r="I1889" s="3">
        <v>0.66768353828472349</v>
      </c>
      <c r="J1889" s="128">
        <v>1.2820089467156653E-3</v>
      </c>
      <c r="K1889" s="128"/>
      <c r="L1889" s="128">
        <v>3.9399999999999998E-2</v>
      </c>
      <c r="O1889" s="2"/>
    </row>
    <row r="1890" spans="2:15" x14ac:dyDescent="0.2">
      <c r="B1890" s="1">
        <v>1875</v>
      </c>
      <c r="C1890" s="5">
        <f ca="1">_xlfn.NORM.S.INV(RAND())</f>
        <v>0.10921846545638782</v>
      </c>
      <c r="D1890" s="5">
        <f ca="1">S0*EXP((μ-0.5*σ*σ)*T+σ*SQRT(T)*$C1890)</f>
        <v>0.67169946730555874</v>
      </c>
      <c r="E1890" s="5">
        <f ca="1">MAX(0,CP*(D1890-K))</f>
        <v>0</v>
      </c>
      <c r="F1890" s="4">
        <f ca="1">(CP*(D1890-K)&gt;0)*1</f>
        <v>0</v>
      </c>
      <c r="H1890" s="4">
        <v>1875</v>
      </c>
      <c r="I1890" s="3">
        <v>0.66772857543863828</v>
      </c>
      <c r="J1890" s="128">
        <v>1.3570166557381603E-3</v>
      </c>
      <c r="K1890" s="128"/>
      <c r="L1890" s="128">
        <v>4.2200000000000001E-2</v>
      </c>
      <c r="O1890" s="2"/>
    </row>
    <row r="1891" spans="2:15" x14ac:dyDescent="0.2">
      <c r="B1891" s="1">
        <v>1876</v>
      </c>
      <c r="C1891" s="5">
        <f ca="1">_xlfn.NORM.S.INV(RAND())</f>
        <v>0.46536472082423996</v>
      </c>
      <c r="D1891" s="5">
        <f ca="1">S0*EXP((μ-0.5*σ*σ)*T+σ*SQRT(T)*$C1891)</f>
        <v>0.69570281373925369</v>
      </c>
      <c r="E1891" s="5">
        <f ca="1">MAX(0,CP*(D1891-K))</f>
        <v>0</v>
      </c>
      <c r="F1891" s="4">
        <f ca="1">(CP*(D1891-K)&gt;0)*1</f>
        <v>0</v>
      </c>
      <c r="H1891" s="4">
        <v>1876</v>
      </c>
      <c r="I1891" s="3">
        <v>0.66766671695391844</v>
      </c>
      <c r="J1891" s="128">
        <v>1.2847794646768235E-3</v>
      </c>
      <c r="K1891" s="128"/>
      <c r="L1891" s="128">
        <v>4.2599999999999999E-2</v>
      </c>
      <c r="O1891" s="2"/>
    </row>
    <row r="1892" spans="2:15" x14ac:dyDescent="0.2">
      <c r="B1892" s="1">
        <v>1877</v>
      </c>
      <c r="C1892" s="5">
        <f ca="1">_xlfn.NORM.S.INV(RAND())</f>
        <v>-0.10317559949703599</v>
      </c>
      <c r="D1892" s="5">
        <f ca="1">S0*EXP((μ-0.5*σ*σ)*T+σ*SQRT(T)*$C1892)</f>
        <v>0.65778072148752265</v>
      </c>
      <c r="E1892" s="5">
        <f ca="1">MAX(0,CP*(D1892-K))</f>
        <v>0</v>
      </c>
      <c r="F1892" s="4">
        <f ca="1">(CP*(D1892-K)&gt;0)*1</f>
        <v>0</v>
      </c>
      <c r="H1892" s="4">
        <v>1877</v>
      </c>
      <c r="I1892" s="3">
        <v>0.6676423749948881</v>
      </c>
      <c r="J1892" s="128">
        <v>1.093913524761182E-3</v>
      </c>
      <c r="K1892" s="128"/>
      <c r="L1892" s="128">
        <v>3.7999999999999999E-2</v>
      </c>
      <c r="O1892" s="2"/>
    </row>
    <row r="1893" spans="2:15" x14ac:dyDescent="0.2">
      <c r="B1893" s="1">
        <v>1878</v>
      </c>
      <c r="C1893" s="5">
        <f ca="1">_xlfn.NORM.S.INV(RAND())</f>
        <v>0.57002259108638997</v>
      </c>
      <c r="D1893" s="5">
        <f ca="1">S0*EXP((μ-0.5*σ*σ)*T+σ*SQRT(T)*$C1893)</f>
        <v>0.70291820382007841</v>
      </c>
      <c r="E1893" s="5">
        <f ca="1">MAX(0,CP*(D1893-K))</f>
        <v>0</v>
      </c>
      <c r="F1893" s="4">
        <f ca="1">(CP*(D1893-K)&gt;0)*1</f>
        <v>0</v>
      </c>
      <c r="H1893" s="4">
        <v>1878</v>
      </c>
      <c r="I1893" s="3">
        <v>0.6676194641665204</v>
      </c>
      <c r="J1893" s="128">
        <v>1.1576508672272228E-3</v>
      </c>
      <c r="K1893" s="128"/>
      <c r="L1893" s="128">
        <v>3.7400000000000003E-2</v>
      </c>
      <c r="O1893" s="2"/>
    </row>
    <row r="1894" spans="2:15" x14ac:dyDescent="0.2">
      <c r="B1894" s="1">
        <v>1879</v>
      </c>
      <c r="C1894" s="5">
        <f ca="1">_xlfn.NORM.S.INV(RAND())</f>
        <v>-2.0115566866430128</v>
      </c>
      <c r="D1894" s="5">
        <f ca="1">S0*EXP((μ-0.5*σ*σ)*T+σ*SQRT(T)*$C1894)</f>
        <v>0.54496913666064939</v>
      </c>
      <c r="E1894" s="5">
        <f ca="1">MAX(0,CP*(D1894-K))</f>
        <v>0</v>
      </c>
      <c r="F1894" s="4">
        <f ca="1">(CP*(D1894-K)&gt;0)*1</f>
        <v>0</v>
      </c>
      <c r="H1894" s="4">
        <v>1879</v>
      </c>
      <c r="I1894" s="3">
        <v>0.66767097775866302</v>
      </c>
      <c r="J1894" s="128">
        <v>1.1348737147981393E-3</v>
      </c>
      <c r="K1894" s="128"/>
      <c r="L1894" s="128">
        <v>3.8199999999999998E-2</v>
      </c>
      <c r="O1894" s="2"/>
    </row>
    <row r="1895" spans="2:15" x14ac:dyDescent="0.2">
      <c r="B1895" s="1">
        <v>1880</v>
      </c>
      <c r="C1895" s="5">
        <f ca="1">_xlfn.NORM.S.INV(RAND())</f>
        <v>1.0961244977956222</v>
      </c>
      <c r="D1895" s="5">
        <f ca="1">S0*EXP((μ-0.5*σ*σ)*T+σ*SQRT(T)*$C1895)</f>
        <v>0.74033855462249654</v>
      </c>
      <c r="E1895" s="5">
        <f ca="1">MAX(0,CP*(D1895-K))</f>
        <v>0</v>
      </c>
      <c r="F1895" s="4">
        <f ca="1">(CP*(D1895-K)&gt;0)*1</f>
        <v>0</v>
      </c>
      <c r="H1895" s="4">
        <v>1880</v>
      </c>
      <c r="I1895" s="3">
        <v>0.66776535165470619</v>
      </c>
      <c r="J1895" s="128">
        <v>1.5501554308987335E-3</v>
      </c>
      <c r="K1895" s="128"/>
      <c r="L1895" s="128">
        <v>4.1599999999999998E-2</v>
      </c>
      <c r="O1895" s="2"/>
    </row>
    <row r="1896" spans="2:15" x14ac:dyDescent="0.2">
      <c r="B1896" s="1">
        <v>1881</v>
      </c>
      <c r="C1896" s="5">
        <f ca="1">_xlfn.NORM.S.INV(RAND())</f>
        <v>1.3501202863534403</v>
      </c>
      <c r="D1896" s="5">
        <f ca="1">S0*EXP((μ-0.5*σ*σ)*T+σ*SQRT(T)*$C1896)</f>
        <v>0.75911128707904452</v>
      </c>
      <c r="E1896" s="5">
        <f ca="1">MAX(0,CP*(D1896-K))</f>
        <v>0</v>
      </c>
      <c r="F1896" s="4">
        <f ca="1">(CP*(D1896-K)&gt;0)*1</f>
        <v>0</v>
      </c>
      <c r="H1896" s="4">
        <v>1881</v>
      </c>
      <c r="I1896" s="3">
        <v>0.66774501747563042</v>
      </c>
      <c r="J1896" s="128">
        <v>1.3523083057647963E-3</v>
      </c>
      <c r="K1896" s="128"/>
      <c r="L1896" s="128">
        <v>3.8399999999999997E-2</v>
      </c>
      <c r="O1896" s="2"/>
    </row>
    <row r="1897" spans="2:15" x14ac:dyDescent="0.2">
      <c r="B1897" s="1">
        <v>1882</v>
      </c>
      <c r="C1897" s="5">
        <f ca="1">_xlfn.NORM.S.INV(RAND())</f>
        <v>-0.49145503694042808</v>
      </c>
      <c r="D1897" s="5">
        <f ca="1">S0*EXP((μ-0.5*σ*σ)*T+σ*SQRT(T)*$C1897)</f>
        <v>0.63307705112680779</v>
      </c>
      <c r="E1897" s="5">
        <f ca="1">MAX(0,CP*(D1897-K))</f>
        <v>0</v>
      </c>
      <c r="F1897" s="4">
        <f ca="1">(CP*(D1897-K)&gt;0)*1</f>
        <v>0</v>
      </c>
      <c r="H1897" s="4">
        <v>1882</v>
      </c>
      <c r="I1897" s="3">
        <v>0.66765749069635416</v>
      </c>
      <c r="J1897" s="128">
        <v>1.3423719896408783E-3</v>
      </c>
      <c r="K1897" s="128"/>
      <c r="L1897" s="128">
        <v>3.9E-2</v>
      </c>
      <c r="O1897" s="2"/>
    </row>
    <row r="1898" spans="2:15" x14ac:dyDescent="0.2">
      <c r="B1898" s="1">
        <v>1883</v>
      </c>
      <c r="C1898" s="5">
        <f ca="1">_xlfn.NORM.S.INV(RAND())</f>
        <v>-8.8447887954457377E-2</v>
      </c>
      <c r="D1898" s="5">
        <f ca="1">S0*EXP((μ-0.5*σ*σ)*T+σ*SQRT(T)*$C1898)</f>
        <v>0.65873649163099501</v>
      </c>
      <c r="E1898" s="5">
        <f ca="1">MAX(0,CP*(D1898-K))</f>
        <v>0</v>
      </c>
      <c r="F1898" s="4">
        <f ca="1">(CP*(D1898-K)&gt;0)*1</f>
        <v>0</v>
      </c>
      <c r="H1898" s="4">
        <v>1883</v>
      </c>
      <c r="I1898" s="3">
        <v>0.66785432627946517</v>
      </c>
      <c r="J1898" s="128">
        <v>1.449189895651651E-3</v>
      </c>
      <c r="K1898" s="128"/>
      <c r="L1898" s="128">
        <v>4.1200000000000001E-2</v>
      </c>
      <c r="O1898" s="2"/>
    </row>
    <row r="1899" spans="2:15" x14ac:dyDescent="0.2">
      <c r="B1899" s="1">
        <v>1884</v>
      </c>
      <c r="C1899" s="5">
        <f ca="1">_xlfn.NORM.S.INV(RAND())</f>
        <v>0.22424042860439378</v>
      </c>
      <c r="D1899" s="5">
        <f ca="1">S0*EXP((μ-0.5*σ*σ)*T+σ*SQRT(T)*$C1899)</f>
        <v>0.67935970448874705</v>
      </c>
      <c r="E1899" s="5">
        <f ca="1">MAX(0,CP*(D1899-K))</f>
        <v>0</v>
      </c>
      <c r="F1899" s="4">
        <f ca="1">(CP*(D1899-K)&gt;0)*1</f>
        <v>0</v>
      </c>
      <c r="H1899" s="4">
        <v>1884</v>
      </c>
      <c r="I1899" s="3">
        <v>0.66773399618138496</v>
      </c>
      <c r="J1899" s="128">
        <v>1.3178338257591553E-3</v>
      </c>
      <c r="K1899" s="128"/>
      <c r="L1899" s="128">
        <v>3.8800000000000001E-2</v>
      </c>
      <c r="O1899" s="2"/>
    </row>
    <row r="1900" spans="2:15" x14ac:dyDescent="0.2">
      <c r="B1900" s="1">
        <v>1885</v>
      </c>
      <c r="C1900" s="5">
        <f ca="1">_xlfn.NORM.S.INV(RAND())</f>
        <v>-1.4971466528460697</v>
      </c>
      <c r="D1900" s="5">
        <f ca="1">S0*EXP((μ-0.5*σ*σ)*T+σ*SQRT(T)*$C1900)</f>
        <v>0.57331972576198731</v>
      </c>
      <c r="E1900" s="5">
        <f ca="1">MAX(0,CP*(D1900-K))</f>
        <v>0</v>
      </c>
      <c r="F1900" s="4">
        <f ca="1">(CP*(D1900-K)&gt;0)*1</f>
        <v>0</v>
      </c>
      <c r="H1900" s="4">
        <v>1885</v>
      </c>
      <c r="I1900" s="3">
        <v>0.66757086927412934</v>
      </c>
      <c r="J1900" s="128">
        <v>1.1824246817866702E-3</v>
      </c>
      <c r="K1900" s="128"/>
      <c r="L1900" s="128">
        <v>4.1200000000000001E-2</v>
      </c>
      <c r="O1900" s="2"/>
    </row>
    <row r="1901" spans="2:15" x14ac:dyDescent="0.2">
      <c r="B1901" s="1">
        <v>1886</v>
      </c>
      <c r="C1901" s="5">
        <f ca="1">_xlfn.NORM.S.INV(RAND())</f>
        <v>-2.213112938896777</v>
      </c>
      <c r="D1901" s="5">
        <f ca="1">S0*EXP((μ-0.5*σ*σ)*T+σ*SQRT(T)*$C1901)</f>
        <v>0.53424698040585528</v>
      </c>
      <c r="E1901" s="5">
        <f ca="1">MAX(0,CP*(D1901-K))</f>
        <v>0</v>
      </c>
      <c r="F1901" s="4">
        <f ca="1">(CP*(D1901-K)&gt;0)*1</f>
        <v>0</v>
      </c>
      <c r="H1901" s="4">
        <v>1886</v>
      </c>
      <c r="I1901" s="3">
        <v>0.66777891367240894</v>
      </c>
      <c r="J1901" s="128">
        <v>1.4497528018314163E-3</v>
      </c>
      <c r="K1901" s="128"/>
      <c r="L1901" s="128">
        <v>4.1200000000000001E-2</v>
      </c>
      <c r="O1901" s="2"/>
    </row>
    <row r="1902" spans="2:15" x14ac:dyDescent="0.2">
      <c r="B1902" s="1">
        <v>1887</v>
      </c>
      <c r="C1902" s="5">
        <f ca="1">_xlfn.NORM.S.INV(RAND())</f>
        <v>-1.0332625623546525</v>
      </c>
      <c r="D1902" s="5">
        <f ca="1">S0*EXP((μ-0.5*σ*σ)*T+σ*SQRT(T)*$C1902)</f>
        <v>0.60014824845629255</v>
      </c>
      <c r="E1902" s="5">
        <f ca="1">MAX(0,CP*(D1902-K))</f>
        <v>0</v>
      </c>
      <c r="F1902" s="4">
        <f ca="1">(CP*(D1902-K)&gt;0)*1</f>
        <v>0</v>
      </c>
      <c r="H1902" s="4">
        <v>1887</v>
      </c>
      <c r="I1902" s="3">
        <v>0.66757119329882475</v>
      </c>
      <c r="J1902" s="128">
        <v>1.2446932350276378E-3</v>
      </c>
      <c r="K1902" s="128"/>
      <c r="L1902" s="128">
        <v>3.7999999999999999E-2</v>
      </c>
      <c r="O1902" s="2"/>
    </row>
    <row r="1903" spans="2:15" x14ac:dyDescent="0.2">
      <c r="B1903" s="1">
        <v>1888</v>
      </c>
      <c r="C1903" s="5">
        <f ca="1">_xlfn.NORM.S.INV(RAND())</f>
        <v>-0.28579606924964068</v>
      </c>
      <c r="D1903" s="5">
        <f ca="1">S0*EXP((μ-0.5*σ*σ)*T+σ*SQRT(T)*$C1903)</f>
        <v>0.64604395013304328</v>
      </c>
      <c r="E1903" s="5">
        <f ca="1">MAX(0,CP*(D1903-K))</f>
        <v>0</v>
      </c>
      <c r="F1903" s="4">
        <f ca="1">(CP*(D1903-K)&gt;0)*1</f>
        <v>0</v>
      </c>
      <c r="H1903" s="4">
        <v>1888</v>
      </c>
      <c r="I1903" s="3">
        <v>0.66777332672719247</v>
      </c>
      <c r="J1903" s="128">
        <v>1.42296025280312E-3</v>
      </c>
      <c r="K1903" s="128"/>
      <c r="L1903" s="128">
        <v>4.1599999999999998E-2</v>
      </c>
      <c r="O1903" s="2"/>
    </row>
    <row r="1904" spans="2:15" x14ac:dyDescent="0.2">
      <c r="B1904" s="1">
        <v>1889</v>
      </c>
      <c r="C1904" s="5">
        <f ca="1">_xlfn.NORM.S.INV(RAND())</f>
        <v>-0.43542262573448226</v>
      </c>
      <c r="D1904" s="5">
        <f ca="1">S0*EXP((μ-0.5*σ*σ)*T+σ*SQRT(T)*$C1904)</f>
        <v>0.63658390521873509</v>
      </c>
      <c r="E1904" s="5">
        <f ca="1">MAX(0,CP*(D1904-K))</f>
        <v>0</v>
      </c>
      <c r="F1904" s="4">
        <f ca="1">(CP*(D1904-K)&gt;0)*1</f>
        <v>0</v>
      </c>
      <c r="H1904" s="4">
        <v>1889</v>
      </c>
      <c r="I1904" s="3">
        <v>0.66764291721930735</v>
      </c>
      <c r="J1904" s="128">
        <v>1.3094085725864563E-3</v>
      </c>
      <c r="K1904" s="128"/>
      <c r="L1904" s="128">
        <v>3.8800000000000001E-2</v>
      </c>
      <c r="O1904" s="2"/>
    </row>
    <row r="1905" spans="2:15" x14ac:dyDescent="0.2">
      <c r="B1905" s="1">
        <v>1890</v>
      </c>
      <c r="C1905" s="5">
        <f ca="1">_xlfn.NORM.S.INV(RAND())</f>
        <v>0.11133389198453636</v>
      </c>
      <c r="D1905" s="5">
        <f ca="1">S0*EXP((μ-0.5*σ*σ)*T+σ*SQRT(T)*$C1905)</f>
        <v>0.67183956789371646</v>
      </c>
      <c r="E1905" s="5">
        <f ca="1">MAX(0,CP*(D1905-K))</f>
        <v>0</v>
      </c>
      <c r="F1905" s="4">
        <f ca="1">(CP*(D1905-K)&gt;0)*1</f>
        <v>0</v>
      </c>
      <c r="H1905" s="4">
        <v>1890</v>
      </c>
      <c r="I1905" s="3">
        <v>0.66775070823281635</v>
      </c>
      <c r="J1905" s="128">
        <v>1.4264315714264694E-3</v>
      </c>
      <c r="K1905" s="128"/>
      <c r="L1905" s="128">
        <v>4.2599999999999999E-2</v>
      </c>
      <c r="O1905" s="2"/>
    </row>
    <row r="1906" spans="2:15" x14ac:dyDescent="0.2">
      <c r="B1906" s="1">
        <v>1891</v>
      </c>
      <c r="C1906" s="5">
        <f ca="1">_xlfn.NORM.S.INV(RAND())</f>
        <v>0.20589232802590565</v>
      </c>
      <c r="D1906" s="5">
        <f ca="1">S0*EXP((μ-0.5*σ*σ)*T+σ*SQRT(T)*$C1906)</f>
        <v>0.67813192639773578</v>
      </c>
      <c r="E1906" s="5">
        <f ca="1">MAX(0,CP*(D1906-K))</f>
        <v>0</v>
      </c>
      <c r="F1906" s="4">
        <f ca="1">(CP*(D1906-K)&gt;0)*1</f>
        <v>0</v>
      </c>
      <c r="H1906" s="4">
        <v>1891</v>
      </c>
      <c r="I1906" s="3">
        <v>0.6678369398067322</v>
      </c>
      <c r="J1906" s="128">
        <v>1.4085492888848338E-3</v>
      </c>
      <c r="K1906" s="128"/>
      <c r="L1906" s="128">
        <v>4.5600000000000002E-2</v>
      </c>
      <c r="O1906" s="2"/>
    </row>
    <row r="1907" spans="2:15" x14ac:dyDescent="0.2">
      <c r="B1907" s="1">
        <v>1892</v>
      </c>
      <c r="C1907" s="5">
        <f ca="1">_xlfn.NORM.S.INV(RAND())</f>
        <v>-0.58579316432321438</v>
      </c>
      <c r="D1907" s="5">
        <f ca="1">S0*EXP((μ-0.5*σ*σ)*T+σ*SQRT(T)*$C1907)</f>
        <v>0.62721637776078287</v>
      </c>
      <c r="E1907" s="5">
        <f ca="1">MAX(0,CP*(D1907-K))</f>
        <v>0</v>
      </c>
      <c r="F1907" s="4">
        <f ca="1">(CP*(D1907-K)&gt;0)*1</f>
        <v>0</v>
      </c>
      <c r="H1907" s="4">
        <v>1892</v>
      </c>
      <c r="I1907" s="3">
        <v>0.66778535471650724</v>
      </c>
      <c r="J1907" s="128">
        <v>1.4840198261518952E-3</v>
      </c>
      <c r="K1907" s="128"/>
      <c r="L1907" s="128">
        <v>4.4600000000000001E-2</v>
      </c>
      <c r="O1907" s="2"/>
    </row>
    <row r="1908" spans="2:15" x14ac:dyDescent="0.2">
      <c r="B1908" s="1">
        <v>1893</v>
      </c>
      <c r="C1908" s="5">
        <f ca="1">_xlfn.NORM.S.INV(RAND())</f>
        <v>-0.33883578830785377</v>
      </c>
      <c r="D1908" s="5">
        <f ca="1">S0*EXP((μ-0.5*σ*σ)*T+σ*SQRT(T)*$C1908)</f>
        <v>0.64267456992777694</v>
      </c>
      <c r="E1908" s="5">
        <f ca="1">MAX(0,CP*(D1908-K))</f>
        <v>0</v>
      </c>
      <c r="F1908" s="4">
        <f ca="1">(CP*(D1908-K)&gt;0)*1</f>
        <v>0</v>
      </c>
      <c r="H1908" s="4">
        <v>1893</v>
      </c>
      <c r="I1908" s="3">
        <v>0.66771232013818149</v>
      </c>
      <c r="J1908" s="128">
        <v>1.2428625424576621E-3</v>
      </c>
      <c r="K1908" s="128"/>
      <c r="L1908" s="128">
        <v>4.0800000000000003E-2</v>
      </c>
      <c r="O1908" s="2"/>
    </row>
    <row r="1909" spans="2:15" x14ac:dyDescent="0.2">
      <c r="B1909" s="1">
        <v>1894</v>
      </c>
      <c r="C1909" s="5">
        <f ca="1">_xlfn.NORM.S.INV(RAND())</f>
        <v>-1.3069584275249109</v>
      </c>
      <c r="D1909" s="5">
        <f ca="1">S0*EXP((μ-0.5*σ*σ)*T+σ*SQRT(T)*$C1909)</f>
        <v>0.58417098507065013</v>
      </c>
      <c r="E1909" s="5">
        <f ca="1">MAX(0,CP*(D1909-K))</f>
        <v>0</v>
      </c>
      <c r="F1909" s="4">
        <f ca="1">(CP*(D1909-K)&gt;0)*1</f>
        <v>0</v>
      </c>
      <c r="H1909" s="4">
        <v>1894</v>
      </c>
      <c r="I1909" s="3">
        <v>0.66760380825518173</v>
      </c>
      <c r="J1909" s="128">
        <v>1.1528620633440695E-3</v>
      </c>
      <c r="K1909" s="128"/>
      <c r="L1909" s="128">
        <v>3.6999999999999998E-2</v>
      </c>
      <c r="O1909" s="2"/>
    </row>
    <row r="1910" spans="2:15" x14ac:dyDescent="0.2">
      <c r="B1910" s="1">
        <v>1895</v>
      </c>
      <c r="C1910" s="5">
        <f ca="1">_xlfn.NORM.S.INV(RAND())</f>
        <v>-1.8395535237038758</v>
      </c>
      <c r="D1910" s="5">
        <f ca="1">S0*EXP((μ-0.5*σ*σ)*T+σ*SQRT(T)*$C1910)</f>
        <v>0.55428917089935792</v>
      </c>
      <c r="E1910" s="5">
        <f ca="1">MAX(0,CP*(D1910-K))</f>
        <v>0</v>
      </c>
      <c r="F1910" s="4">
        <f ca="1">(CP*(D1910-K)&gt;0)*1</f>
        <v>0</v>
      </c>
      <c r="H1910" s="4">
        <v>1895</v>
      </c>
      <c r="I1910" s="3">
        <v>0.66770594849089693</v>
      </c>
      <c r="J1910" s="128">
        <v>1.3633739448855509E-3</v>
      </c>
      <c r="K1910" s="128"/>
      <c r="L1910" s="128">
        <v>4.3400000000000001E-2</v>
      </c>
      <c r="O1910" s="2"/>
    </row>
    <row r="1911" spans="2:15" x14ac:dyDescent="0.2">
      <c r="B1911" s="1">
        <v>1896</v>
      </c>
      <c r="C1911" s="5">
        <f ca="1">_xlfn.NORM.S.INV(RAND())</f>
        <v>-1.9774975754239528</v>
      </c>
      <c r="D1911" s="5">
        <f ca="1">S0*EXP((μ-0.5*σ*σ)*T+σ*SQRT(T)*$C1911)</f>
        <v>0.54680211055705674</v>
      </c>
      <c r="E1911" s="5">
        <f ca="1">MAX(0,CP*(D1911-K))</f>
        <v>0</v>
      </c>
      <c r="F1911" s="4">
        <f ca="1">(CP*(D1911-K)&gt;0)*1</f>
        <v>0</v>
      </c>
      <c r="H1911" s="4">
        <v>1896</v>
      </c>
      <c r="I1911" s="3">
        <v>0.66781776757405009</v>
      </c>
      <c r="J1911" s="128">
        <v>1.4090654462359296E-3</v>
      </c>
      <c r="K1911" s="128"/>
      <c r="L1911" s="128">
        <v>4.2200000000000001E-2</v>
      </c>
      <c r="O1911" s="2"/>
    </row>
    <row r="1912" spans="2:15" x14ac:dyDescent="0.2">
      <c r="B1912" s="1">
        <v>1897</v>
      </c>
      <c r="C1912" s="5">
        <f ca="1">_xlfn.NORM.S.INV(RAND())</f>
        <v>0.3419947678169612</v>
      </c>
      <c r="D1912" s="5">
        <f ca="1">S0*EXP((μ-0.5*σ*σ)*T+σ*SQRT(T)*$C1912)</f>
        <v>0.68729241758099546</v>
      </c>
      <c r="E1912" s="5">
        <f ca="1">MAX(0,CP*(D1912-K))</f>
        <v>0</v>
      </c>
      <c r="F1912" s="4">
        <f ca="1">(CP*(D1912-K)&gt;0)*1</f>
        <v>0</v>
      </c>
      <c r="H1912" s="4">
        <v>1897</v>
      </c>
      <c r="I1912" s="3">
        <v>0.6676915387915926</v>
      </c>
      <c r="J1912" s="128">
        <v>1.4182275588969402E-3</v>
      </c>
      <c r="K1912" s="128"/>
      <c r="L1912" s="128">
        <v>4.2000000000000003E-2</v>
      </c>
      <c r="O1912" s="2"/>
    </row>
    <row r="1913" spans="2:15" x14ac:dyDescent="0.2">
      <c r="B1913" s="1">
        <v>1898</v>
      </c>
      <c r="C1913" s="5">
        <f ca="1">_xlfn.NORM.S.INV(RAND())</f>
        <v>-1.1058646696079599</v>
      </c>
      <c r="D1913" s="5">
        <f ca="1">S0*EXP((μ-0.5*σ*σ)*T+σ*SQRT(T)*$C1913)</f>
        <v>0.59586792931776245</v>
      </c>
      <c r="E1913" s="5">
        <f ca="1">MAX(0,CP*(D1913-K))</f>
        <v>0</v>
      </c>
      <c r="F1913" s="4">
        <f ca="1">(CP*(D1913-K)&gt;0)*1</f>
        <v>0</v>
      </c>
      <c r="H1913" s="4">
        <v>1898</v>
      </c>
      <c r="I1913" s="3">
        <v>0.6678559279545665</v>
      </c>
      <c r="J1913" s="128">
        <v>1.444131044723747E-3</v>
      </c>
      <c r="K1913" s="128"/>
      <c r="L1913" s="128">
        <v>4.4200000000000003E-2</v>
      </c>
      <c r="O1913" s="2"/>
    </row>
    <row r="1914" spans="2:15" x14ac:dyDescent="0.2">
      <c r="B1914" s="1">
        <v>1899</v>
      </c>
      <c r="C1914" s="5">
        <f ca="1">_xlfn.NORM.S.INV(RAND())</f>
        <v>0.59224547086169488</v>
      </c>
      <c r="D1914" s="5">
        <f ca="1">S0*EXP((μ-0.5*σ*σ)*T+σ*SQRT(T)*$C1914)</f>
        <v>0.70445991379427608</v>
      </c>
      <c r="E1914" s="5">
        <f ca="1">MAX(0,CP*(D1914-K))</f>
        <v>0</v>
      </c>
      <c r="F1914" s="4">
        <f ca="1">(CP*(D1914-K)&gt;0)*1</f>
        <v>0</v>
      </c>
      <c r="H1914" s="4">
        <v>1899</v>
      </c>
      <c r="I1914" s="3">
        <v>0.66763365358786919</v>
      </c>
      <c r="J1914" s="128">
        <v>1.2165609569765483E-3</v>
      </c>
      <c r="K1914" s="128"/>
      <c r="L1914" s="128">
        <v>4.0599999999999997E-2</v>
      </c>
      <c r="O1914" s="2"/>
    </row>
    <row r="1915" spans="2:15" x14ac:dyDescent="0.2">
      <c r="B1915" s="1">
        <v>1900</v>
      </c>
      <c r="C1915" s="5">
        <f ca="1">_xlfn.NORM.S.INV(RAND())</f>
        <v>-9.9339500028211344E-3</v>
      </c>
      <c r="D1915" s="5">
        <f ca="1">S0*EXP((μ-0.5*σ*σ)*T+σ*SQRT(T)*$C1915)</f>
        <v>0.66385522035277922</v>
      </c>
      <c r="E1915" s="5">
        <f ca="1">MAX(0,CP*(D1915-K))</f>
        <v>0</v>
      </c>
      <c r="F1915" s="4">
        <f ca="1">(CP*(D1915-K)&gt;0)*1</f>
        <v>0</v>
      </c>
      <c r="H1915" s="4">
        <v>1900</v>
      </c>
      <c r="I1915" s="3">
        <v>0.66763261503899995</v>
      </c>
      <c r="J1915" s="128">
        <v>1.1406565063460208E-3</v>
      </c>
      <c r="K1915" s="128"/>
      <c r="L1915" s="128">
        <v>3.7600000000000001E-2</v>
      </c>
      <c r="O1915" s="2"/>
    </row>
    <row r="1916" spans="2:15" x14ac:dyDescent="0.2">
      <c r="B1916" s="1">
        <v>1901</v>
      </c>
      <c r="C1916" s="5">
        <f ca="1">_xlfn.NORM.S.INV(RAND())</f>
        <v>-0.41673146228228636</v>
      </c>
      <c r="D1916" s="5">
        <f ca="1">S0*EXP((μ-0.5*σ*σ)*T+σ*SQRT(T)*$C1916)</f>
        <v>0.63775802907383927</v>
      </c>
      <c r="E1916" s="5">
        <f ca="1">MAX(0,CP*(D1916-K))</f>
        <v>0</v>
      </c>
      <c r="F1916" s="4">
        <f ca="1">(CP*(D1916-K)&gt;0)*1</f>
        <v>0</v>
      </c>
      <c r="H1916" s="4">
        <v>1901</v>
      </c>
      <c r="I1916" s="3">
        <v>0.66790597609310798</v>
      </c>
      <c r="J1916" s="128">
        <v>1.586897176713716E-3</v>
      </c>
      <c r="K1916" s="128"/>
      <c r="L1916" s="128">
        <v>4.6199999999999998E-2</v>
      </c>
      <c r="O1916" s="2"/>
    </row>
    <row r="1917" spans="2:15" x14ac:dyDescent="0.2">
      <c r="B1917" s="1">
        <v>1902</v>
      </c>
      <c r="C1917" s="5">
        <f ca="1">_xlfn.NORM.S.INV(RAND())</f>
        <v>0.54685280129130176</v>
      </c>
      <c r="D1917" s="5">
        <f ca="1">S0*EXP((μ-0.5*σ*σ)*T+σ*SQRT(T)*$C1917)</f>
        <v>0.70131439469359158</v>
      </c>
      <c r="E1917" s="5">
        <f ca="1">MAX(0,CP*(D1917-K))</f>
        <v>0</v>
      </c>
      <c r="F1917" s="4">
        <f ca="1">(CP*(D1917-K)&gt;0)*1</f>
        <v>0</v>
      </c>
      <c r="H1917" s="4">
        <v>1902</v>
      </c>
      <c r="I1917" s="3">
        <v>0.66779996999679736</v>
      </c>
      <c r="J1917" s="128">
        <v>1.3642342657529619E-3</v>
      </c>
      <c r="K1917" s="128"/>
      <c r="L1917" s="128">
        <v>4.0599999999999997E-2</v>
      </c>
      <c r="O1917" s="2"/>
    </row>
    <row r="1918" spans="2:15" x14ac:dyDescent="0.2">
      <c r="B1918" s="1">
        <v>1903</v>
      </c>
      <c r="C1918" s="5">
        <f ca="1">_xlfn.NORM.S.INV(RAND())</f>
        <v>-1.355272321702264</v>
      </c>
      <c r="D1918" s="5">
        <f ca="1">S0*EXP((μ-0.5*σ*σ)*T+σ*SQRT(T)*$C1918)</f>
        <v>0.58139511040343494</v>
      </c>
      <c r="E1918" s="5">
        <f ca="1">MAX(0,CP*(D1918-K))</f>
        <v>0</v>
      </c>
      <c r="F1918" s="4">
        <f ca="1">(CP*(D1918-K)&gt;0)*1</f>
        <v>0</v>
      </c>
      <c r="H1918" s="4">
        <v>1903</v>
      </c>
      <c r="I1918" s="3">
        <v>0.66776990847762319</v>
      </c>
      <c r="J1918" s="128">
        <v>1.4634810211420857E-3</v>
      </c>
      <c r="K1918" s="128"/>
      <c r="L1918" s="128">
        <v>4.2799999999999998E-2</v>
      </c>
      <c r="O1918" s="2"/>
    </row>
    <row r="1919" spans="2:15" x14ac:dyDescent="0.2">
      <c r="B1919" s="1">
        <v>1904</v>
      </c>
      <c r="C1919" s="5">
        <f ca="1">_xlfn.NORM.S.INV(RAND())</f>
        <v>-1.0998511823964725</v>
      </c>
      <c r="D1919" s="5">
        <f ca="1">S0*EXP((μ-0.5*σ*σ)*T+σ*SQRT(T)*$C1919)</f>
        <v>0.59622129703168658</v>
      </c>
      <c r="E1919" s="5">
        <f ca="1">MAX(0,CP*(D1919-K))</f>
        <v>0</v>
      </c>
      <c r="F1919" s="4">
        <f ca="1">(CP*(D1919-K)&gt;0)*1</f>
        <v>0</v>
      </c>
      <c r="H1919" s="4">
        <v>1904</v>
      </c>
      <c r="I1919" s="3">
        <v>0.66784334698148962</v>
      </c>
      <c r="J1919" s="128">
        <v>1.4812342608146684E-3</v>
      </c>
      <c r="K1919" s="128"/>
      <c r="L1919" s="128">
        <v>4.8399999999999999E-2</v>
      </c>
      <c r="O1919" s="2"/>
    </row>
    <row r="1920" spans="2:15" x14ac:dyDescent="0.2">
      <c r="B1920" s="1">
        <v>1905</v>
      </c>
      <c r="C1920" s="5">
        <f ca="1">_xlfn.NORM.S.INV(RAND())</f>
        <v>-9.845002301987496E-2</v>
      </c>
      <c r="D1920" s="5">
        <f ca="1">S0*EXP((μ-0.5*σ*σ)*T+σ*SQRT(T)*$C1920)</f>
        <v>0.65808724149429976</v>
      </c>
      <c r="E1920" s="5">
        <f ca="1">MAX(0,CP*(D1920-K))</f>
        <v>0</v>
      </c>
      <c r="F1920" s="4">
        <f ca="1">(CP*(D1920-K)&gt;0)*1</f>
        <v>0</v>
      </c>
      <c r="H1920" s="4">
        <v>1905</v>
      </c>
      <c r="I1920" s="3">
        <v>0.6679523282134544</v>
      </c>
      <c r="J1920" s="128">
        <v>1.6126863967491196E-3</v>
      </c>
      <c r="K1920" s="128"/>
      <c r="L1920" s="128">
        <v>4.7E-2</v>
      </c>
      <c r="O1920" s="2"/>
    </row>
    <row r="1921" spans="2:15" x14ac:dyDescent="0.2">
      <c r="B1921" s="1">
        <v>1906</v>
      </c>
      <c r="C1921" s="5">
        <f ca="1">_xlfn.NORM.S.INV(RAND())</f>
        <v>-3.1910238918830845E-2</v>
      </c>
      <c r="D1921" s="5">
        <f ca="1">S0*EXP((μ-0.5*σ*σ)*T+σ*SQRT(T)*$C1921)</f>
        <v>0.66241847742540005</v>
      </c>
      <c r="E1921" s="5">
        <f ca="1">MAX(0,CP*(D1921-K))</f>
        <v>0</v>
      </c>
      <c r="F1921" s="4">
        <f ca="1">(CP*(D1921-K)&gt;0)*1</f>
        <v>0</v>
      </c>
      <c r="H1921" s="4">
        <v>1906</v>
      </c>
      <c r="I1921" s="3">
        <v>0.66770678981346887</v>
      </c>
      <c r="J1921" s="128">
        <v>1.2471145852248949E-3</v>
      </c>
      <c r="K1921" s="128"/>
      <c r="L1921" s="128">
        <v>4.0800000000000003E-2</v>
      </c>
      <c r="O1921" s="2"/>
    </row>
    <row r="1922" spans="2:15" x14ac:dyDescent="0.2">
      <c r="B1922" s="1">
        <v>1907</v>
      </c>
      <c r="C1922" s="5">
        <f ca="1">_xlfn.NORM.S.INV(RAND())</f>
        <v>-0.50142092609396305</v>
      </c>
      <c r="D1922" s="5">
        <f ca="1">S0*EXP((μ-0.5*σ*σ)*T+σ*SQRT(T)*$C1922)</f>
        <v>0.63245535092059291</v>
      </c>
      <c r="E1922" s="5">
        <f ca="1">MAX(0,CP*(D1922-K))</f>
        <v>0</v>
      </c>
      <c r="F1922" s="4">
        <f ca="1">(CP*(D1922-K)&gt;0)*1</f>
        <v>0</v>
      </c>
      <c r="H1922" s="4">
        <v>1907</v>
      </c>
      <c r="I1922" s="3">
        <v>0.66781934648048302</v>
      </c>
      <c r="J1922" s="128">
        <v>1.3268250021814835E-3</v>
      </c>
      <c r="K1922" s="128"/>
      <c r="L1922" s="128">
        <v>4.24E-2</v>
      </c>
      <c r="O1922" s="2"/>
    </row>
    <row r="1923" spans="2:15" x14ac:dyDescent="0.2">
      <c r="B1923" s="1">
        <v>1908</v>
      </c>
      <c r="C1923" s="5">
        <f ca="1">_xlfn.NORM.S.INV(RAND())</f>
        <v>1.2250450171373943</v>
      </c>
      <c r="D1923" s="5">
        <f ca="1">S0*EXP((μ-0.5*σ*σ)*T+σ*SQRT(T)*$C1923)</f>
        <v>0.74980827132845573</v>
      </c>
      <c r="E1923" s="5">
        <f ca="1">MAX(0,CP*(D1923-K))</f>
        <v>0</v>
      </c>
      <c r="F1923" s="4">
        <f ca="1">(CP*(D1923-K)&gt;0)*1</f>
        <v>0</v>
      </c>
      <c r="H1923" s="4">
        <v>1908</v>
      </c>
      <c r="I1923" s="3">
        <v>0.66768549160385415</v>
      </c>
      <c r="J1923" s="128">
        <v>1.3335229266585361E-3</v>
      </c>
      <c r="K1923" s="128"/>
      <c r="L1923" s="128">
        <v>3.78E-2</v>
      </c>
      <c r="O1923" s="2"/>
    </row>
    <row r="1924" spans="2:15" x14ac:dyDescent="0.2">
      <c r="B1924" s="1">
        <v>1909</v>
      </c>
      <c r="C1924" s="5">
        <f ca="1">_xlfn.NORM.S.INV(RAND())</f>
        <v>-1.514671545740172</v>
      </c>
      <c r="D1924" s="5">
        <f ca="1">S0*EXP((μ-0.5*σ*σ)*T+σ*SQRT(T)*$C1924)</f>
        <v>0.57233003649927849</v>
      </c>
      <c r="E1924" s="5">
        <f ca="1">MAX(0,CP*(D1924-K))</f>
        <v>0</v>
      </c>
      <c r="F1924" s="4">
        <f ca="1">(CP*(D1924-K)&gt;0)*1</f>
        <v>0</v>
      </c>
      <c r="H1924" s="4">
        <v>1909</v>
      </c>
      <c r="I1924" s="3">
        <v>0.66766079453522531</v>
      </c>
      <c r="J1924" s="128">
        <v>1.2807087925737178E-3</v>
      </c>
      <c r="K1924" s="128"/>
      <c r="L1924" s="128">
        <v>3.9E-2</v>
      </c>
      <c r="O1924" s="2"/>
    </row>
    <row r="1925" spans="2:15" x14ac:dyDescent="0.2">
      <c r="B1925" s="1">
        <v>1910</v>
      </c>
      <c r="C1925" s="5">
        <f ca="1">_xlfn.NORM.S.INV(RAND())</f>
        <v>1.1112163146859968</v>
      </c>
      <c r="D1925" s="5">
        <f ca="1">S0*EXP((μ-0.5*σ*σ)*T+σ*SQRT(T)*$C1925)</f>
        <v>0.74144089760099996</v>
      </c>
      <c r="E1925" s="5">
        <f ca="1">MAX(0,CP*(D1925-K))</f>
        <v>0</v>
      </c>
      <c r="F1925" s="4">
        <f ca="1">(CP*(D1925-K)&gt;0)*1</f>
        <v>0</v>
      </c>
      <c r="H1925" s="4">
        <v>1910</v>
      </c>
      <c r="I1925" s="3">
        <v>0.66773674558770191</v>
      </c>
      <c r="J1925" s="128">
        <v>1.3831979009166421E-3</v>
      </c>
      <c r="K1925" s="128"/>
      <c r="L1925" s="128">
        <v>4.1599999999999998E-2</v>
      </c>
      <c r="O1925" s="2"/>
    </row>
    <row r="1926" spans="2:15" x14ac:dyDescent="0.2">
      <c r="B1926" s="1">
        <v>1911</v>
      </c>
      <c r="C1926" s="5">
        <f ca="1">_xlfn.NORM.S.INV(RAND())</f>
        <v>-1.0947227161184914</v>
      </c>
      <c r="D1926" s="5">
        <f ca="1">S0*EXP((μ-0.5*σ*σ)*T+σ*SQRT(T)*$C1926)</f>
        <v>0.59652282423840441</v>
      </c>
      <c r="E1926" s="5">
        <f ca="1">MAX(0,CP*(D1926-K))</f>
        <v>0</v>
      </c>
      <c r="F1926" s="4">
        <f ca="1">(CP*(D1926-K)&gt;0)*1</f>
        <v>0</v>
      </c>
      <c r="H1926" s="4">
        <v>1911</v>
      </c>
      <c r="I1926" s="3">
        <v>0.66789052577509322</v>
      </c>
      <c r="J1926" s="128">
        <v>1.4915296309566443E-3</v>
      </c>
      <c r="K1926" s="128"/>
      <c r="L1926" s="128">
        <v>4.3799999999999999E-2</v>
      </c>
      <c r="O1926" s="2"/>
    </row>
    <row r="1927" spans="2:15" x14ac:dyDescent="0.2">
      <c r="B1927" s="1">
        <v>1912</v>
      </c>
      <c r="C1927" s="5">
        <f ca="1">_xlfn.NORM.S.INV(RAND())</f>
        <v>-0.61749282161451402</v>
      </c>
      <c r="D1927" s="5">
        <f ca="1">S0*EXP((μ-0.5*σ*σ)*T+σ*SQRT(T)*$C1927)</f>
        <v>0.62525926779599739</v>
      </c>
      <c r="E1927" s="5">
        <f ca="1">MAX(0,CP*(D1927-K))</f>
        <v>0</v>
      </c>
      <c r="F1927" s="4">
        <f ca="1">(CP*(D1927-K)&gt;0)*1</f>
        <v>0</v>
      </c>
      <c r="H1927" s="4">
        <v>1912</v>
      </c>
      <c r="I1927" s="3">
        <v>0.66765646914670429</v>
      </c>
      <c r="J1927" s="128">
        <v>1.24389045879239E-3</v>
      </c>
      <c r="K1927" s="128"/>
      <c r="L1927" s="128">
        <v>3.9800000000000002E-2</v>
      </c>
      <c r="O1927" s="2"/>
    </row>
    <row r="1928" spans="2:15" x14ac:dyDescent="0.2">
      <c r="B1928" s="1">
        <v>1913</v>
      </c>
      <c r="C1928" s="5">
        <f ca="1">_xlfn.NORM.S.INV(RAND())</f>
        <v>-1.0407682936144607</v>
      </c>
      <c r="D1928" s="5">
        <f ca="1">S0*EXP((μ-0.5*σ*σ)*T+σ*SQRT(T)*$C1928)</f>
        <v>0.59970432039185628</v>
      </c>
      <c r="E1928" s="5">
        <f ca="1">MAX(0,CP*(D1928-K))</f>
        <v>0</v>
      </c>
      <c r="F1928" s="4">
        <f ca="1">(CP*(D1928-K)&gt;0)*1</f>
        <v>0</v>
      </c>
      <c r="H1928" s="4">
        <v>1913</v>
      </c>
      <c r="I1928" s="3">
        <v>0.66763248205534031</v>
      </c>
      <c r="J1928" s="128">
        <v>1.199627268255798E-3</v>
      </c>
      <c r="K1928" s="128"/>
      <c r="L1928" s="128">
        <v>3.6999999999999998E-2</v>
      </c>
      <c r="O1928" s="2"/>
    </row>
    <row r="1929" spans="2:15" x14ac:dyDescent="0.2">
      <c r="B1929" s="1">
        <v>1914</v>
      </c>
      <c r="C1929" s="5">
        <f ca="1">_xlfn.NORM.S.INV(RAND())</f>
        <v>1.0806082031896636</v>
      </c>
      <c r="D1929" s="5">
        <f ca="1">S0*EXP((μ-0.5*σ*σ)*T+σ*SQRT(T)*$C1929)</f>
        <v>0.73920691544667327</v>
      </c>
      <c r="E1929" s="5">
        <f ca="1">MAX(0,CP*(D1929-K))</f>
        <v>0</v>
      </c>
      <c r="F1929" s="4">
        <f ca="1">(CP*(D1929-K)&gt;0)*1</f>
        <v>0</v>
      </c>
      <c r="H1929" s="4">
        <v>1914</v>
      </c>
      <c r="I1929" s="3">
        <v>0.66773379640514408</v>
      </c>
      <c r="J1929" s="128">
        <v>1.3834748245676691E-3</v>
      </c>
      <c r="K1929" s="128"/>
      <c r="L1929" s="128">
        <v>4.2000000000000003E-2</v>
      </c>
      <c r="O1929" s="2"/>
    </row>
    <row r="1930" spans="2:15" x14ac:dyDescent="0.2">
      <c r="B1930" s="1">
        <v>1915</v>
      </c>
      <c r="C1930" s="5">
        <f ca="1">_xlfn.NORM.S.INV(RAND())</f>
        <v>1.0672976819295497</v>
      </c>
      <c r="D1930" s="5">
        <f ca="1">S0*EXP((μ-0.5*σ*σ)*T+σ*SQRT(T)*$C1930)</f>
        <v>0.73823752689895306</v>
      </c>
      <c r="E1930" s="5">
        <f ca="1">MAX(0,CP*(D1930-K))</f>
        <v>0</v>
      </c>
      <c r="F1930" s="4">
        <f ca="1">(CP*(D1930-K)&gt;0)*1</f>
        <v>0</v>
      </c>
      <c r="H1930" s="4">
        <v>1915</v>
      </c>
      <c r="I1930" s="3">
        <v>0.66763136969422143</v>
      </c>
      <c r="J1930" s="128">
        <v>1.1637914509515961E-3</v>
      </c>
      <c r="K1930" s="128"/>
      <c r="L1930" s="128">
        <v>3.5799999999999998E-2</v>
      </c>
      <c r="O1930" s="2"/>
    </row>
    <row r="1931" spans="2:15" x14ac:dyDescent="0.2">
      <c r="B1931" s="1">
        <v>1916</v>
      </c>
      <c r="C1931" s="5">
        <f ca="1">_xlfn.NORM.S.INV(RAND())</f>
        <v>0.87339535978343841</v>
      </c>
      <c r="D1931" s="5">
        <f ca="1">S0*EXP((μ-0.5*σ*σ)*T+σ*SQRT(T)*$C1931)</f>
        <v>0.72425916110825139</v>
      </c>
      <c r="E1931" s="5">
        <f ca="1">MAX(0,CP*(D1931-K))</f>
        <v>0</v>
      </c>
      <c r="F1931" s="4">
        <f ca="1">(CP*(D1931-K)&gt;0)*1</f>
        <v>0</v>
      </c>
      <c r="H1931" s="4">
        <v>1916</v>
      </c>
      <c r="I1931" s="3">
        <v>0.66770628857262659</v>
      </c>
      <c r="J1931" s="128">
        <v>1.3853052586250878E-3</v>
      </c>
      <c r="K1931" s="128"/>
      <c r="L1931" s="128">
        <v>4.2599999999999999E-2</v>
      </c>
      <c r="O1931" s="2"/>
    </row>
    <row r="1932" spans="2:15" x14ac:dyDescent="0.2">
      <c r="B1932" s="1">
        <v>1917</v>
      </c>
      <c r="C1932" s="5">
        <f ca="1">_xlfn.NORM.S.INV(RAND())</f>
        <v>1.0191227061418402</v>
      </c>
      <c r="D1932" s="5">
        <f ca="1">S0*EXP((μ-0.5*σ*σ)*T+σ*SQRT(T)*$C1932)</f>
        <v>0.73473961858259362</v>
      </c>
      <c r="E1932" s="5">
        <f ca="1">MAX(0,CP*(D1932-K))</f>
        <v>0</v>
      </c>
      <c r="F1932" s="4">
        <f ca="1">(CP*(D1932-K)&gt;0)*1</f>
        <v>0</v>
      </c>
      <c r="H1932" s="4">
        <v>1917</v>
      </c>
      <c r="I1932" s="3">
        <v>0.66765129225608855</v>
      </c>
      <c r="J1932" s="128">
        <v>1.1889892301307904E-3</v>
      </c>
      <c r="K1932" s="128"/>
      <c r="L1932" s="128">
        <v>3.7999999999999999E-2</v>
      </c>
      <c r="O1932" s="2"/>
    </row>
    <row r="1933" spans="2:15" x14ac:dyDescent="0.2">
      <c r="B1933" s="1">
        <v>1918</v>
      </c>
      <c r="C1933" s="5">
        <f ca="1">_xlfn.NORM.S.INV(RAND())</f>
        <v>0.76934151188346389</v>
      </c>
      <c r="D1933" s="5">
        <f ca="1">S0*EXP((μ-0.5*σ*σ)*T+σ*SQRT(T)*$C1933)</f>
        <v>0.71686739557442869</v>
      </c>
      <c r="E1933" s="5">
        <f ca="1">MAX(0,CP*(D1933-K))</f>
        <v>0</v>
      </c>
      <c r="F1933" s="4">
        <f ca="1">(CP*(D1933-K)&gt;0)*1</f>
        <v>0</v>
      </c>
      <c r="H1933" s="4">
        <v>1918</v>
      </c>
      <c r="I1933" s="3">
        <v>0.66781931392820748</v>
      </c>
      <c r="J1933" s="128">
        <v>1.4919569730111825E-3</v>
      </c>
      <c r="K1933" s="128"/>
      <c r="L1933" s="128">
        <v>4.4400000000000002E-2</v>
      </c>
      <c r="O1933" s="2"/>
    </row>
    <row r="1934" spans="2:15" x14ac:dyDescent="0.2">
      <c r="B1934" s="1">
        <v>1919</v>
      </c>
      <c r="C1934" s="5">
        <f ca="1">_xlfn.NORM.S.INV(RAND())</f>
        <v>1.5237690731340128</v>
      </c>
      <c r="D1934" s="5">
        <f ca="1">S0*EXP((μ-0.5*σ*σ)*T+σ*SQRT(T)*$C1934)</f>
        <v>0.77221884239059535</v>
      </c>
      <c r="E1934" s="5">
        <f ca="1">MAX(0,CP*(D1934-K))</f>
        <v>0</v>
      </c>
      <c r="F1934" s="4">
        <f ca="1">(CP*(D1934-K)&gt;0)*1</f>
        <v>0</v>
      </c>
      <c r="H1934" s="4">
        <v>1919</v>
      </c>
      <c r="I1934" s="3">
        <v>0.66759470047780634</v>
      </c>
      <c r="J1934" s="128">
        <v>1.2625438397017182E-3</v>
      </c>
      <c r="K1934" s="128"/>
      <c r="L1934" s="128">
        <v>3.9E-2</v>
      </c>
      <c r="O1934" s="2"/>
    </row>
    <row r="1935" spans="2:15" x14ac:dyDescent="0.2">
      <c r="B1935" s="1">
        <v>1920</v>
      </c>
      <c r="C1935" s="5">
        <f ca="1">_xlfn.NORM.S.INV(RAND())</f>
        <v>-2.943904624927653</v>
      </c>
      <c r="D1935" s="5">
        <f ca="1">S0*EXP((μ-0.5*σ*σ)*T+σ*SQRT(T)*$C1935)</f>
        <v>0.49711000464733868</v>
      </c>
      <c r="E1935" s="5">
        <f ca="1">MAX(0,CP*(D1935-K))</f>
        <v>0</v>
      </c>
      <c r="F1935" s="4">
        <f ca="1">(CP*(D1935-K)&gt;0)*1</f>
        <v>0</v>
      </c>
      <c r="H1935" s="4">
        <v>1920</v>
      </c>
      <c r="I1935" s="3">
        <v>0.66773813530955251</v>
      </c>
      <c r="J1935" s="128">
        <v>1.2868690245899299E-3</v>
      </c>
      <c r="K1935" s="128"/>
      <c r="L1935" s="128">
        <v>4.0599999999999997E-2</v>
      </c>
      <c r="O1935" s="2"/>
    </row>
    <row r="1936" spans="2:15" x14ac:dyDescent="0.2">
      <c r="B1936" s="1">
        <v>1921</v>
      </c>
      <c r="C1936" s="5">
        <f ca="1">_xlfn.NORM.S.INV(RAND())</f>
        <v>0.43738146109302667</v>
      </c>
      <c r="D1936" s="5">
        <f ca="1">S0*EXP((μ-0.5*σ*σ)*T+σ*SQRT(T)*$C1936)</f>
        <v>0.69378615472489524</v>
      </c>
      <c r="E1936" s="5">
        <f ca="1">MAX(0,CP*(D1936-K))</f>
        <v>0</v>
      </c>
      <c r="F1936" s="4">
        <f ca="1">(CP*(D1936-K)&gt;0)*1</f>
        <v>0</v>
      </c>
      <c r="H1936" s="4">
        <v>1921</v>
      </c>
      <c r="I1936" s="3">
        <v>0.66777984702344217</v>
      </c>
      <c r="J1936" s="128">
        <v>1.4047858335361489E-3</v>
      </c>
      <c r="K1936" s="128"/>
      <c r="L1936" s="128">
        <v>4.1200000000000001E-2</v>
      </c>
      <c r="O1936" s="2"/>
    </row>
    <row r="1937" spans="2:15" x14ac:dyDescent="0.2">
      <c r="B1937" s="1">
        <v>1922</v>
      </c>
      <c r="C1937" s="5">
        <f ca="1">_xlfn.NORM.S.INV(RAND())</f>
        <v>-0.8781419863971156</v>
      </c>
      <c r="D1937" s="5">
        <f ca="1">S0*EXP((μ-0.5*σ*σ)*T+σ*SQRT(T)*$C1937)</f>
        <v>0.60939682137442885</v>
      </c>
      <c r="E1937" s="5">
        <f ca="1">MAX(0,CP*(D1937-K))</f>
        <v>0</v>
      </c>
      <c r="F1937" s="4">
        <f ca="1">(CP*(D1937-K)&gt;0)*1</f>
        <v>0</v>
      </c>
      <c r="H1937" s="4">
        <v>1922</v>
      </c>
      <c r="I1937" s="3">
        <v>0.66757570881307682</v>
      </c>
      <c r="J1937" s="128">
        <v>1.1048483728605841E-3</v>
      </c>
      <c r="K1937" s="128"/>
      <c r="L1937" s="128">
        <v>4.0399999999999998E-2</v>
      </c>
      <c r="O1937" s="2"/>
    </row>
    <row r="1938" spans="2:15" x14ac:dyDescent="0.2">
      <c r="B1938" s="1">
        <v>1923</v>
      </c>
      <c r="C1938" s="5">
        <f ca="1">_xlfn.NORM.S.INV(RAND())</f>
        <v>-0.81094788896049963</v>
      </c>
      <c r="D1938" s="5">
        <f ca="1">S0*EXP((μ-0.5*σ*σ)*T+σ*SQRT(T)*$C1938)</f>
        <v>0.61344716915358288</v>
      </c>
      <c r="E1938" s="5">
        <f ca="1">MAX(0,CP*(D1938-K))</f>
        <v>0</v>
      </c>
      <c r="F1938" s="4">
        <f ca="1">(CP*(D1938-K)&gt;0)*1</f>
        <v>0</v>
      </c>
      <c r="H1938" s="4">
        <v>1923</v>
      </c>
      <c r="I1938" s="3">
        <v>0.66769452473082491</v>
      </c>
      <c r="J1938" s="128">
        <v>1.3302042036693145E-3</v>
      </c>
      <c r="K1938" s="128"/>
      <c r="L1938" s="128">
        <v>4.2999999999999997E-2</v>
      </c>
      <c r="O1938" s="2"/>
    </row>
    <row r="1939" spans="2:15" x14ac:dyDescent="0.2">
      <c r="B1939" s="1">
        <v>1924</v>
      </c>
      <c r="C1939" s="5">
        <f ca="1">_xlfn.NORM.S.INV(RAND())</f>
        <v>-0.49431150923722783</v>
      </c>
      <c r="D1939" s="5">
        <f ca="1">S0*EXP((μ-0.5*σ*σ)*T+σ*SQRT(T)*$C1939)</f>
        <v>0.63289879389506454</v>
      </c>
      <c r="E1939" s="5">
        <f ca="1">MAX(0,CP*(D1939-K))</f>
        <v>0</v>
      </c>
      <c r="F1939" s="4">
        <f ca="1">(CP*(D1939-K)&gt;0)*1</f>
        <v>0</v>
      </c>
      <c r="H1939" s="4">
        <v>1924</v>
      </c>
      <c r="I1939" s="3">
        <v>0.66767422691062916</v>
      </c>
      <c r="J1939" s="128">
        <v>1.3315317797555483E-3</v>
      </c>
      <c r="K1939" s="128"/>
      <c r="L1939" s="128">
        <v>4.1000000000000002E-2</v>
      </c>
      <c r="O1939" s="2"/>
    </row>
    <row r="1940" spans="2:15" x14ac:dyDescent="0.2">
      <c r="B1940" s="1">
        <v>1925</v>
      </c>
      <c r="C1940" s="5">
        <f ca="1">_xlfn.NORM.S.INV(RAND())</f>
        <v>1.7182016954101775</v>
      </c>
      <c r="D1940" s="5">
        <f ca="1">S0*EXP((μ-0.5*σ*σ)*T+σ*SQRT(T)*$C1940)</f>
        <v>0.78716399349279054</v>
      </c>
      <c r="E1940" s="5">
        <f ca="1">MAX(0,CP*(D1940-K))</f>
        <v>0</v>
      </c>
      <c r="F1940" s="4">
        <f ca="1">(CP*(D1940-K)&gt;0)*1</f>
        <v>0</v>
      </c>
      <c r="H1940" s="4">
        <v>1925</v>
      </c>
      <c r="I1940" s="3">
        <v>0.66769436200945631</v>
      </c>
      <c r="J1940" s="128">
        <v>1.4228494276919857E-3</v>
      </c>
      <c r="K1940" s="128"/>
      <c r="L1940" s="128">
        <v>4.02E-2</v>
      </c>
      <c r="O1940" s="2"/>
    </row>
    <row r="1941" spans="2:15" x14ac:dyDescent="0.2">
      <c r="B1941" s="1">
        <v>1926</v>
      </c>
      <c r="C1941" s="5">
        <f ca="1">_xlfn.NORM.S.INV(RAND())</f>
        <v>0.66842835294984704</v>
      </c>
      <c r="D1941" s="5">
        <f ca="1">S0*EXP((μ-0.5*σ*σ)*T+σ*SQRT(T)*$C1941)</f>
        <v>0.70977080430422668</v>
      </c>
      <c r="E1941" s="5">
        <f ca="1">MAX(0,CP*(D1941-K))</f>
        <v>0</v>
      </c>
      <c r="F1941" s="4">
        <f ca="1">(CP*(D1941-K)&gt;0)*1</f>
        <v>0</v>
      </c>
      <c r="H1941" s="4">
        <v>1926</v>
      </c>
      <c r="I1941" s="3">
        <v>0.66779988275594127</v>
      </c>
      <c r="J1941" s="128">
        <v>1.4395916581530356E-3</v>
      </c>
      <c r="K1941" s="128"/>
      <c r="L1941" s="128">
        <v>4.1799999999999997E-2</v>
      </c>
      <c r="O1941" s="2"/>
    </row>
    <row r="1942" spans="2:15" x14ac:dyDescent="0.2">
      <c r="B1942" s="1">
        <v>1927</v>
      </c>
      <c r="C1942" s="5">
        <f ca="1">_xlfn.NORM.S.INV(RAND())</f>
        <v>-0.78377116681882208</v>
      </c>
      <c r="D1942" s="5">
        <f ca="1">S0*EXP((μ-0.5*σ*σ)*T+σ*SQRT(T)*$C1942)</f>
        <v>0.61509297230822135</v>
      </c>
      <c r="E1942" s="5">
        <f ca="1">MAX(0,CP*(D1942-K))</f>
        <v>0</v>
      </c>
      <c r="F1942" s="4">
        <f ca="1">(CP*(D1942-K)&gt;0)*1</f>
        <v>0</v>
      </c>
      <c r="H1942" s="4">
        <v>1927</v>
      </c>
      <c r="I1942" s="3">
        <v>0.6677148200331976</v>
      </c>
      <c r="J1942" s="128">
        <v>1.3494856850832728E-3</v>
      </c>
      <c r="K1942" s="128"/>
      <c r="L1942" s="128">
        <v>4.0599999999999997E-2</v>
      </c>
      <c r="O1942" s="2"/>
    </row>
    <row r="1943" spans="2:15" x14ac:dyDescent="0.2">
      <c r="B1943" s="1">
        <v>1928</v>
      </c>
      <c r="C1943" s="5">
        <f ca="1">_xlfn.NORM.S.INV(RAND())</f>
        <v>0.76720983117495323</v>
      </c>
      <c r="D1943" s="5">
        <f ca="1">S0*EXP((μ-0.5*σ*σ)*T+σ*SQRT(T)*$C1943)</f>
        <v>0.71671675669736901</v>
      </c>
      <c r="E1943" s="5">
        <f ca="1">MAX(0,CP*(D1943-K))</f>
        <v>0</v>
      </c>
      <c r="F1943" s="4">
        <f ca="1">(CP*(D1943-K)&gt;0)*1</f>
        <v>0</v>
      </c>
      <c r="H1943" s="4">
        <v>1928</v>
      </c>
      <c r="I1943" s="3">
        <v>0.6677015001783595</v>
      </c>
      <c r="J1943" s="128">
        <v>1.2654394128530724E-3</v>
      </c>
      <c r="K1943" s="128"/>
      <c r="L1943" s="128">
        <v>4.1000000000000002E-2</v>
      </c>
      <c r="O1943" s="2"/>
    </row>
    <row r="1944" spans="2:15" x14ac:dyDescent="0.2">
      <c r="B1944" s="1">
        <v>1929</v>
      </c>
      <c r="C1944" s="5">
        <f ca="1">_xlfn.NORM.S.INV(RAND())</f>
        <v>-0.81693192743970944</v>
      </c>
      <c r="D1944" s="5">
        <f ca="1">S0*EXP((μ-0.5*σ*σ)*T+σ*SQRT(T)*$C1944)</f>
        <v>0.61308537198416291</v>
      </c>
      <c r="E1944" s="5">
        <f ca="1">MAX(0,CP*(D1944-K))</f>
        <v>0</v>
      </c>
      <c r="F1944" s="4">
        <f ca="1">(CP*(D1944-K)&gt;0)*1</f>
        <v>0</v>
      </c>
      <c r="H1944" s="4">
        <v>1929</v>
      </c>
      <c r="I1944" s="3">
        <v>0.66766863189329728</v>
      </c>
      <c r="J1944" s="128">
        <v>1.2809274158262695E-3</v>
      </c>
      <c r="K1944" s="128"/>
      <c r="L1944" s="128">
        <v>3.9800000000000002E-2</v>
      </c>
      <c r="O1944" s="2"/>
    </row>
    <row r="1945" spans="2:15" x14ac:dyDescent="0.2">
      <c r="B1945" s="1">
        <v>1930</v>
      </c>
      <c r="C1945" s="5">
        <f ca="1">_xlfn.NORM.S.INV(RAND())</f>
        <v>-0.36945045869444176</v>
      </c>
      <c r="D1945" s="5">
        <f ca="1">S0*EXP((μ-0.5*σ*σ)*T+σ*SQRT(T)*$C1945)</f>
        <v>0.64073775916332565</v>
      </c>
      <c r="E1945" s="5">
        <f ca="1">MAX(0,CP*(D1945-K))</f>
        <v>0</v>
      </c>
      <c r="F1945" s="4">
        <f ca="1">(CP*(D1945-K)&gt;0)*1</f>
        <v>0</v>
      </c>
      <c r="H1945" s="4">
        <v>1930</v>
      </c>
      <c r="I1945" s="3">
        <v>0.66780680141102389</v>
      </c>
      <c r="J1945" s="128">
        <v>1.4197591929208705E-3</v>
      </c>
      <c r="K1945" s="128"/>
      <c r="L1945" s="128">
        <v>4.36E-2</v>
      </c>
      <c r="O1945" s="2"/>
    </row>
    <row r="1946" spans="2:15" x14ac:dyDescent="0.2">
      <c r="B1946" s="1">
        <v>1931</v>
      </c>
      <c r="C1946" s="5">
        <f ca="1">_xlfn.NORM.S.INV(RAND())</f>
        <v>0.542576104996774</v>
      </c>
      <c r="D1946" s="5">
        <f ca="1">S0*EXP((μ-0.5*σ*σ)*T+σ*SQRT(T)*$C1946)</f>
        <v>0.70101876276836084</v>
      </c>
      <c r="E1946" s="5">
        <f ca="1">MAX(0,CP*(D1946-K))</f>
        <v>0</v>
      </c>
      <c r="F1946" s="4">
        <f ca="1">(CP*(D1946-K)&gt;0)*1</f>
        <v>0</v>
      </c>
      <c r="H1946" s="4">
        <v>1931</v>
      </c>
      <c r="I1946" s="3">
        <v>0.66770266948939949</v>
      </c>
      <c r="J1946" s="128">
        <v>1.3075907798619313E-3</v>
      </c>
      <c r="K1946" s="128"/>
      <c r="L1946" s="128">
        <v>4.1200000000000001E-2</v>
      </c>
      <c r="O1946" s="2"/>
    </row>
    <row r="1947" spans="2:15" x14ac:dyDescent="0.2">
      <c r="B1947" s="1">
        <v>1932</v>
      </c>
      <c r="C1947" s="5">
        <f ca="1">_xlfn.NORM.S.INV(RAND())</f>
        <v>0.519757959310027</v>
      </c>
      <c r="D1947" s="5">
        <f ca="1">S0*EXP((μ-0.5*σ*σ)*T+σ*SQRT(T)*$C1947)</f>
        <v>0.699443535170577</v>
      </c>
      <c r="E1947" s="5">
        <f ca="1">MAX(0,CP*(D1947-K))</f>
        <v>0</v>
      </c>
      <c r="F1947" s="4">
        <f ca="1">(CP*(D1947-K)&gt;0)*1</f>
        <v>0</v>
      </c>
      <c r="H1947" s="4">
        <v>1932</v>
      </c>
      <c r="I1947" s="3">
        <v>0.66774039367386717</v>
      </c>
      <c r="J1947" s="128">
        <v>1.3864563072942151E-3</v>
      </c>
      <c r="K1947" s="128"/>
      <c r="L1947" s="128">
        <v>3.9399999999999998E-2</v>
      </c>
      <c r="O1947" s="2"/>
    </row>
    <row r="1948" spans="2:15" x14ac:dyDescent="0.2">
      <c r="B1948" s="1">
        <v>1933</v>
      </c>
      <c r="C1948" s="5">
        <f ca="1">_xlfn.NORM.S.INV(RAND())</f>
        <v>-0.49799855390284636</v>
      </c>
      <c r="D1948" s="5">
        <f ca="1">S0*EXP((μ-0.5*σ*σ)*T+σ*SQRT(T)*$C1948)</f>
        <v>0.63266877926640452</v>
      </c>
      <c r="E1948" s="5">
        <f ca="1">MAX(0,CP*(D1948-K))</f>
        <v>0</v>
      </c>
      <c r="F1948" s="4">
        <f ca="1">(CP*(D1948-K)&gt;0)*1</f>
        <v>0</v>
      </c>
      <c r="H1948" s="4">
        <v>1933</v>
      </c>
      <c r="I1948" s="3">
        <v>0.66775995269544519</v>
      </c>
      <c r="J1948" s="128">
        <v>1.3522876648946614E-3</v>
      </c>
      <c r="K1948" s="128"/>
      <c r="L1948" s="128">
        <v>4.24E-2</v>
      </c>
      <c r="O1948" s="2"/>
    </row>
    <row r="1949" spans="2:15" x14ac:dyDescent="0.2">
      <c r="B1949" s="1">
        <v>1934</v>
      </c>
      <c r="C1949" s="5">
        <f ca="1">_xlfn.NORM.S.INV(RAND())</f>
        <v>-0.33119010264991949</v>
      </c>
      <c r="D1949" s="5">
        <f ca="1">S0*EXP((μ-0.5*σ*σ)*T+σ*SQRT(T)*$C1949)</f>
        <v>0.64315918058862309</v>
      </c>
      <c r="E1949" s="5">
        <f ca="1">MAX(0,CP*(D1949-K))</f>
        <v>0</v>
      </c>
      <c r="F1949" s="4">
        <f ca="1">(CP*(D1949-K)&gt;0)*1</f>
        <v>0</v>
      </c>
      <c r="H1949" s="4">
        <v>1934</v>
      </c>
      <c r="I1949" s="3">
        <v>0.6676545541718123</v>
      </c>
      <c r="J1949" s="128">
        <v>1.2219170721607571E-3</v>
      </c>
      <c r="K1949" s="128"/>
      <c r="L1949" s="128">
        <v>3.6999999999999998E-2</v>
      </c>
      <c r="O1949" s="2"/>
    </row>
    <row r="1950" spans="2:15" x14ac:dyDescent="0.2">
      <c r="B1950" s="1">
        <v>1935</v>
      </c>
      <c r="C1950" s="5">
        <f ca="1">_xlfn.NORM.S.INV(RAND())</f>
        <v>-0.10213889508860879</v>
      </c>
      <c r="D1950" s="5">
        <f ca="1">S0*EXP((μ-0.5*σ*σ)*T+σ*SQRT(T)*$C1950)</f>
        <v>0.65784795410210062</v>
      </c>
      <c r="E1950" s="5">
        <f ca="1">MAX(0,CP*(D1950-K))</f>
        <v>0</v>
      </c>
      <c r="F1950" s="4">
        <f ca="1">(CP*(D1950-K)&gt;0)*1</f>
        <v>0</v>
      </c>
      <c r="H1950" s="4">
        <v>1935</v>
      </c>
      <c r="I1950" s="3">
        <v>0.66789926341747063</v>
      </c>
      <c r="J1950" s="128">
        <v>1.5922398088019693E-3</v>
      </c>
      <c r="K1950" s="128"/>
      <c r="L1950" s="128">
        <v>4.7399999999999998E-2</v>
      </c>
      <c r="O1950" s="2"/>
    </row>
    <row r="1951" spans="2:15" x14ac:dyDescent="0.2">
      <c r="B1951" s="1">
        <v>1936</v>
      </c>
      <c r="C1951" s="5">
        <f ca="1">_xlfn.NORM.S.INV(RAND())</f>
        <v>1.1342734509869912</v>
      </c>
      <c r="D1951" s="5">
        <f ca="1">S0*EXP((μ-0.5*σ*σ)*T+σ*SQRT(T)*$C1951)</f>
        <v>0.74312821710224075</v>
      </c>
      <c r="E1951" s="5">
        <f ca="1">MAX(0,CP*(D1951-K))</f>
        <v>0</v>
      </c>
      <c r="F1951" s="4">
        <f ca="1">(CP*(D1951-K)&gt;0)*1</f>
        <v>0</v>
      </c>
      <c r="H1951" s="4">
        <v>1936</v>
      </c>
      <c r="I1951" s="3">
        <v>0.66781798559804406</v>
      </c>
      <c r="J1951" s="128">
        <v>1.4708036866578986E-3</v>
      </c>
      <c r="K1951" s="128"/>
      <c r="L1951" s="128">
        <v>4.2599999999999999E-2</v>
      </c>
      <c r="O1951" s="2"/>
    </row>
    <row r="1952" spans="2:15" x14ac:dyDescent="0.2">
      <c r="B1952" s="1">
        <v>1937</v>
      </c>
      <c r="C1952" s="5">
        <f ca="1">_xlfn.NORM.S.INV(RAND())</f>
        <v>-1.0933207356309427</v>
      </c>
      <c r="D1952" s="5">
        <f ca="1">S0*EXP((μ-0.5*σ*σ)*T+σ*SQRT(T)*$C1952)</f>
        <v>0.59660527995476387</v>
      </c>
      <c r="E1952" s="5">
        <f ca="1">MAX(0,CP*(D1952-K))</f>
        <v>0</v>
      </c>
      <c r="F1952" s="4">
        <f ca="1">(CP*(D1952-K)&gt;0)*1</f>
        <v>0</v>
      </c>
      <c r="H1952" s="4">
        <v>1937</v>
      </c>
      <c r="I1952" s="3">
        <v>0.66771621453331387</v>
      </c>
      <c r="J1952" s="128">
        <v>1.3929719887205891E-3</v>
      </c>
      <c r="K1952" s="128"/>
      <c r="L1952" s="128">
        <v>0.04</v>
      </c>
      <c r="O1952" s="2"/>
    </row>
    <row r="1953" spans="2:15" x14ac:dyDescent="0.2">
      <c r="B1953" s="1">
        <v>1938</v>
      </c>
      <c r="C1953" s="5">
        <f ca="1">_xlfn.NORM.S.INV(RAND())</f>
        <v>1.0065137188815245</v>
      </c>
      <c r="D1953" s="5">
        <f ca="1">S0*EXP((μ-0.5*σ*σ)*T+σ*SQRT(T)*$C1953)</f>
        <v>0.73382683991909747</v>
      </c>
      <c r="E1953" s="5">
        <f ca="1">MAX(0,CP*(D1953-K))</f>
        <v>0</v>
      </c>
      <c r="F1953" s="4">
        <f ca="1">(CP*(D1953-K)&gt;0)*1</f>
        <v>0</v>
      </c>
      <c r="H1953" s="4">
        <v>1938</v>
      </c>
      <c r="I1953" s="3">
        <v>0.66774392807166405</v>
      </c>
      <c r="J1953" s="128">
        <v>1.3951261986008268E-3</v>
      </c>
      <c r="K1953" s="128"/>
      <c r="L1953" s="128">
        <v>4.1399999999999999E-2</v>
      </c>
      <c r="O1953" s="2"/>
    </row>
    <row r="1954" spans="2:15" x14ac:dyDescent="0.2">
      <c r="B1954" s="1">
        <v>1939</v>
      </c>
      <c r="C1954" s="5">
        <f ca="1">_xlfn.NORM.S.INV(RAND())</f>
        <v>1.1907778594344902</v>
      </c>
      <c r="D1954" s="5">
        <f ca="1">S0*EXP((μ-0.5*σ*σ)*T+σ*SQRT(T)*$C1954)</f>
        <v>0.74727945873244184</v>
      </c>
      <c r="E1954" s="5">
        <f ca="1">MAX(0,CP*(D1954-K))</f>
        <v>0</v>
      </c>
      <c r="F1954" s="4">
        <f ca="1">(CP*(D1954-K)&gt;0)*1</f>
        <v>0</v>
      </c>
      <c r="H1954" s="4">
        <v>1939</v>
      </c>
      <c r="I1954" s="3">
        <v>0.66773247747591469</v>
      </c>
      <c r="J1954" s="128">
        <v>1.3711238467925522E-3</v>
      </c>
      <c r="K1954" s="128"/>
      <c r="L1954" s="128">
        <v>4.1799999999999997E-2</v>
      </c>
      <c r="O1954" s="2"/>
    </row>
    <row r="1955" spans="2:15" x14ac:dyDescent="0.2">
      <c r="B1955" s="1">
        <v>1940</v>
      </c>
      <c r="C1955" s="5">
        <f ca="1">_xlfn.NORM.S.INV(RAND())</f>
        <v>-0.17650597643465984</v>
      </c>
      <c r="D1955" s="5">
        <f ca="1">S0*EXP((μ-0.5*σ*σ)*T+σ*SQRT(T)*$C1955)</f>
        <v>0.65304247261365844</v>
      </c>
      <c r="E1955" s="5">
        <f ca="1">MAX(0,CP*(D1955-K))</f>
        <v>0</v>
      </c>
      <c r="F1955" s="4">
        <f ca="1">(CP*(D1955-K)&gt;0)*1</f>
        <v>0</v>
      </c>
      <c r="H1955" s="4">
        <v>1940</v>
      </c>
      <c r="I1955" s="3">
        <v>0.66783087403068719</v>
      </c>
      <c r="J1955" s="128">
        <v>1.4962064471798178E-3</v>
      </c>
      <c r="K1955" s="128"/>
      <c r="L1955" s="128">
        <v>4.58E-2</v>
      </c>
      <c r="O1955" s="2"/>
    </row>
    <row r="1956" spans="2:15" x14ac:dyDescent="0.2">
      <c r="B1956" s="1">
        <v>1941</v>
      </c>
      <c r="C1956" s="5">
        <f ca="1">_xlfn.NORM.S.INV(RAND())</f>
        <v>0.6181575573630872</v>
      </c>
      <c r="D1956" s="5">
        <f ca="1">S0*EXP((μ-0.5*σ*σ)*T+σ*SQRT(T)*$C1956)</f>
        <v>0.70626183266960241</v>
      </c>
      <c r="E1956" s="5">
        <f ca="1">MAX(0,CP*(D1956-K))</f>
        <v>0</v>
      </c>
      <c r="F1956" s="4">
        <f ca="1">(CP*(D1956-K)&gt;0)*1</f>
        <v>0</v>
      </c>
      <c r="H1956" s="4">
        <v>1941</v>
      </c>
      <c r="I1956" s="3">
        <v>0.66774627402165543</v>
      </c>
      <c r="J1956" s="128">
        <v>1.2263070416608705E-3</v>
      </c>
      <c r="K1956" s="128"/>
      <c r="L1956" s="128">
        <v>4.2200000000000001E-2</v>
      </c>
      <c r="O1956" s="2"/>
    </row>
    <row r="1957" spans="2:15" x14ac:dyDescent="0.2">
      <c r="B1957" s="1">
        <v>1942</v>
      </c>
      <c r="C1957" s="5">
        <f ca="1">_xlfn.NORM.S.INV(RAND())</f>
        <v>2.2237018964650934</v>
      </c>
      <c r="D1957" s="5">
        <f ca="1">S0*EXP((μ-0.5*σ*σ)*T+σ*SQRT(T)*$C1957)</f>
        <v>0.82738704009477881</v>
      </c>
      <c r="E1957" s="5">
        <f ca="1">MAX(0,CP*(D1957-K))</f>
        <v>3.9187040094778802E-2</v>
      </c>
      <c r="F1957" s="4">
        <f ca="1">(CP*(D1957-K)&gt;0)*1</f>
        <v>1</v>
      </c>
      <c r="H1957" s="4">
        <v>1942</v>
      </c>
      <c r="I1957" s="3">
        <v>0.6676064910742523</v>
      </c>
      <c r="J1957" s="128">
        <v>1.1455738309195497E-3</v>
      </c>
      <c r="K1957" s="128"/>
      <c r="L1957" s="128">
        <v>3.9E-2</v>
      </c>
      <c r="O1957" s="2"/>
    </row>
    <row r="1958" spans="2:15" x14ac:dyDescent="0.2">
      <c r="B1958" s="1">
        <v>1943</v>
      </c>
      <c r="C1958" s="5">
        <f ca="1">_xlfn.NORM.S.INV(RAND())</f>
        <v>1.2368812548825376E-2</v>
      </c>
      <c r="D1958" s="5">
        <f ca="1">S0*EXP((μ-0.5*σ*σ)*T+σ*SQRT(T)*$C1958)</f>
        <v>0.66531649315438024</v>
      </c>
      <c r="E1958" s="5">
        <f ca="1">MAX(0,CP*(D1958-K))</f>
        <v>0</v>
      </c>
      <c r="F1958" s="4">
        <f ca="1">(CP*(D1958-K)&gt;0)*1</f>
        <v>0</v>
      </c>
      <c r="H1958" s="4">
        <v>1943</v>
      </c>
      <c r="I1958" s="3">
        <v>0.66778233851435387</v>
      </c>
      <c r="J1958" s="128">
        <v>1.4768838142047631E-3</v>
      </c>
      <c r="K1958" s="128"/>
      <c r="L1958" s="128">
        <v>4.1399999999999999E-2</v>
      </c>
      <c r="O1958" s="2"/>
    </row>
    <row r="1959" spans="2:15" x14ac:dyDescent="0.2">
      <c r="B1959" s="1">
        <v>1944</v>
      </c>
      <c r="C1959" s="5">
        <f ca="1">_xlfn.NORM.S.INV(RAND())</f>
        <v>-9.7203859950431334E-2</v>
      </c>
      <c r="D1959" s="5">
        <f ca="1">S0*EXP((μ-0.5*σ*σ)*T+σ*SQRT(T)*$C1959)</f>
        <v>0.65816809646915519</v>
      </c>
      <c r="E1959" s="5">
        <f ca="1">MAX(0,CP*(D1959-K))</f>
        <v>0</v>
      </c>
      <c r="F1959" s="4">
        <f ca="1">(CP*(D1959-K)&gt;0)*1</f>
        <v>0</v>
      </c>
      <c r="H1959" s="4">
        <v>1944</v>
      </c>
      <c r="I1959" s="3">
        <v>0.66772998219264479</v>
      </c>
      <c r="J1959" s="128">
        <v>1.2747153612140921E-3</v>
      </c>
      <c r="K1959" s="128"/>
      <c r="L1959" s="128">
        <v>3.8600000000000002E-2</v>
      </c>
      <c r="O1959" s="2"/>
    </row>
    <row r="1960" spans="2:15" x14ac:dyDescent="0.2">
      <c r="B1960" s="1">
        <v>1945</v>
      </c>
      <c r="C1960" s="5">
        <f ca="1">_xlfn.NORM.S.INV(RAND())</f>
        <v>0.36262614007089033</v>
      </c>
      <c r="D1960" s="5">
        <f ca="1">S0*EXP((μ-0.5*σ*σ)*T+σ*SQRT(T)*$C1960)</f>
        <v>0.6886917894511726</v>
      </c>
      <c r="E1960" s="5">
        <f ca="1">MAX(0,CP*(D1960-K))</f>
        <v>0</v>
      </c>
      <c r="F1960" s="4">
        <f ca="1">(CP*(D1960-K)&gt;0)*1</f>
        <v>0</v>
      </c>
      <c r="H1960" s="4">
        <v>1945</v>
      </c>
      <c r="I1960" s="3">
        <v>0.667749992796145</v>
      </c>
      <c r="J1960" s="128">
        <v>1.3517161681482837E-3</v>
      </c>
      <c r="K1960" s="128"/>
      <c r="L1960" s="128">
        <v>3.6999999999999998E-2</v>
      </c>
      <c r="O1960" s="2"/>
    </row>
    <row r="1961" spans="2:15" x14ac:dyDescent="0.2">
      <c r="B1961" s="1">
        <v>1946</v>
      </c>
      <c r="C1961" s="5">
        <f ca="1">_xlfn.NORM.S.INV(RAND())</f>
        <v>1.2884626803369212</v>
      </c>
      <c r="D1961" s="5">
        <f ca="1">S0*EXP((μ-0.5*σ*σ)*T+σ*SQRT(T)*$C1961)</f>
        <v>0.75451089835176699</v>
      </c>
      <c r="E1961" s="5">
        <f ca="1">MAX(0,CP*(D1961-K))</f>
        <v>0</v>
      </c>
      <c r="F1961" s="4">
        <f ca="1">(CP*(D1961-K)&gt;0)*1</f>
        <v>0</v>
      </c>
      <c r="H1961" s="4">
        <v>1946</v>
      </c>
      <c r="I1961" s="3">
        <v>0.66781243211234009</v>
      </c>
      <c r="J1961" s="128">
        <v>1.3277413307705578E-3</v>
      </c>
      <c r="K1961" s="128"/>
      <c r="L1961" s="128">
        <v>4.2999999999999997E-2</v>
      </c>
      <c r="O1961" s="2"/>
    </row>
    <row r="1962" spans="2:15" x14ac:dyDescent="0.2">
      <c r="B1962" s="1">
        <v>1947</v>
      </c>
      <c r="C1962" s="5">
        <f ca="1">_xlfn.NORM.S.INV(RAND())</f>
        <v>0.25355190737931232</v>
      </c>
      <c r="D1962" s="5">
        <f ca="1">S0*EXP((μ-0.5*σ*σ)*T+σ*SQRT(T)*$C1962)</f>
        <v>0.68132571974934952</v>
      </c>
      <c r="E1962" s="5">
        <f ca="1">MAX(0,CP*(D1962-K))</f>
        <v>0</v>
      </c>
      <c r="F1962" s="4">
        <f ca="1">(CP*(D1962-K)&gt;0)*1</f>
        <v>0</v>
      </c>
      <c r="H1962" s="4">
        <v>1947</v>
      </c>
      <c r="I1962" s="3">
        <v>0.66777989513058256</v>
      </c>
      <c r="J1962" s="128">
        <v>1.2844016323694926E-3</v>
      </c>
      <c r="K1962" s="128"/>
      <c r="L1962" s="128">
        <v>4.2799999999999998E-2</v>
      </c>
      <c r="O1962" s="2"/>
    </row>
    <row r="1963" spans="2:15" x14ac:dyDescent="0.2">
      <c r="B1963" s="1">
        <v>1948</v>
      </c>
      <c r="C1963" s="5">
        <f ca="1">_xlfn.NORM.S.INV(RAND())</f>
        <v>1.7440985259815436</v>
      </c>
      <c r="D1963" s="5">
        <f ca="1">S0*EXP((μ-0.5*σ*σ)*T+σ*SQRT(T)*$C1963)</f>
        <v>0.78917627193037754</v>
      </c>
      <c r="E1963" s="5">
        <f ca="1">MAX(0,CP*(D1963-K))</f>
        <v>9.762719303775258E-4</v>
      </c>
      <c r="F1963" s="4">
        <f ca="1">(CP*(D1963-K)&gt;0)*1</f>
        <v>1</v>
      </c>
      <c r="H1963" s="4">
        <v>1948</v>
      </c>
      <c r="I1963" s="3">
        <v>0.66766198488890183</v>
      </c>
      <c r="J1963" s="128">
        <v>1.2522299521565854E-3</v>
      </c>
      <c r="K1963" s="128"/>
      <c r="L1963" s="128">
        <v>3.7600000000000001E-2</v>
      </c>
      <c r="O1963" s="2"/>
    </row>
    <row r="1964" spans="2:15" x14ac:dyDescent="0.2">
      <c r="B1964" s="1">
        <v>1949</v>
      </c>
      <c r="C1964" s="5">
        <f ca="1">_xlfn.NORM.S.INV(RAND())</f>
        <v>0.58124633520101698</v>
      </c>
      <c r="D1964" s="5">
        <f ca="1">S0*EXP((μ-0.5*σ*σ)*T+σ*SQRT(T)*$C1964)</f>
        <v>0.70369642772680008</v>
      </c>
      <c r="E1964" s="5">
        <f ca="1">MAX(0,CP*(D1964-K))</f>
        <v>0</v>
      </c>
      <c r="F1964" s="4">
        <f ca="1">(CP*(D1964-K)&gt;0)*1</f>
        <v>0</v>
      </c>
      <c r="H1964" s="4">
        <v>1949</v>
      </c>
      <c r="I1964" s="3">
        <v>0.66775858974493296</v>
      </c>
      <c r="J1964" s="128">
        <v>1.4058732892934553E-3</v>
      </c>
      <c r="K1964" s="128"/>
      <c r="L1964" s="128">
        <v>3.9800000000000002E-2</v>
      </c>
      <c r="O1964" s="2"/>
    </row>
    <row r="1965" spans="2:15" x14ac:dyDescent="0.2">
      <c r="B1965" s="1">
        <v>1950</v>
      </c>
      <c r="C1965" s="5">
        <f ca="1">_xlfn.NORM.S.INV(RAND())</f>
        <v>-0.4770984342193198</v>
      </c>
      <c r="D1965" s="5">
        <f ca="1">S0*EXP((μ-0.5*σ*σ)*T+σ*SQRT(T)*$C1965)</f>
        <v>0.63397373086494668</v>
      </c>
      <c r="E1965" s="5">
        <f ca="1">MAX(0,CP*(D1965-K))</f>
        <v>0</v>
      </c>
      <c r="F1965" s="4">
        <f ca="1">(CP*(D1965-K)&gt;0)*1</f>
        <v>0</v>
      </c>
      <c r="H1965" s="4">
        <v>1950</v>
      </c>
      <c r="I1965" s="3">
        <v>0.66775895774643079</v>
      </c>
      <c r="J1965" s="128">
        <v>1.3254283110510268E-3</v>
      </c>
      <c r="K1965" s="128"/>
      <c r="L1965" s="128">
        <v>4.6800000000000001E-2</v>
      </c>
      <c r="O1965" s="2"/>
    </row>
    <row r="1966" spans="2:15" x14ac:dyDescent="0.2">
      <c r="B1966" s="1">
        <v>1951</v>
      </c>
      <c r="C1966" s="5">
        <f ca="1">_xlfn.NORM.S.INV(RAND())</f>
        <v>-1.1066852780943659</v>
      </c>
      <c r="D1966" s="5">
        <f ca="1">S0*EXP((μ-0.5*σ*σ)*T+σ*SQRT(T)*$C1966)</f>
        <v>0.59581972453072107</v>
      </c>
      <c r="E1966" s="5">
        <f ca="1">MAX(0,CP*(D1966-K))</f>
        <v>0</v>
      </c>
      <c r="F1966" s="4">
        <f ca="1">(CP*(D1966-K)&gt;0)*1</f>
        <v>0</v>
      </c>
      <c r="H1966" s="4">
        <v>1951</v>
      </c>
      <c r="I1966" s="3">
        <v>0.66787994426193475</v>
      </c>
      <c r="J1966" s="128">
        <v>1.4429574385097996E-3</v>
      </c>
      <c r="K1966" s="128"/>
      <c r="L1966" s="128">
        <v>4.58E-2</v>
      </c>
      <c r="O1966" s="2"/>
    </row>
    <row r="1967" spans="2:15" x14ac:dyDescent="0.2">
      <c r="B1967" s="1">
        <v>1952</v>
      </c>
      <c r="C1967" s="5">
        <f ca="1">_xlfn.NORM.S.INV(RAND())</f>
        <v>0.62354120931754842</v>
      </c>
      <c r="D1967" s="5">
        <f ca="1">S0*EXP((μ-0.5*σ*σ)*T+σ*SQRT(T)*$C1967)</f>
        <v>0.70663678813773234</v>
      </c>
      <c r="E1967" s="5">
        <f ca="1">MAX(0,CP*(D1967-K))</f>
        <v>0</v>
      </c>
      <c r="F1967" s="4">
        <f ca="1">(CP*(D1967-K)&gt;0)*1</f>
        <v>0</v>
      </c>
      <c r="H1967" s="4">
        <v>1952</v>
      </c>
      <c r="I1967" s="3">
        <v>0.66767736746232909</v>
      </c>
      <c r="J1967" s="128">
        <v>1.160995318402296E-3</v>
      </c>
      <c r="K1967" s="128"/>
      <c r="L1967" s="128">
        <v>3.8600000000000002E-2</v>
      </c>
      <c r="O1967" s="2"/>
    </row>
    <row r="1968" spans="2:15" x14ac:dyDescent="0.2">
      <c r="B1968" s="1">
        <v>1953</v>
      </c>
      <c r="C1968" s="5">
        <f ca="1">_xlfn.NORM.S.INV(RAND())</f>
        <v>0.46057446766325139</v>
      </c>
      <c r="D1968" s="5">
        <f ca="1">S0*EXP((μ-0.5*σ*σ)*T+σ*SQRT(T)*$C1968)</f>
        <v>0.69537433943544502</v>
      </c>
      <c r="E1968" s="5">
        <f ca="1">MAX(0,CP*(D1968-K))</f>
        <v>0</v>
      </c>
      <c r="F1968" s="4">
        <f ca="1">(CP*(D1968-K)&gt;0)*1</f>
        <v>0</v>
      </c>
      <c r="H1968" s="4">
        <v>1953</v>
      </c>
      <c r="I1968" s="3">
        <v>0.66776611065231239</v>
      </c>
      <c r="J1968" s="128">
        <v>1.3045302899690732E-3</v>
      </c>
      <c r="K1968" s="128"/>
      <c r="L1968" s="128">
        <v>4.2599999999999999E-2</v>
      </c>
      <c r="O1968" s="2"/>
    </row>
    <row r="1969" spans="2:15" x14ac:dyDescent="0.2">
      <c r="B1969" s="1">
        <v>1954</v>
      </c>
      <c r="C1969" s="5">
        <f ca="1">_xlfn.NORM.S.INV(RAND())</f>
        <v>-0.98073977014574398</v>
      </c>
      <c r="D1969" s="5">
        <f ca="1">S0*EXP((μ-0.5*σ*σ)*T+σ*SQRT(T)*$C1969)</f>
        <v>0.6032639292876355</v>
      </c>
      <c r="E1969" s="5">
        <f ca="1">MAX(0,CP*(D1969-K))</f>
        <v>0</v>
      </c>
      <c r="F1969" s="4">
        <f ca="1">(CP*(D1969-K)&gt;0)*1</f>
        <v>0</v>
      </c>
      <c r="H1969" s="4">
        <v>1954</v>
      </c>
      <c r="I1969" s="3">
        <v>0.66769657686790274</v>
      </c>
      <c r="J1969" s="128">
        <v>1.327036450608195E-3</v>
      </c>
      <c r="K1969" s="128"/>
      <c r="L1969" s="128">
        <v>4.1000000000000002E-2</v>
      </c>
      <c r="O1969" s="2"/>
    </row>
    <row r="1970" spans="2:15" x14ac:dyDescent="0.2">
      <c r="B1970" s="1">
        <v>1955</v>
      </c>
      <c r="C1970" s="5">
        <f ca="1">_xlfn.NORM.S.INV(RAND())</f>
        <v>1.972368505209628</v>
      </c>
      <c r="D1970" s="5">
        <f ca="1">S0*EXP((μ-0.5*σ*σ)*T+σ*SQRT(T)*$C1970)</f>
        <v>0.80713768523331886</v>
      </c>
      <c r="E1970" s="5">
        <f ca="1">MAX(0,CP*(D1970-K))</f>
        <v>1.8937685233318846E-2</v>
      </c>
      <c r="F1970" s="4">
        <f ca="1">(CP*(D1970-K)&gt;0)*1</f>
        <v>1</v>
      </c>
      <c r="H1970" s="4">
        <v>1955</v>
      </c>
      <c r="I1970" s="3">
        <v>0.66780576297440797</v>
      </c>
      <c r="J1970" s="128">
        <v>1.3219709138728806E-3</v>
      </c>
      <c r="K1970" s="128"/>
      <c r="L1970" s="128">
        <v>4.3200000000000002E-2</v>
      </c>
      <c r="O1970" s="2"/>
    </row>
    <row r="1971" spans="2:15" x14ac:dyDescent="0.2">
      <c r="B1971" s="1">
        <v>1956</v>
      </c>
      <c r="C1971" s="5">
        <f ca="1">_xlfn.NORM.S.INV(RAND())</f>
        <v>-0.16209565023313563</v>
      </c>
      <c r="D1971" s="5">
        <f ca="1">S0*EXP((μ-0.5*σ*σ)*T+σ*SQRT(T)*$C1971)</f>
        <v>0.65397089476341053</v>
      </c>
      <c r="E1971" s="5">
        <f ca="1">MAX(0,CP*(D1971-K))</f>
        <v>0</v>
      </c>
      <c r="F1971" s="4">
        <f ca="1">(CP*(D1971-K)&gt;0)*1</f>
        <v>0</v>
      </c>
      <c r="H1971" s="4">
        <v>1956</v>
      </c>
      <c r="I1971" s="3">
        <v>0.66773479038203953</v>
      </c>
      <c r="J1971" s="128">
        <v>1.3364833866404806E-3</v>
      </c>
      <c r="K1971" s="128"/>
      <c r="L1971" s="128">
        <v>4.24E-2</v>
      </c>
      <c r="O1971" s="2"/>
    </row>
    <row r="1972" spans="2:15" x14ac:dyDescent="0.2">
      <c r="B1972" s="1">
        <v>1957</v>
      </c>
      <c r="C1972" s="5">
        <f ca="1">_xlfn.NORM.S.INV(RAND())</f>
        <v>-0.15194038814724969</v>
      </c>
      <c r="D1972" s="5">
        <f ca="1">S0*EXP((μ-0.5*σ*σ)*T+σ*SQRT(T)*$C1972)</f>
        <v>0.65462596625405445</v>
      </c>
      <c r="E1972" s="5">
        <f ca="1">MAX(0,CP*(D1972-K))</f>
        <v>0</v>
      </c>
      <c r="F1972" s="4">
        <f ca="1">(CP*(D1972-K)&gt;0)*1</f>
        <v>0</v>
      </c>
      <c r="H1972" s="4">
        <v>1957</v>
      </c>
      <c r="I1972" s="3">
        <v>0.66760292669528387</v>
      </c>
      <c r="J1972" s="128">
        <v>1.0837178279213243E-3</v>
      </c>
      <c r="K1972" s="128"/>
      <c r="L1972" s="128">
        <v>3.4799999999999998E-2</v>
      </c>
      <c r="O1972" s="2"/>
    </row>
    <row r="1973" spans="2:15" x14ac:dyDescent="0.2">
      <c r="B1973" s="1">
        <v>1958</v>
      </c>
      <c r="C1973" s="5">
        <f ca="1">_xlfn.NORM.S.INV(RAND())</f>
        <v>0.24659343480710008</v>
      </c>
      <c r="D1973" s="5">
        <f ca="1">S0*EXP((μ-0.5*σ*σ)*T+σ*SQRT(T)*$C1973)</f>
        <v>0.68085847818906486</v>
      </c>
      <c r="E1973" s="5">
        <f ca="1">MAX(0,CP*(D1973-K))</f>
        <v>0</v>
      </c>
      <c r="F1973" s="4">
        <f ca="1">(CP*(D1973-K)&gt;0)*1</f>
        <v>0</v>
      </c>
      <c r="H1973" s="4">
        <v>1958</v>
      </c>
      <c r="I1973" s="3">
        <v>0.6678576307359404</v>
      </c>
      <c r="J1973" s="128">
        <v>1.3575164879431807E-3</v>
      </c>
      <c r="K1973" s="128"/>
      <c r="L1973" s="128">
        <v>4.5999999999999999E-2</v>
      </c>
      <c r="O1973" s="2"/>
    </row>
    <row r="1974" spans="2:15" x14ac:dyDescent="0.2">
      <c r="B1974" s="1">
        <v>1959</v>
      </c>
      <c r="C1974" s="5">
        <f ca="1">_xlfn.NORM.S.INV(RAND())</f>
        <v>1.9610721865615244E-2</v>
      </c>
      <c r="D1974" s="5">
        <f ca="1">S0*EXP((μ-0.5*σ*σ)*T+σ*SQRT(T)*$C1974)</f>
        <v>0.66579167313614473</v>
      </c>
      <c r="E1974" s="5">
        <f ca="1">MAX(0,CP*(D1974-K))</f>
        <v>0</v>
      </c>
      <c r="F1974" s="4">
        <f ca="1">(CP*(D1974-K)&gt;0)*1</f>
        <v>0</v>
      </c>
      <c r="H1974" s="4">
        <v>1959</v>
      </c>
      <c r="I1974" s="3">
        <v>0.66782372140351387</v>
      </c>
      <c r="J1974" s="128">
        <v>1.5594092625289512E-3</v>
      </c>
      <c r="K1974" s="128"/>
      <c r="L1974" s="128">
        <v>4.3400000000000001E-2</v>
      </c>
      <c r="O1974" s="2"/>
    </row>
    <row r="1975" spans="2:15" x14ac:dyDescent="0.2">
      <c r="B1975" s="1">
        <v>1960</v>
      </c>
      <c r="C1975" s="5">
        <f ca="1">_xlfn.NORM.S.INV(RAND())</f>
        <v>-0.53448532888858313</v>
      </c>
      <c r="D1975" s="5">
        <f ca="1">S0*EXP((μ-0.5*σ*σ)*T+σ*SQRT(T)*$C1975)</f>
        <v>0.63039707011333235</v>
      </c>
      <c r="E1975" s="5">
        <f ca="1">MAX(0,CP*(D1975-K))</f>
        <v>0</v>
      </c>
      <c r="F1975" s="4">
        <f ca="1">(CP*(D1975-K)&gt;0)*1</f>
        <v>0</v>
      </c>
      <c r="H1975" s="4">
        <v>1960</v>
      </c>
      <c r="I1975" s="3">
        <v>0.6678667007273259</v>
      </c>
      <c r="J1975" s="128">
        <v>1.4696918019855686E-3</v>
      </c>
      <c r="K1975" s="128"/>
      <c r="L1975" s="128">
        <v>4.4200000000000003E-2</v>
      </c>
      <c r="O1975" s="2"/>
    </row>
    <row r="1976" spans="2:15" x14ac:dyDescent="0.2">
      <c r="B1976" s="1">
        <v>1961</v>
      </c>
      <c r="C1976" s="5">
        <f ca="1">_xlfn.NORM.S.INV(RAND())</f>
        <v>0.70871307001075368</v>
      </c>
      <c r="D1976" s="5">
        <f ca="1">S0*EXP((μ-0.5*σ*σ)*T+σ*SQRT(T)*$C1976)</f>
        <v>0.71259531269951959</v>
      </c>
      <c r="E1976" s="5">
        <f ca="1">MAX(0,CP*(D1976-K))</f>
        <v>0</v>
      </c>
      <c r="F1976" s="4">
        <f ca="1">(CP*(D1976-K)&gt;0)*1</f>
        <v>0</v>
      </c>
      <c r="H1976" s="4">
        <v>1961</v>
      </c>
      <c r="I1976" s="3">
        <v>0.66787772657100164</v>
      </c>
      <c r="J1976" s="128">
        <v>1.4529307869526149E-3</v>
      </c>
      <c r="K1976" s="128"/>
      <c r="L1976" s="128">
        <v>4.5199999999999997E-2</v>
      </c>
      <c r="O1976" s="2"/>
    </row>
    <row r="1977" spans="2:15" x14ac:dyDescent="0.2">
      <c r="B1977" s="1">
        <v>1962</v>
      </c>
      <c r="C1977" s="5">
        <f ca="1">_xlfn.NORM.S.INV(RAND())</f>
        <v>1.3651094726984416</v>
      </c>
      <c r="D1977" s="5">
        <f ca="1">S0*EXP((μ-0.5*σ*σ)*T+σ*SQRT(T)*$C1977)</f>
        <v>0.76023388996976871</v>
      </c>
      <c r="E1977" s="5">
        <f ca="1">MAX(0,CP*(D1977-K))</f>
        <v>0</v>
      </c>
      <c r="F1977" s="4">
        <f ca="1">(CP*(D1977-K)&gt;0)*1</f>
        <v>0</v>
      </c>
      <c r="H1977" s="4">
        <v>1962</v>
      </c>
      <c r="I1977" s="3">
        <v>0.66799751506568095</v>
      </c>
      <c r="J1977" s="128">
        <v>1.6968674308688832E-3</v>
      </c>
      <c r="K1977" s="128"/>
      <c r="L1977" s="128">
        <v>4.8000000000000001E-2</v>
      </c>
      <c r="O1977" s="2"/>
    </row>
    <row r="1978" spans="2:15" x14ac:dyDescent="0.2">
      <c r="B1978" s="1">
        <v>1963</v>
      </c>
      <c r="C1978" s="5">
        <f ca="1">_xlfn.NORM.S.INV(RAND())</f>
        <v>1.4436196601742832</v>
      </c>
      <c r="D1978" s="5">
        <f ca="1">S0*EXP((μ-0.5*σ*σ)*T+σ*SQRT(T)*$C1978)</f>
        <v>0.76614102353532643</v>
      </c>
      <c r="E1978" s="5">
        <f ca="1">MAX(0,CP*(D1978-K))</f>
        <v>0</v>
      </c>
      <c r="F1978" s="4">
        <f ca="1">(CP*(D1978-K)&gt;0)*1</f>
        <v>0</v>
      </c>
      <c r="H1978" s="4">
        <v>1963</v>
      </c>
      <c r="I1978" s="3">
        <v>0.66769158250844884</v>
      </c>
      <c r="J1978" s="128">
        <v>1.3582762069218413E-3</v>
      </c>
      <c r="K1978" s="128"/>
      <c r="L1978" s="128">
        <v>3.8800000000000001E-2</v>
      </c>
      <c r="O1978" s="2"/>
    </row>
    <row r="1979" spans="2:15" x14ac:dyDescent="0.2">
      <c r="B1979" s="1">
        <v>1964</v>
      </c>
      <c r="C1979" s="5">
        <f ca="1">_xlfn.NORM.S.INV(RAND())</f>
        <v>0.69884709012982815</v>
      </c>
      <c r="D1979" s="5">
        <f ca="1">S0*EXP((μ-0.5*σ*σ)*T+σ*SQRT(T)*$C1979)</f>
        <v>0.71190253529621328</v>
      </c>
      <c r="E1979" s="5">
        <f ca="1">MAX(0,CP*(D1979-K))</f>
        <v>0</v>
      </c>
      <c r="F1979" s="4">
        <f ca="1">(CP*(D1979-K)&gt;0)*1</f>
        <v>0</v>
      </c>
      <c r="H1979" s="4">
        <v>1964</v>
      </c>
      <c r="I1979" s="3">
        <v>0.66783925428532698</v>
      </c>
      <c r="J1979" s="128">
        <v>1.3720551954666523E-3</v>
      </c>
      <c r="K1979" s="128"/>
      <c r="L1979" s="128">
        <v>4.5199999999999997E-2</v>
      </c>
      <c r="O1979" s="2"/>
    </row>
    <row r="1980" spans="2:15" x14ac:dyDescent="0.2">
      <c r="B1980" s="1">
        <v>1965</v>
      </c>
      <c r="C1980" s="5">
        <f ca="1">_xlfn.NORM.S.INV(RAND())</f>
        <v>-2.0461425442491401</v>
      </c>
      <c r="D1980" s="5">
        <f ca="1">S0*EXP((μ-0.5*σ*σ)*T+σ*SQRT(T)*$C1980)</f>
        <v>0.54311410223522827</v>
      </c>
      <c r="E1980" s="5">
        <f ca="1">MAX(0,CP*(D1980-K))</f>
        <v>0</v>
      </c>
      <c r="F1980" s="4">
        <f ca="1">(CP*(D1980-K)&gt;0)*1</f>
        <v>0</v>
      </c>
      <c r="H1980" s="4">
        <v>1965</v>
      </c>
      <c r="I1980" s="3">
        <v>0.66775352622077488</v>
      </c>
      <c r="J1980" s="128">
        <v>1.4207351909789527E-3</v>
      </c>
      <c r="K1980" s="128"/>
      <c r="L1980" s="128">
        <v>4.2799999999999998E-2</v>
      </c>
      <c r="O1980" s="2"/>
    </row>
    <row r="1981" spans="2:15" x14ac:dyDescent="0.2">
      <c r="B1981" s="1">
        <v>1966</v>
      </c>
      <c r="C1981" s="5">
        <f ca="1">_xlfn.NORM.S.INV(RAND())</f>
        <v>-0.3904439749891423</v>
      </c>
      <c r="D1981" s="5">
        <f ca="1">S0*EXP((μ-0.5*σ*σ)*T+σ*SQRT(T)*$C1981)</f>
        <v>0.63941299712865418</v>
      </c>
      <c r="E1981" s="5">
        <f ca="1">MAX(0,CP*(D1981-K))</f>
        <v>0</v>
      </c>
      <c r="F1981" s="4">
        <f ca="1">(CP*(D1981-K)&gt;0)*1</f>
        <v>0</v>
      </c>
      <c r="H1981" s="4">
        <v>1966</v>
      </c>
      <c r="I1981" s="3">
        <v>0.66781365108181556</v>
      </c>
      <c r="J1981" s="128">
        <v>1.4594508821980168E-3</v>
      </c>
      <c r="K1981" s="128"/>
      <c r="L1981" s="128">
        <v>4.2799999999999998E-2</v>
      </c>
      <c r="O1981" s="2"/>
    </row>
    <row r="1982" spans="2:15" x14ac:dyDescent="0.2">
      <c r="B1982" s="1">
        <v>1967</v>
      </c>
      <c r="C1982" s="5">
        <f ca="1">_xlfn.NORM.S.INV(RAND())</f>
        <v>0.65470790264655621</v>
      </c>
      <c r="D1982" s="5">
        <f ca="1">S0*EXP((μ-0.5*σ*σ)*T+σ*SQRT(T)*$C1982)</f>
        <v>0.70881137159048269</v>
      </c>
      <c r="E1982" s="5">
        <f ca="1">MAX(0,CP*(D1982-K))</f>
        <v>0</v>
      </c>
      <c r="F1982" s="4">
        <f ca="1">(CP*(D1982-K)&gt;0)*1</f>
        <v>0</v>
      </c>
      <c r="H1982" s="4">
        <v>1967</v>
      </c>
      <c r="I1982" s="3">
        <v>0.66766858036627541</v>
      </c>
      <c r="J1982" s="128">
        <v>1.3108503880339393E-3</v>
      </c>
      <c r="K1982" s="128"/>
      <c r="L1982" s="128">
        <v>4.1200000000000001E-2</v>
      </c>
      <c r="O1982" s="2"/>
    </row>
    <row r="1983" spans="2:15" x14ac:dyDescent="0.2">
      <c r="B1983" s="1">
        <v>1968</v>
      </c>
      <c r="C1983" s="5">
        <f ca="1">_xlfn.NORM.S.INV(RAND())</f>
        <v>-0.98488944027185965</v>
      </c>
      <c r="D1983" s="5">
        <f ca="1">S0*EXP((μ-0.5*σ*σ)*T+σ*SQRT(T)*$C1983)</f>
        <v>0.60301718118592462</v>
      </c>
      <c r="E1983" s="5">
        <f ca="1">MAX(0,CP*(D1983-K))</f>
        <v>0</v>
      </c>
      <c r="F1983" s="4">
        <f ca="1">(CP*(D1983-K)&gt;0)*1</f>
        <v>0</v>
      </c>
      <c r="H1983" s="4">
        <v>1968</v>
      </c>
      <c r="I1983" s="3">
        <v>0.66761125101679875</v>
      </c>
      <c r="J1983" s="128">
        <v>1.3765721235073243E-3</v>
      </c>
      <c r="K1983" s="128"/>
      <c r="L1983" s="128">
        <v>3.9800000000000002E-2</v>
      </c>
      <c r="O1983" s="2"/>
    </row>
    <row r="1984" spans="2:15" x14ac:dyDescent="0.2">
      <c r="B1984" s="1">
        <v>1969</v>
      </c>
      <c r="C1984" s="5">
        <f ca="1">_xlfn.NORM.S.INV(RAND())</f>
        <v>0.91695154852928762</v>
      </c>
      <c r="D1984" s="5">
        <f ca="1">S0*EXP((μ-0.5*σ*σ)*T+σ*SQRT(T)*$C1984)</f>
        <v>0.72737588531002084</v>
      </c>
      <c r="E1984" s="5">
        <f ca="1">MAX(0,CP*(D1984-K))</f>
        <v>0</v>
      </c>
      <c r="F1984" s="4">
        <f ca="1">(CP*(D1984-K)&gt;0)*1</f>
        <v>0</v>
      </c>
      <c r="H1984" s="4">
        <v>1969</v>
      </c>
      <c r="I1984" s="3">
        <v>0.66773065269941989</v>
      </c>
      <c r="J1984" s="128">
        <v>1.4570826740366175E-3</v>
      </c>
      <c r="K1984" s="128"/>
      <c r="L1984" s="128">
        <v>4.2799999999999998E-2</v>
      </c>
      <c r="O1984" s="2"/>
    </row>
    <row r="1985" spans="2:15" x14ac:dyDescent="0.2">
      <c r="B1985" s="1">
        <v>1970</v>
      </c>
      <c r="C1985" s="5">
        <f ca="1">_xlfn.NORM.S.INV(RAND())</f>
        <v>-2.1658398898741589</v>
      </c>
      <c r="D1985" s="5">
        <f ca="1">S0*EXP((μ-0.5*σ*σ)*T+σ*SQRT(T)*$C1985)</f>
        <v>0.53674266573169671</v>
      </c>
      <c r="E1985" s="5">
        <f ca="1">MAX(0,CP*(D1985-K))</f>
        <v>0</v>
      </c>
      <c r="F1985" s="4">
        <f ca="1">(CP*(D1985-K)&gt;0)*1</f>
        <v>0</v>
      </c>
      <c r="H1985" s="4">
        <v>1970</v>
      </c>
      <c r="I1985" s="3">
        <v>0.66762678865819047</v>
      </c>
      <c r="J1985" s="128">
        <v>1.2346585201643266E-3</v>
      </c>
      <c r="K1985" s="128"/>
      <c r="L1985" s="128">
        <v>4.1200000000000001E-2</v>
      </c>
      <c r="O1985" s="2"/>
    </row>
    <row r="1986" spans="2:15" x14ac:dyDescent="0.2">
      <c r="B1986" s="1">
        <v>1971</v>
      </c>
      <c r="C1986" s="5">
        <f ca="1">_xlfn.NORM.S.INV(RAND())</f>
        <v>1.3598951427083052</v>
      </c>
      <c r="D1986" s="5">
        <f ca="1">S0*EXP((μ-0.5*σ*σ)*T+σ*SQRT(T)*$C1986)</f>
        <v>0.75984317879299557</v>
      </c>
      <c r="E1986" s="5">
        <f ca="1">MAX(0,CP*(D1986-K))</f>
        <v>0</v>
      </c>
      <c r="F1986" s="4">
        <f ca="1">(CP*(D1986-K)&gt;0)*1</f>
        <v>0</v>
      </c>
      <c r="H1986" s="4">
        <v>1971</v>
      </c>
      <c r="I1986" s="3">
        <v>0.66763029300800403</v>
      </c>
      <c r="J1986" s="128">
        <v>1.1166083392261054E-3</v>
      </c>
      <c r="K1986" s="128"/>
      <c r="L1986" s="128">
        <v>3.78E-2</v>
      </c>
      <c r="O1986" s="2"/>
    </row>
    <row r="1987" spans="2:15" x14ac:dyDescent="0.2">
      <c r="B1987" s="1">
        <v>1972</v>
      </c>
      <c r="C1987" s="5">
        <f ca="1">_xlfn.NORM.S.INV(RAND())</f>
        <v>1.5990130854547873</v>
      </c>
      <c r="D1987" s="5">
        <f ca="1">S0*EXP((μ-0.5*σ*σ)*T+σ*SQRT(T)*$C1987)</f>
        <v>0.77796855159007638</v>
      </c>
      <c r="E1987" s="5">
        <f ca="1">MAX(0,CP*(D1987-K))</f>
        <v>0</v>
      </c>
      <c r="F1987" s="4">
        <f ca="1">(CP*(D1987-K)&gt;0)*1</f>
        <v>0</v>
      </c>
      <c r="H1987" s="4">
        <v>1972</v>
      </c>
      <c r="I1987" s="3">
        <v>0.66788120307781595</v>
      </c>
      <c r="J1987" s="128">
        <v>1.5630933510054012E-3</v>
      </c>
      <c r="K1987" s="128"/>
      <c r="L1987" s="128">
        <v>4.6199999999999998E-2</v>
      </c>
      <c r="O1987" s="2"/>
    </row>
    <row r="1988" spans="2:15" x14ac:dyDescent="0.2">
      <c r="B1988" s="1">
        <v>1973</v>
      </c>
      <c r="C1988" s="5">
        <f ca="1">_xlfn.NORM.S.INV(RAND())</f>
        <v>-0.20893126717506649</v>
      </c>
      <c r="D1988" s="5">
        <f ca="1">S0*EXP((μ-0.5*σ*σ)*T+σ*SQRT(T)*$C1988)</f>
        <v>0.65095820705714069</v>
      </c>
      <c r="E1988" s="5">
        <f ca="1">MAX(0,CP*(D1988-K))</f>
        <v>0</v>
      </c>
      <c r="F1988" s="4">
        <f ca="1">(CP*(D1988-K)&gt;0)*1</f>
        <v>0</v>
      </c>
      <c r="H1988" s="4">
        <v>1973</v>
      </c>
      <c r="I1988" s="3">
        <v>0.66757022905380869</v>
      </c>
      <c r="J1988" s="128">
        <v>1.2990249458467969E-3</v>
      </c>
      <c r="K1988" s="128"/>
      <c r="L1988" s="128">
        <v>3.6400000000000002E-2</v>
      </c>
      <c r="O1988" s="2"/>
    </row>
    <row r="1989" spans="2:15" x14ac:dyDescent="0.2">
      <c r="B1989" s="1">
        <v>1974</v>
      </c>
      <c r="C1989" s="5">
        <f ca="1">_xlfn.NORM.S.INV(RAND())</f>
        <v>0.46179907927739294</v>
      </c>
      <c r="D1989" s="5">
        <f ca="1">S0*EXP((μ-0.5*σ*σ)*T+σ*SQRT(T)*$C1989)</f>
        <v>0.69545829799358472</v>
      </c>
      <c r="E1989" s="5">
        <f ca="1">MAX(0,CP*(D1989-K))</f>
        <v>0</v>
      </c>
      <c r="F1989" s="4">
        <f ca="1">(CP*(D1989-K)&gt;0)*1</f>
        <v>0</v>
      </c>
      <c r="H1989" s="4">
        <v>1974</v>
      </c>
      <c r="I1989" s="3">
        <v>0.66789797517674032</v>
      </c>
      <c r="J1989" s="128">
        <v>1.5430113736863531E-3</v>
      </c>
      <c r="K1989" s="128"/>
      <c r="L1989" s="128">
        <v>4.3999999999999997E-2</v>
      </c>
      <c r="O1989" s="2"/>
    </row>
    <row r="1990" spans="2:15" x14ac:dyDescent="0.2">
      <c r="B1990" s="1">
        <v>1975</v>
      </c>
      <c r="C1990" s="5">
        <f ca="1">_xlfn.NORM.S.INV(RAND())</f>
        <v>1.3871410818212171</v>
      </c>
      <c r="D1990" s="5">
        <f ca="1">S0*EXP((μ-0.5*σ*σ)*T+σ*SQRT(T)*$C1990)</f>
        <v>0.76188694344232499</v>
      </c>
      <c r="E1990" s="5">
        <f ca="1">MAX(0,CP*(D1990-K))</f>
        <v>0</v>
      </c>
      <c r="F1990" s="4">
        <f ca="1">(CP*(D1990-K)&gt;0)*1</f>
        <v>0</v>
      </c>
      <c r="H1990" s="4">
        <v>1975</v>
      </c>
      <c r="I1990" s="3">
        <v>0.66769923640338624</v>
      </c>
      <c r="J1990" s="128">
        <v>1.34328583061122E-3</v>
      </c>
      <c r="K1990" s="128"/>
      <c r="L1990" s="128">
        <v>4.1599999999999998E-2</v>
      </c>
      <c r="O1990" s="2"/>
    </row>
    <row r="1991" spans="2:15" x14ac:dyDescent="0.2">
      <c r="B1991" s="1">
        <v>1976</v>
      </c>
      <c r="C1991" s="5">
        <f ca="1">_xlfn.NORM.S.INV(RAND())</f>
        <v>-0.47932785710852327</v>
      </c>
      <c r="D1991" s="5">
        <f ca="1">S0*EXP((μ-0.5*σ*σ)*T+σ*SQRT(T)*$C1991)</f>
        <v>0.63383440308645467</v>
      </c>
      <c r="E1991" s="5">
        <f ca="1">MAX(0,CP*(D1991-K))</f>
        <v>0</v>
      </c>
      <c r="F1991" s="4">
        <f ca="1">(CP*(D1991-K)&gt;0)*1</f>
        <v>0</v>
      </c>
      <c r="H1991" s="4">
        <v>1976</v>
      </c>
      <c r="I1991" s="3">
        <v>0.66765190825730658</v>
      </c>
      <c r="J1991" s="128">
        <v>1.3491847482671588E-3</v>
      </c>
      <c r="K1991" s="128"/>
      <c r="L1991" s="128">
        <v>4.02E-2</v>
      </c>
      <c r="O1991" s="2"/>
    </row>
    <row r="1992" spans="2:15" x14ac:dyDescent="0.2">
      <c r="B1992" s="1">
        <v>1977</v>
      </c>
      <c r="C1992" s="5">
        <f ca="1">_xlfn.NORM.S.INV(RAND())</f>
        <v>2.1814187481727259</v>
      </c>
      <c r="D1992" s="5">
        <f ca="1">S0*EXP((μ-0.5*σ*σ)*T+σ*SQRT(T)*$C1992)</f>
        <v>0.82394518273705419</v>
      </c>
      <c r="E1992" s="5">
        <f ca="1">MAX(0,CP*(D1992-K))</f>
        <v>3.5745182737054182E-2</v>
      </c>
      <c r="F1992" s="4">
        <f ca="1">(CP*(D1992-K)&gt;0)*1</f>
        <v>1</v>
      </c>
      <c r="H1992" s="4">
        <v>1977</v>
      </c>
      <c r="I1992" s="3">
        <v>0.66770273563527194</v>
      </c>
      <c r="J1992" s="128">
        <v>1.2590020035907704E-3</v>
      </c>
      <c r="K1992" s="128"/>
      <c r="L1992" s="128">
        <v>4.1000000000000002E-2</v>
      </c>
      <c r="O1992" s="2"/>
    </row>
    <row r="1993" spans="2:15" x14ac:dyDescent="0.2">
      <c r="B1993" s="1">
        <v>1978</v>
      </c>
      <c r="C1993" s="5">
        <f ca="1">_xlfn.NORM.S.INV(RAND())</f>
        <v>-1.5790432723721475</v>
      </c>
      <c r="D1993" s="5">
        <f ca="1">S0*EXP((μ-0.5*σ*σ)*T+σ*SQRT(T)*$C1993)</f>
        <v>0.56870939040036361</v>
      </c>
      <c r="E1993" s="5">
        <f ca="1">MAX(0,CP*(D1993-K))</f>
        <v>0</v>
      </c>
      <c r="F1993" s="4">
        <f ca="1">(CP*(D1993-K)&gt;0)*1</f>
        <v>0</v>
      </c>
      <c r="H1993" s="4">
        <v>1978</v>
      </c>
      <c r="I1993" s="3">
        <v>0.66786379645773764</v>
      </c>
      <c r="J1993" s="128">
        <v>1.4261449872717089E-3</v>
      </c>
      <c r="K1993" s="128"/>
      <c r="L1993" s="128">
        <v>4.2799999999999998E-2</v>
      </c>
      <c r="O1993" s="2"/>
    </row>
    <row r="1994" spans="2:15" x14ac:dyDescent="0.2">
      <c r="B1994" s="1">
        <v>1979</v>
      </c>
      <c r="C1994" s="5">
        <f ca="1">_xlfn.NORM.S.INV(RAND())</f>
        <v>0.61468124956637671</v>
      </c>
      <c r="D1994" s="5">
        <f ca="1">S0*EXP((μ-0.5*σ*σ)*T+σ*SQRT(T)*$C1994)</f>
        <v>0.7060198238121157</v>
      </c>
      <c r="E1994" s="5">
        <f ca="1">MAX(0,CP*(D1994-K))</f>
        <v>0</v>
      </c>
      <c r="F1994" s="4">
        <f ca="1">(CP*(D1994-K)&gt;0)*1</f>
        <v>0</v>
      </c>
      <c r="H1994" s="4">
        <v>1979</v>
      </c>
      <c r="I1994" s="3">
        <v>0.66773101877063457</v>
      </c>
      <c r="J1994" s="128">
        <v>1.3875430442527297E-3</v>
      </c>
      <c r="K1994" s="128"/>
      <c r="L1994" s="128">
        <v>3.9399999999999998E-2</v>
      </c>
      <c r="O1994" s="2"/>
    </row>
    <row r="1995" spans="2:15" x14ac:dyDescent="0.2">
      <c r="B1995" s="1">
        <v>1980</v>
      </c>
      <c r="C1995" s="5">
        <f ca="1">_xlfn.NORM.S.INV(RAND())</f>
        <v>-0.60395802128382692</v>
      </c>
      <c r="D1995" s="5">
        <f ca="1">S0*EXP((μ-0.5*σ*σ)*T+σ*SQRT(T)*$C1995)</f>
        <v>0.62609414671817787</v>
      </c>
      <c r="E1995" s="5">
        <f ca="1">MAX(0,CP*(D1995-K))</f>
        <v>0</v>
      </c>
      <c r="F1995" s="4">
        <f ca="1">(CP*(D1995-K)&gt;0)*1</f>
        <v>0</v>
      </c>
      <c r="H1995" s="4">
        <v>1980</v>
      </c>
      <c r="I1995" s="3">
        <v>0.667635843738418</v>
      </c>
      <c r="J1995" s="128">
        <v>1.2809912914214746E-3</v>
      </c>
      <c r="K1995" s="128"/>
      <c r="L1995" s="128">
        <v>3.9E-2</v>
      </c>
      <c r="O1995" s="2"/>
    </row>
    <row r="1996" spans="2:15" x14ac:dyDescent="0.2">
      <c r="B1996" s="1">
        <v>1981</v>
      </c>
      <c r="C1996" s="5">
        <f ca="1">_xlfn.NORM.S.INV(RAND())</f>
        <v>4.0091313099438719E-4</v>
      </c>
      <c r="D1996" s="5">
        <f ca="1">S0*EXP((μ-0.5*σ*σ)*T+σ*SQRT(T)*$C1996)</f>
        <v>0.66453195917684094</v>
      </c>
      <c r="E1996" s="5">
        <f ca="1">MAX(0,CP*(D1996-K))</f>
        <v>0</v>
      </c>
      <c r="F1996" s="4">
        <f ca="1">(CP*(D1996-K)&gt;0)*1</f>
        <v>0</v>
      </c>
      <c r="H1996" s="4">
        <v>1981</v>
      </c>
      <c r="I1996" s="3">
        <v>0.66780127645329701</v>
      </c>
      <c r="J1996" s="128">
        <v>1.3194107809239878E-3</v>
      </c>
      <c r="K1996" s="128"/>
      <c r="L1996" s="128">
        <v>4.2000000000000003E-2</v>
      </c>
      <c r="O1996" s="2"/>
    </row>
    <row r="1997" spans="2:15" x14ac:dyDescent="0.2">
      <c r="B1997" s="1">
        <v>1982</v>
      </c>
      <c r="C1997" s="5">
        <f ca="1">_xlfn.NORM.S.INV(RAND())</f>
        <v>-0.14604270112002951</v>
      </c>
      <c r="D1997" s="5">
        <f ca="1">S0*EXP((μ-0.5*σ*σ)*T+σ*SQRT(T)*$C1997)</f>
        <v>0.65500670136990347</v>
      </c>
      <c r="E1997" s="5">
        <f ca="1">MAX(0,CP*(D1997-K))</f>
        <v>0</v>
      </c>
      <c r="F1997" s="4">
        <f ca="1">(CP*(D1997-K)&gt;0)*1</f>
        <v>0</v>
      </c>
      <c r="H1997" s="4">
        <v>1982</v>
      </c>
      <c r="I1997" s="3">
        <v>0.66784757292550656</v>
      </c>
      <c r="J1997" s="128">
        <v>1.4170531663479161E-3</v>
      </c>
      <c r="K1997" s="128"/>
      <c r="L1997" s="128">
        <v>4.4200000000000003E-2</v>
      </c>
      <c r="O1997" s="2"/>
    </row>
    <row r="1998" spans="2:15" x14ac:dyDescent="0.2">
      <c r="B1998" s="1">
        <v>1983</v>
      </c>
      <c r="C1998" s="5">
        <f ca="1">_xlfn.NORM.S.INV(RAND())</f>
        <v>2.3285268050181607</v>
      </c>
      <c r="D1998" s="5">
        <f ca="1">S0*EXP((μ-0.5*σ*σ)*T+σ*SQRT(T)*$C1998)</f>
        <v>0.83598194252017932</v>
      </c>
      <c r="E1998" s="5">
        <f ca="1">MAX(0,CP*(D1998-K))</f>
        <v>4.778194252017931E-2</v>
      </c>
      <c r="F1998" s="4">
        <f ca="1">(CP*(D1998-K)&gt;0)*1</f>
        <v>1</v>
      </c>
      <c r="H1998" s="4">
        <v>1983</v>
      </c>
      <c r="I1998" s="3">
        <v>0.6677622571507511</v>
      </c>
      <c r="J1998" s="128">
        <v>1.5105037880087488E-3</v>
      </c>
      <c r="K1998" s="128"/>
      <c r="L1998" s="128">
        <v>4.0800000000000003E-2</v>
      </c>
      <c r="O1998" s="2"/>
    </row>
    <row r="1999" spans="2:15" x14ac:dyDescent="0.2">
      <c r="B1999" s="1">
        <v>1984</v>
      </c>
      <c r="C1999" s="5">
        <f ca="1">_xlfn.NORM.S.INV(RAND())</f>
        <v>0.91340485274563832</v>
      </c>
      <c r="D1999" s="5">
        <f ca="1">S0*EXP((μ-0.5*σ*σ)*T+σ*SQRT(T)*$C1999)</f>
        <v>0.72712159569017876</v>
      </c>
      <c r="E1999" s="5">
        <f ca="1">MAX(0,CP*(D1999-K))</f>
        <v>0</v>
      </c>
      <c r="F1999" s="4">
        <f ca="1">(CP*(D1999-K)&gt;0)*1</f>
        <v>0</v>
      </c>
      <c r="H1999" s="4">
        <v>1984</v>
      </c>
      <c r="I1999" s="3">
        <v>0.66776391685695657</v>
      </c>
      <c r="J1999" s="128">
        <v>1.5067130539534943E-3</v>
      </c>
      <c r="K1999" s="128"/>
      <c r="L1999" s="128">
        <v>4.5199999999999997E-2</v>
      </c>
      <c r="O1999" s="2"/>
    </row>
    <row r="2000" spans="2:15" x14ac:dyDescent="0.2">
      <c r="B2000" s="1">
        <v>1985</v>
      </c>
      <c r="C2000" s="5">
        <f ca="1">_xlfn.NORM.S.INV(RAND())</f>
        <v>1.1549016370656116</v>
      </c>
      <c r="D2000" s="5">
        <f ca="1">S0*EXP((μ-0.5*σ*σ)*T+σ*SQRT(T)*$C2000)</f>
        <v>0.74464104037166434</v>
      </c>
      <c r="E2000" s="5">
        <f ca="1">MAX(0,CP*(D2000-K))</f>
        <v>0</v>
      </c>
      <c r="F2000" s="4">
        <f ca="1">(CP*(D2000-K)&gt;0)*1</f>
        <v>0</v>
      </c>
      <c r="H2000" s="4">
        <v>1985</v>
      </c>
      <c r="I2000" s="3">
        <v>0.66771738358213251</v>
      </c>
      <c r="J2000" s="128">
        <v>1.4798236547853198E-3</v>
      </c>
      <c r="K2000" s="128"/>
      <c r="L2000" s="128">
        <v>4.2000000000000003E-2</v>
      </c>
      <c r="O2000" s="2"/>
    </row>
    <row r="2001" spans="2:15" x14ac:dyDescent="0.2">
      <c r="B2001" s="1">
        <v>1986</v>
      </c>
      <c r="C2001" s="5">
        <f ca="1">_xlfn.NORM.S.INV(RAND())</f>
        <v>-0.58243171708048125</v>
      </c>
      <c r="D2001" s="5">
        <f ca="1">S0*EXP((μ-0.5*σ*σ)*T+σ*SQRT(T)*$C2001)</f>
        <v>0.62742426956766284</v>
      </c>
      <c r="E2001" s="5">
        <f ca="1">MAX(0,CP*(D2001-K))</f>
        <v>0</v>
      </c>
      <c r="F2001" s="4">
        <f ca="1">(CP*(D2001-K)&gt;0)*1</f>
        <v>0</v>
      </c>
      <c r="H2001" s="4">
        <v>1986</v>
      </c>
      <c r="I2001" s="3">
        <v>0.66785403878986138</v>
      </c>
      <c r="J2001" s="128">
        <v>1.298718656504418E-3</v>
      </c>
      <c r="K2001" s="128"/>
      <c r="L2001" s="128">
        <v>4.5400000000000003E-2</v>
      </c>
      <c r="O2001" s="2"/>
    </row>
    <row r="2002" spans="2:15" x14ac:dyDescent="0.2">
      <c r="B2002" s="1">
        <v>1987</v>
      </c>
      <c r="C2002" s="5">
        <f ca="1">_xlfn.NORM.S.INV(RAND())</f>
        <v>0.43495534866579094</v>
      </c>
      <c r="D2002" s="5">
        <f ca="1">S0*EXP((μ-0.5*σ*σ)*T+σ*SQRT(T)*$C2002)</f>
        <v>0.69362023182304489</v>
      </c>
      <c r="E2002" s="5">
        <f ca="1">MAX(0,CP*(D2002-K))</f>
        <v>0</v>
      </c>
      <c r="F2002" s="4">
        <f ca="1">(CP*(D2002-K)&gt;0)*1</f>
        <v>0</v>
      </c>
      <c r="H2002" s="4">
        <v>1987</v>
      </c>
      <c r="I2002" s="3">
        <v>0.66768642652362586</v>
      </c>
      <c r="J2002" s="128">
        <v>1.3845662624401049E-3</v>
      </c>
      <c r="K2002" s="128"/>
      <c r="L2002" s="128">
        <v>4.0599999999999997E-2</v>
      </c>
      <c r="O2002" s="2"/>
    </row>
    <row r="2003" spans="2:15" x14ac:dyDescent="0.2">
      <c r="B2003" s="1">
        <v>1988</v>
      </c>
      <c r="C2003" s="5">
        <f ca="1">_xlfn.NORM.S.INV(RAND())</f>
        <v>-1.3381837356305257</v>
      </c>
      <c r="D2003" s="5">
        <f ca="1">S0*EXP((μ-0.5*σ*σ)*T+σ*SQRT(T)*$C2003)</f>
        <v>0.58237542418808996</v>
      </c>
      <c r="E2003" s="5">
        <f ca="1">MAX(0,CP*(D2003-K))</f>
        <v>0</v>
      </c>
      <c r="F2003" s="4">
        <f ca="1">(CP*(D2003-K)&gt;0)*1</f>
        <v>0</v>
      </c>
      <c r="H2003" s="4">
        <v>1988</v>
      </c>
      <c r="I2003" s="3">
        <v>0.66781816232183233</v>
      </c>
      <c r="J2003" s="128">
        <v>1.5013551990022333E-3</v>
      </c>
      <c r="K2003" s="128"/>
      <c r="L2003" s="128">
        <v>4.2799999999999998E-2</v>
      </c>
      <c r="O2003" s="2"/>
    </row>
    <row r="2004" spans="2:15" x14ac:dyDescent="0.2">
      <c r="B2004" s="1">
        <v>1989</v>
      </c>
      <c r="C2004" s="5">
        <f ca="1">_xlfn.NORM.S.INV(RAND())</f>
        <v>-0.63583772167024155</v>
      </c>
      <c r="D2004" s="5">
        <f ca="1">S0*EXP((μ-0.5*σ*σ)*T+σ*SQRT(T)*$C2004)</f>
        <v>0.62412946007091707</v>
      </c>
      <c r="E2004" s="5">
        <f ca="1">MAX(0,CP*(D2004-K))</f>
        <v>0</v>
      </c>
      <c r="F2004" s="4">
        <f ca="1">(CP*(D2004-K)&gt;0)*1</f>
        <v>0</v>
      </c>
      <c r="H2004" s="4">
        <v>1989</v>
      </c>
      <c r="I2004" s="3">
        <v>0.66780434723736548</v>
      </c>
      <c r="J2004" s="128">
        <v>1.4056427416305761E-3</v>
      </c>
      <c r="K2004" s="128"/>
      <c r="L2004" s="128">
        <v>4.1799999999999997E-2</v>
      </c>
      <c r="O2004" s="2"/>
    </row>
    <row r="2005" spans="2:15" x14ac:dyDescent="0.2">
      <c r="B2005" s="1">
        <v>1990</v>
      </c>
      <c r="C2005" s="5">
        <f ca="1">_xlfn.NORM.S.INV(RAND())</f>
        <v>1.5225464337815677</v>
      </c>
      <c r="D2005" s="5">
        <f ca="1">S0*EXP((μ-0.5*σ*σ)*T+σ*SQRT(T)*$C2005)</f>
        <v>0.77212576711925573</v>
      </c>
      <c r="E2005" s="5">
        <f ca="1">MAX(0,CP*(D2005-K))</f>
        <v>0</v>
      </c>
      <c r="F2005" s="4">
        <f ca="1">(CP*(D2005-K)&gt;0)*1</f>
        <v>0</v>
      </c>
      <c r="H2005" s="4">
        <v>1990</v>
      </c>
      <c r="I2005" s="3">
        <v>0.66778792384239938</v>
      </c>
      <c r="J2005" s="128">
        <v>1.5899799996606174E-3</v>
      </c>
      <c r="K2005" s="128"/>
      <c r="L2005" s="128">
        <v>4.5600000000000002E-2</v>
      </c>
      <c r="O2005" s="2"/>
    </row>
    <row r="2006" spans="2:15" x14ac:dyDescent="0.2">
      <c r="B2006" s="1">
        <v>1991</v>
      </c>
      <c r="C2006" s="5">
        <f ca="1">_xlfn.NORM.S.INV(RAND())</f>
        <v>-0.6873587927639454</v>
      </c>
      <c r="D2006" s="5">
        <f ca="1">S0*EXP((μ-0.5*σ*σ)*T+σ*SQRT(T)*$C2006)</f>
        <v>0.62096733684415173</v>
      </c>
      <c r="E2006" s="5">
        <f ca="1">MAX(0,CP*(D2006-K))</f>
        <v>0</v>
      </c>
      <c r="F2006" s="4">
        <f ca="1">(CP*(D2006-K)&gt;0)*1</f>
        <v>0</v>
      </c>
      <c r="H2006" s="4">
        <v>1991</v>
      </c>
      <c r="I2006" s="3">
        <v>0.66788853722441088</v>
      </c>
      <c r="J2006" s="128">
        <v>1.482768204937321E-3</v>
      </c>
      <c r="K2006" s="128"/>
      <c r="L2006" s="128">
        <v>4.4200000000000003E-2</v>
      </c>
      <c r="O2006" s="2"/>
    </row>
    <row r="2007" spans="2:15" x14ac:dyDescent="0.2">
      <c r="B2007" s="1">
        <v>1992</v>
      </c>
      <c r="C2007" s="5">
        <f ca="1">_xlfn.NORM.S.INV(RAND())</f>
        <v>-0.8578159830884079</v>
      </c>
      <c r="D2007" s="5">
        <f ca="1">S0*EXP((μ-0.5*σ*σ)*T+σ*SQRT(T)*$C2007)</f>
        <v>0.61061920946146675</v>
      </c>
      <c r="E2007" s="5">
        <f ca="1">MAX(0,CP*(D2007-K))</f>
        <v>0</v>
      </c>
      <c r="F2007" s="4">
        <f ca="1">(CP*(D2007-K)&gt;0)*1</f>
        <v>0</v>
      </c>
      <c r="H2007" s="4">
        <v>1992</v>
      </c>
      <c r="I2007" s="3">
        <v>0.66774363957714988</v>
      </c>
      <c r="J2007" s="128">
        <v>1.3773207091893557E-3</v>
      </c>
      <c r="K2007" s="128"/>
      <c r="L2007" s="128">
        <v>4.2999999999999997E-2</v>
      </c>
      <c r="O2007" s="2"/>
    </row>
    <row r="2008" spans="2:15" x14ac:dyDescent="0.2">
      <c r="B2008" s="1">
        <v>1993</v>
      </c>
      <c r="C2008" s="5">
        <f ca="1">_xlfn.NORM.S.INV(RAND())</f>
        <v>-0.96372823849308809</v>
      </c>
      <c r="D2008" s="5">
        <f ca="1">S0*EXP((μ-0.5*σ*σ)*T+σ*SQRT(T)*$C2008)</f>
        <v>0.60427652650671149</v>
      </c>
      <c r="E2008" s="5">
        <f ca="1">MAX(0,CP*(D2008-K))</f>
        <v>0</v>
      </c>
      <c r="F2008" s="4">
        <f ca="1">(CP*(D2008-K)&gt;0)*1</f>
        <v>0</v>
      </c>
      <c r="H2008" s="4">
        <v>1993</v>
      </c>
      <c r="I2008" s="3">
        <v>0.66787360359813119</v>
      </c>
      <c r="J2008" s="128">
        <v>1.5201496651850769E-3</v>
      </c>
      <c r="K2008" s="128"/>
      <c r="L2008" s="128">
        <v>4.24E-2</v>
      </c>
      <c r="O2008" s="2"/>
    </row>
    <row r="2009" spans="2:15" x14ac:dyDescent="0.2">
      <c r="B2009" s="1">
        <v>1994</v>
      </c>
      <c r="C2009" s="5">
        <f ca="1">_xlfn.NORM.S.INV(RAND())</f>
        <v>0.66029898406272869</v>
      </c>
      <c r="D2009" s="5">
        <f ca="1">S0*EXP((μ-0.5*σ*σ)*T+σ*SQRT(T)*$C2009)</f>
        <v>0.70920218361056508</v>
      </c>
      <c r="E2009" s="5">
        <f ca="1">MAX(0,CP*(D2009-K))</f>
        <v>0</v>
      </c>
      <c r="F2009" s="4">
        <f ca="1">(CP*(D2009-K)&gt;0)*1</f>
        <v>0</v>
      </c>
      <c r="H2009" s="4">
        <v>1994</v>
      </c>
      <c r="I2009" s="3">
        <v>0.6676303223360186</v>
      </c>
      <c r="J2009" s="128">
        <v>1.2694283258323357E-3</v>
      </c>
      <c r="K2009" s="128"/>
      <c r="L2009" s="128">
        <v>4.0599999999999997E-2</v>
      </c>
      <c r="O2009" s="2"/>
    </row>
    <row r="2010" spans="2:15" x14ac:dyDescent="0.2">
      <c r="B2010" s="1">
        <v>1995</v>
      </c>
      <c r="C2010" s="5">
        <f ca="1">_xlfn.NORM.S.INV(RAND())</f>
        <v>0.68271504081621859</v>
      </c>
      <c r="D2010" s="5">
        <f ca="1">S0*EXP((μ-0.5*σ*σ)*T+σ*SQRT(T)*$C2010)</f>
        <v>0.71077121262062115</v>
      </c>
      <c r="E2010" s="5">
        <f ca="1">MAX(0,CP*(D2010-K))</f>
        <v>0</v>
      </c>
      <c r="F2010" s="4">
        <f ca="1">(CP*(D2010-K)&gt;0)*1</f>
        <v>0</v>
      </c>
      <c r="H2010" s="4">
        <v>1995</v>
      </c>
      <c r="I2010" s="3">
        <v>0.66763312753785509</v>
      </c>
      <c r="J2010" s="128">
        <v>1.3017140456752249E-3</v>
      </c>
      <c r="K2010" s="128"/>
      <c r="L2010" s="128">
        <v>3.9600000000000003E-2</v>
      </c>
      <c r="O2010" s="2"/>
    </row>
    <row r="2011" spans="2:15" x14ac:dyDescent="0.2">
      <c r="B2011" s="1">
        <v>1996</v>
      </c>
      <c r="C2011" s="5">
        <f ca="1">_xlfn.NORM.S.INV(RAND())</f>
        <v>-0.27520217086462012</v>
      </c>
      <c r="D2011" s="5">
        <f ca="1">S0*EXP((μ-0.5*σ*σ)*T+σ*SQRT(T)*$C2011)</f>
        <v>0.64671904747998377</v>
      </c>
      <c r="E2011" s="5">
        <f ca="1">MAX(0,CP*(D2011-K))</f>
        <v>0</v>
      </c>
      <c r="F2011" s="4">
        <f ca="1">(CP*(D2011-K)&gt;0)*1</f>
        <v>0</v>
      </c>
      <c r="H2011" s="4">
        <v>1996</v>
      </c>
      <c r="I2011" s="3">
        <v>0.66759381816978836</v>
      </c>
      <c r="J2011" s="128">
        <v>1.1424279549926211E-3</v>
      </c>
      <c r="K2011" s="128"/>
      <c r="L2011" s="128">
        <v>3.5999999999999997E-2</v>
      </c>
      <c r="O2011" s="2"/>
    </row>
    <row r="2012" spans="2:15" x14ac:dyDescent="0.2">
      <c r="B2012" s="1">
        <v>1997</v>
      </c>
      <c r="C2012" s="5">
        <f ca="1">_xlfn.NORM.S.INV(RAND())</f>
        <v>1.0990646990079882</v>
      </c>
      <c r="D2012" s="5">
        <f ca="1">S0*EXP((μ-0.5*σ*σ)*T+σ*SQRT(T)*$C2012)</f>
        <v>0.74055318544256754</v>
      </c>
      <c r="E2012" s="5">
        <f ca="1">MAX(0,CP*(D2012-K))</f>
        <v>0</v>
      </c>
      <c r="F2012" s="4">
        <f ca="1">(CP*(D2012-K)&gt;0)*1</f>
        <v>0</v>
      </c>
      <c r="H2012" s="4">
        <v>1997</v>
      </c>
      <c r="I2012" s="3">
        <v>0.66776994053306349</v>
      </c>
      <c r="J2012" s="128">
        <v>1.3671929970670315E-3</v>
      </c>
      <c r="K2012" s="128"/>
      <c r="L2012" s="128">
        <v>4.2799999999999998E-2</v>
      </c>
      <c r="O2012" s="2"/>
    </row>
    <row r="2013" spans="2:15" x14ac:dyDescent="0.2">
      <c r="B2013" s="1">
        <v>1998</v>
      </c>
      <c r="C2013" s="5">
        <f ca="1">_xlfn.NORM.S.INV(RAND())</f>
        <v>1.0049671732302374</v>
      </c>
      <c r="D2013" s="5">
        <f ca="1">S0*EXP((μ-0.5*σ*σ)*T+σ*SQRT(T)*$C2013)</f>
        <v>0.73371496185347129</v>
      </c>
      <c r="E2013" s="5">
        <f ca="1">MAX(0,CP*(D2013-K))</f>
        <v>0</v>
      </c>
      <c r="F2013" s="4">
        <f ca="1">(CP*(D2013-K)&gt;0)*1</f>
        <v>0</v>
      </c>
      <c r="H2013" s="4">
        <v>1998</v>
      </c>
      <c r="I2013" s="3">
        <v>0.66763322024912497</v>
      </c>
      <c r="J2013" s="128">
        <v>1.1569348813652573E-3</v>
      </c>
      <c r="K2013" s="128"/>
      <c r="L2013" s="128">
        <v>3.78E-2</v>
      </c>
      <c r="O2013" s="2"/>
    </row>
    <row r="2014" spans="2:15" x14ac:dyDescent="0.2">
      <c r="B2014" s="1">
        <v>1999</v>
      </c>
      <c r="C2014" s="5">
        <f ca="1">_xlfn.NORM.S.INV(RAND())</f>
        <v>-1.681156109862409</v>
      </c>
      <c r="D2014" s="5">
        <f ca="1">S0*EXP((μ-0.5*σ*σ)*T+σ*SQRT(T)*$C2014)</f>
        <v>0.56301288823427231</v>
      </c>
      <c r="E2014" s="5">
        <f ca="1">MAX(0,CP*(D2014-K))</f>
        <v>0</v>
      </c>
      <c r="F2014" s="4">
        <f ca="1">(CP*(D2014-K)&gt;0)*1</f>
        <v>0</v>
      </c>
      <c r="H2014" s="4">
        <v>1999</v>
      </c>
      <c r="I2014" s="3">
        <v>0.667913652463206</v>
      </c>
      <c r="J2014" s="128">
        <v>1.3260016637461564E-3</v>
      </c>
      <c r="K2014" s="128"/>
      <c r="L2014" s="128">
        <v>4.2599999999999999E-2</v>
      </c>
      <c r="O2014" s="2"/>
    </row>
    <row r="2015" spans="2:15" x14ac:dyDescent="0.2">
      <c r="B2015" s="1">
        <v>2000</v>
      </c>
      <c r="C2015" s="5">
        <f ca="1">_xlfn.NORM.S.INV(RAND())</f>
        <v>-0.30245354064273738</v>
      </c>
      <c r="D2015" s="5">
        <f ca="1">S0*EXP((μ-0.5*σ*σ)*T+σ*SQRT(T)*$C2015)</f>
        <v>0.64498387583191663</v>
      </c>
      <c r="E2015" s="5">
        <f ca="1">MAX(0,CP*(D2015-K))</f>
        <v>0</v>
      </c>
      <c r="F2015" s="4">
        <f ca="1">(CP*(D2015-K)&gt;0)*1</f>
        <v>0</v>
      </c>
      <c r="H2015" s="4">
        <v>2000</v>
      </c>
      <c r="I2015" s="3">
        <v>0.6677583283234354</v>
      </c>
      <c r="J2015" s="128">
        <v>1.4892108120033451E-3</v>
      </c>
      <c r="K2015" s="128"/>
      <c r="L2015" s="128">
        <v>4.2999999999999997E-2</v>
      </c>
      <c r="O2015" s="2"/>
    </row>
    <row r="2016" spans="2:15" x14ac:dyDescent="0.2">
      <c r="B2016" s="1">
        <v>2001</v>
      </c>
      <c r="C2016" s="5">
        <f ca="1">_xlfn.NORM.S.INV(RAND())</f>
        <v>0.25894366652377176</v>
      </c>
      <c r="D2016" s="5">
        <f ca="1">S0*EXP((μ-0.5*σ*σ)*T+σ*SQRT(T)*$C2016)</f>
        <v>0.68168798144839116</v>
      </c>
      <c r="E2016" s="5">
        <f ca="1">MAX(0,CP*(D2016-K))</f>
        <v>0</v>
      </c>
      <c r="F2016" s="4">
        <f ca="1">(CP*(D2016-K)&gt;0)*1</f>
        <v>0</v>
      </c>
      <c r="H2016" s="4">
        <v>2001</v>
      </c>
      <c r="I2016" s="3">
        <v>0.66787915162804035</v>
      </c>
      <c r="J2016" s="128">
        <v>1.4732244783287785E-3</v>
      </c>
      <c r="K2016" s="128"/>
      <c r="L2016" s="128">
        <v>4.2799999999999998E-2</v>
      </c>
      <c r="O2016" s="2"/>
    </row>
    <row r="2017" spans="2:15" x14ac:dyDescent="0.2">
      <c r="B2017" s="1">
        <v>2002</v>
      </c>
      <c r="C2017" s="5">
        <f ca="1">_xlfn.NORM.S.INV(RAND())</f>
        <v>0.780473750111079</v>
      </c>
      <c r="D2017" s="5">
        <f ca="1">S0*EXP((μ-0.5*σ*σ)*T+σ*SQRT(T)*$C2017)</f>
        <v>0.71765458886015909</v>
      </c>
      <c r="E2017" s="5">
        <f ca="1">MAX(0,CP*(D2017-K))</f>
        <v>0</v>
      </c>
      <c r="F2017" s="4">
        <f ca="1">(CP*(D2017-K)&gt;0)*1</f>
        <v>0</v>
      </c>
      <c r="H2017" s="4">
        <v>2002</v>
      </c>
      <c r="I2017" s="3">
        <v>0.66775366704841865</v>
      </c>
      <c r="J2017" s="128">
        <v>1.2971228739822053E-3</v>
      </c>
      <c r="K2017" s="128"/>
      <c r="L2017" s="128">
        <v>4.0800000000000003E-2</v>
      </c>
      <c r="O2017" s="2"/>
    </row>
    <row r="2018" spans="2:15" x14ac:dyDescent="0.2">
      <c r="B2018" s="1">
        <v>2003</v>
      </c>
      <c r="C2018" s="5">
        <f ca="1">_xlfn.NORM.S.INV(RAND())</f>
        <v>-0.8365217704883432</v>
      </c>
      <c r="D2018" s="5">
        <f ca="1">S0*EXP((μ-0.5*σ*σ)*T+σ*SQRT(T)*$C2018)</f>
        <v>0.61190245485840811</v>
      </c>
      <c r="E2018" s="5">
        <f ca="1">MAX(0,CP*(D2018-K))</f>
        <v>0</v>
      </c>
      <c r="F2018" s="4">
        <f ca="1">(CP*(D2018-K)&gt;0)*1</f>
        <v>0</v>
      </c>
      <c r="H2018" s="4">
        <v>2003</v>
      </c>
      <c r="I2018" s="3">
        <v>0.66766253747554416</v>
      </c>
      <c r="J2018" s="128">
        <v>1.2357622713500807E-3</v>
      </c>
      <c r="K2018" s="128"/>
      <c r="L2018" s="128">
        <v>4.0800000000000003E-2</v>
      </c>
      <c r="O2018" s="2"/>
    </row>
    <row r="2019" spans="2:15" x14ac:dyDescent="0.2">
      <c r="B2019" s="1">
        <v>2004</v>
      </c>
      <c r="C2019" s="5">
        <f ca="1">_xlfn.NORM.S.INV(RAND())</f>
        <v>0.70195884073630488</v>
      </c>
      <c r="D2019" s="5">
        <f ca="1">S0*EXP((μ-0.5*σ*σ)*T+σ*SQRT(T)*$C2019)</f>
        <v>0.71212096598791741</v>
      </c>
      <c r="E2019" s="5">
        <f ca="1">MAX(0,CP*(D2019-K))</f>
        <v>0</v>
      </c>
      <c r="F2019" s="4">
        <f ca="1">(CP*(D2019-K)&gt;0)*1</f>
        <v>0</v>
      </c>
      <c r="H2019" s="4">
        <v>2004</v>
      </c>
      <c r="I2019" s="3">
        <v>0.66786236421977041</v>
      </c>
      <c r="J2019" s="128">
        <v>1.4784463258179911E-3</v>
      </c>
      <c r="K2019" s="128"/>
      <c r="L2019" s="128">
        <v>4.48E-2</v>
      </c>
      <c r="O2019" s="2"/>
    </row>
    <row r="2020" spans="2:15" x14ac:dyDescent="0.2">
      <c r="B2020" s="1">
        <v>2005</v>
      </c>
      <c r="C2020" s="5">
        <f ca="1">_xlfn.NORM.S.INV(RAND())</f>
        <v>-0.43592417242980697</v>
      </c>
      <c r="D2020" s="5">
        <f ca="1">S0*EXP((μ-0.5*σ*σ)*T+σ*SQRT(T)*$C2020)</f>
        <v>0.63655242932932032</v>
      </c>
      <c r="E2020" s="5">
        <f ca="1">MAX(0,CP*(D2020-K))</f>
        <v>0</v>
      </c>
      <c r="F2020" s="4">
        <f ca="1">(CP*(D2020-K)&gt;0)*1</f>
        <v>0</v>
      </c>
      <c r="H2020" s="4">
        <v>2005</v>
      </c>
      <c r="I2020" s="3">
        <v>0.66780935773282946</v>
      </c>
      <c r="J2020" s="128">
        <v>1.420238004710185E-3</v>
      </c>
      <c r="K2020" s="128"/>
      <c r="L2020" s="128">
        <v>4.24E-2</v>
      </c>
      <c r="O2020" s="2"/>
    </row>
    <row r="2021" spans="2:15" x14ac:dyDescent="0.2">
      <c r="B2021" s="1">
        <v>2006</v>
      </c>
      <c r="C2021" s="5">
        <f ca="1">_xlfn.NORM.S.INV(RAND())</f>
        <v>-0.74460956203876083</v>
      </c>
      <c r="D2021" s="5">
        <f ca="1">S0*EXP((μ-0.5*σ*σ)*T+σ*SQRT(T)*$C2021)</f>
        <v>0.61747234025653086</v>
      </c>
      <c r="E2021" s="5">
        <f ca="1">MAX(0,CP*(D2021-K))</f>
        <v>0</v>
      </c>
      <c r="F2021" s="4">
        <f ca="1">(CP*(D2021-K)&gt;0)*1</f>
        <v>0</v>
      </c>
      <c r="H2021" s="4">
        <v>2006</v>
      </c>
      <c r="I2021" s="3">
        <v>0.66796620337846002</v>
      </c>
      <c r="J2021" s="128">
        <v>1.5292456231869834E-3</v>
      </c>
      <c r="K2021" s="128"/>
      <c r="L2021" s="128">
        <v>4.6199999999999998E-2</v>
      </c>
      <c r="O2021" s="2"/>
    </row>
    <row r="2022" spans="2:15" x14ac:dyDescent="0.2">
      <c r="B2022" s="1">
        <v>2007</v>
      </c>
      <c r="C2022" s="5">
        <f ca="1">_xlfn.NORM.S.INV(RAND())</f>
        <v>-7.5877000105495307E-2</v>
      </c>
      <c r="D2022" s="5">
        <f ca="1">S0*EXP((μ-0.5*σ*σ)*T+σ*SQRT(T)*$C2022)</f>
        <v>0.65955339096159848</v>
      </c>
      <c r="E2022" s="5">
        <f ca="1">MAX(0,CP*(D2022-K))</f>
        <v>0</v>
      </c>
      <c r="F2022" s="4">
        <f ca="1">(CP*(D2022-K)&gt;0)*1</f>
        <v>0</v>
      </c>
      <c r="H2022" s="4">
        <v>2007</v>
      </c>
      <c r="I2022" s="3">
        <v>0.66800138706814616</v>
      </c>
      <c r="J2022" s="128">
        <v>1.6116959364489076E-3</v>
      </c>
      <c r="K2022" s="128"/>
      <c r="L2022" s="128">
        <v>4.6800000000000001E-2</v>
      </c>
      <c r="O2022" s="2"/>
    </row>
    <row r="2023" spans="2:15" x14ac:dyDescent="0.2">
      <c r="B2023" s="1">
        <v>2008</v>
      </c>
      <c r="C2023" s="5">
        <f ca="1">_xlfn.NORM.S.INV(RAND())</f>
        <v>-0.74160690546381181</v>
      </c>
      <c r="D2023" s="5">
        <f ca="1">S0*EXP((μ-0.5*σ*σ)*T+σ*SQRT(T)*$C2023)</f>
        <v>0.61765515413995431</v>
      </c>
      <c r="E2023" s="5">
        <f ca="1">MAX(0,CP*(D2023-K))</f>
        <v>0</v>
      </c>
      <c r="F2023" s="4">
        <f ca="1">(CP*(D2023-K)&gt;0)*1</f>
        <v>0</v>
      </c>
      <c r="H2023" s="4">
        <v>2008</v>
      </c>
      <c r="I2023" s="3">
        <v>0.66770980898400945</v>
      </c>
      <c r="J2023" s="128">
        <v>1.1832910486301851E-3</v>
      </c>
      <c r="K2023" s="128"/>
      <c r="L2023" s="128">
        <v>3.9199999999999999E-2</v>
      </c>
      <c r="O2023" s="2"/>
    </row>
    <row r="2024" spans="2:15" x14ac:dyDescent="0.2">
      <c r="B2024" s="1">
        <v>2009</v>
      </c>
      <c r="C2024" s="5">
        <f ca="1">_xlfn.NORM.S.INV(RAND())</f>
        <v>0.30698466430520549</v>
      </c>
      <c r="D2024" s="5">
        <f ca="1">S0*EXP((μ-0.5*σ*σ)*T+σ*SQRT(T)*$C2024)</f>
        <v>0.68492427750506402</v>
      </c>
      <c r="E2024" s="5">
        <f ca="1">MAX(0,CP*(D2024-K))</f>
        <v>0</v>
      </c>
      <c r="F2024" s="4">
        <f ca="1">(CP*(D2024-K)&gt;0)*1</f>
        <v>0</v>
      </c>
      <c r="H2024" s="4">
        <v>2009</v>
      </c>
      <c r="I2024" s="3">
        <v>0.66779631007829032</v>
      </c>
      <c r="J2024" s="128">
        <v>1.3934772887221432E-3</v>
      </c>
      <c r="K2024" s="128"/>
      <c r="L2024" s="128">
        <v>4.5400000000000003E-2</v>
      </c>
      <c r="O2024" s="2"/>
    </row>
    <row r="2025" spans="2:15" x14ac:dyDescent="0.2">
      <c r="B2025" s="1">
        <v>2010</v>
      </c>
      <c r="C2025" s="5">
        <f ca="1">_xlfn.NORM.S.INV(RAND())</f>
        <v>-0.5103088741258297</v>
      </c>
      <c r="D2025" s="5">
        <f ca="1">S0*EXP((μ-0.5*σ*σ)*T+σ*SQRT(T)*$C2025)</f>
        <v>0.63190141077709938</v>
      </c>
      <c r="E2025" s="5">
        <f ca="1">MAX(0,CP*(D2025-K))</f>
        <v>0</v>
      </c>
      <c r="F2025" s="4">
        <f ca="1">(CP*(D2025-K)&gt;0)*1</f>
        <v>0</v>
      </c>
      <c r="H2025" s="4">
        <v>2010</v>
      </c>
      <c r="I2025" s="3">
        <v>0.66779293304540011</v>
      </c>
      <c r="J2025" s="128">
        <v>1.4745333705327034E-3</v>
      </c>
      <c r="K2025" s="128"/>
      <c r="L2025" s="128">
        <v>4.3799999999999999E-2</v>
      </c>
      <c r="O2025" s="2"/>
    </row>
    <row r="2026" spans="2:15" x14ac:dyDescent="0.2">
      <c r="B2026" s="1">
        <v>2011</v>
      </c>
      <c r="C2026" s="5">
        <f ca="1">_xlfn.NORM.S.INV(RAND())</f>
        <v>-0.85761723085561281</v>
      </c>
      <c r="D2026" s="5">
        <f ca="1">S0*EXP((μ-0.5*σ*σ)*T+σ*SQRT(T)*$C2026)</f>
        <v>0.61063117434441594</v>
      </c>
      <c r="E2026" s="5">
        <f ca="1">MAX(0,CP*(D2026-K))</f>
        <v>0</v>
      </c>
      <c r="F2026" s="4">
        <f ca="1">(CP*(D2026-K)&gt;0)*1</f>
        <v>0</v>
      </c>
      <c r="H2026" s="4">
        <v>2011</v>
      </c>
      <c r="I2026" s="3">
        <v>0.66790048034641403</v>
      </c>
      <c r="J2026" s="128">
        <v>1.4064777003186353E-3</v>
      </c>
      <c r="K2026" s="128"/>
      <c r="L2026" s="128">
        <v>4.24E-2</v>
      </c>
      <c r="O2026" s="2"/>
    </row>
    <row r="2027" spans="2:15" x14ac:dyDescent="0.2">
      <c r="B2027" s="1">
        <v>2012</v>
      </c>
      <c r="C2027" s="5">
        <f ca="1">_xlfn.NORM.S.INV(RAND())</f>
        <v>-1.0738163145534891</v>
      </c>
      <c r="D2027" s="5">
        <f ca="1">S0*EXP((μ-0.5*σ*σ)*T+σ*SQRT(T)*$C2027)</f>
        <v>0.59775359087490509</v>
      </c>
      <c r="E2027" s="5">
        <f ca="1">MAX(0,CP*(D2027-K))</f>
        <v>0</v>
      </c>
      <c r="F2027" s="4">
        <f ca="1">(CP*(D2027-K)&gt;0)*1</f>
        <v>0</v>
      </c>
      <c r="H2027" s="4">
        <v>2012</v>
      </c>
      <c r="I2027" s="3">
        <v>0.66759758968443095</v>
      </c>
      <c r="J2027" s="128">
        <v>1.157933361033643E-3</v>
      </c>
      <c r="K2027" s="128"/>
      <c r="L2027" s="128">
        <v>3.6999999999999998E-2</v>
      </c>
      <c r="O2027" s="2"/>
    </row>
    <row r="2028" spans="2:15" x14ac:dyDescent="0.2">
      <c r="B2028" s="1">
        <v>2013</v>
      </c>
      <c r="C2028" s="5">
        <f ca="1">_xlfn.NORM.S.INV(RAND())</f>
        <v>2.0012160302303723</v>
      </c>
      <c r="D2028" s="5">
        <f ca="1">S0*EXP((μ-0.5*σ*σ)*T+σ*SQRT(T)*$C2028)</f>
        <v>0.80943645574976231</v>
      </c>
      <c r="E2028" s="5">
        <f ca="1">MAX(0,CP*(D2028-K))</f>
        <v>2.1236455749762295E-2</v>
      </c>
      <c r="F2028" s="4">
        <f ca="1">(CP*(D2028-K)&gt;0)*1</f>
        <v>1</v>
      </c>
      <c r="H2028" s="4">
        <v>2013</v>
      </c>
      <c r="I2028" s="3">
        <v>0.66769623752918683</v>
      </c>
      <c r="J2028" s="128">
        <v>1.304003575964165E-3</v>
      </c>
      <c r="K2028" s="128"/>
      <c r="L2028" s="128">
        <v>4.1399999999999999E-2</v>
      </c>
      <c r="O2028" s="2"/>
    </row>
    <row r="2029" spans="2:15" x14ac:dyDescent="0.2">
      <c r="B2029" s="1">
        <v>2014</v>
      </c>
      <c r="C2029" s="5">
        <f ca="1">_xlfn.NORM.S.INV(RAND())</f>
        <v>0.62194526207058831</v>
      </c>
      <c r="D2029" s="5">
        <f ca="1">S0*EXP((μ-0.5*σ*σ)*T+σ*SQRT(T)*$C2029)</f>
        <v>0.70652561436847328</v>
      </c>
      <c r="E2029" s="5">
        <f ca="1">MAX(0,CP*(D2029-K))</f>
        <v>0</v>
      </c>
      <c r="F2029" s="4">
        <f ca="1">(CP*(D2029-K)&gt;0)*1</f>
        <v>0</v>
      </c>
      <c r="H2029" s="4">
        <v>2014</v>
      </c>
      <c r="I2029" s="3">
        <v>0.66763028146262582</v>
      </c>
      <c r="J2029" s="128">
        <v>1.2547155394813077E-3</v>
      </c>
      <c r="K2029" s="128"/>
      <c r="L2029" s="128">
        <v>4.5199999999999997E-2</v>
      </c>
      <c r="O2029" s="2"/>
    </row>
    <row r="2030" spans="2:15" x14ac:dyDescent="0.2">
      <c r="B2030" s="1">
        <v>2015</v>
      </c>
      <c r="C2030" s="5">
        <f ca="1">_xlfn.NORM.S.INV(RAND())</f>
        <v>-2.0856610323537716</v>
      </c>
      <c r="D2030" s="5">
        <f ca="1">S0*EXP((μ-0.5*σ*σ)*T+σ*SQRT(T)*$C2030)</f>
        <v>0.54100223124667368</v>
      </c>
      <c r="E2030" s="5">
        <f ca="1">MAX(0,CP*(D2030-K))</f>
        <v>0</v>
      </c>
      <c r="F2030" s="4">
        <f ca="1">(CP*(D2030-K)&gt;0)*1</f>
        <v>0</v>
      </c>
      <c r="H2030" s="4">
        <v>2015</v>
      </c>
      <c r="I2030" s="3">
        <v>0.66782216314398113</v>
      </c>
      <c r="J2030" s="128">
        <v>1.54498056653678E-3</v>
      </c>
      <c r="K2030" s="128"/>
      <c r="L2030" s="128">
        <v>4.4400000000000002E-2</v>
      </c>
      <c r="O2030" s="2"/>
    </row>
    <row r="2031" spans="2:15" x14ac:dyDescent="0.2">
      <c r="B2031" s="1">
        <v>2016</v>
      </c>
      <c r="C2031" s="5">
        <f ca="1">_xlfn.NORM.S.INV(RAND())</f>
        <v>-1.9947003902283762</v>
      </c>
      <c r="D2031" s="5">
        <f ca="1">S0*EXP((μ-0.5*σ*σ)*T+σ*SQRT(T)*$C2031)</f>
        <v>0.54587552998280375</v>
      </c>
      <c r="E2031" s="5">
        <f ca="1">MAX(0,CP*(D2031-K))</f>
        <v>0</v>
      </c>
      <c r="F2031" s="4">
        <f ca="1">(CP*(D2031-K)&gt;0)*1</f>
        <v>0</v>
      </c>
      <c r="H2031" s="4">
        <v>2016</v>
      </c>
      <c r="I2031" s="3">
        <v>0.66776921652756704</v>
      </c>
      <c r="J2031" s="128">
        <v>1.4195737905291028E-3</v>
      </c>
      <c r="K2031" s="128"/>
      <c r="L2031" s="128">
        <v>4.24E-2</v>
      </c>
      <c r="O2031" s="2"/>
    </row>
    <row r="2032" spans="2:15" x14ac:dyDescent="0.2">
      <c r="B2032" s="1">
        <v>2017</v>
      </c>
      <c r="C2032" s="5">
        <f ca="1">_xlfn.NORM.S.INV(RAND())</f>
        <v>-7.9565150704891757E-2</v>
      </c>
      <c r="D2032" s="5">
        <f ca="1">S0*EXP((μ-0.5*σ*σ)*T+σ*SQRT(T)*$C2032)</f>
        <v>0.65931361735769412</v>
      </c>
      <c r="E2032" s="5">
        <f ca="1">MAX(0,CP*(D2032-K))</f>
        <v>0</v>
      </c>
      <c r="F2032" s="4">
        <f ca="1">(CP*(D2032-K)&gt;0)*1</f>
        <v>0</v>
      </c>
      <c r="H2032" s="4">
        <v>2017</v>
      </c>
      <c r="I2032" s="3">
        <v>0.66766590973760376</v>
      </c>
      <c r="J2032" s="128">
        <v>1.2781258521019413E-3</v>
      </c>
      <c r="K2032" s="128"/>
      <c r="L2032" s="128">
        <v>3.9E-2</v>
      </c>
      <c r="O2032" s="2"/>
    </row>
    <row r="2033" spans="2:15" x14ac:dyDescent="0.2">
      <c r="B2033" s="1">
        <v>2018</v>
      </c>
      <c r="C2033" s="5">
        <f ca="1">_xlfn.NORM.S.INV(RAND())</f>
        <v>0.87515194900842885</v>
      </c>
      <c r="D2033" s="5">
        <f ca="1">S0*EXP((μ-0.5*σ*σ)*T+σ*SQRT(T)*$C2033)</f>
        <v>0.72438459749568929</v>
      </c>
      <c r="E2033" s="5">
        <f ca="1">MAX(0,CP*(D2033-K))</f>
        <v>0</v>
      </c>
      <c r="F2033" s="4">
        <f ca="1">(CP*(D2033-K)&gt;0)*1</f>
        <v>0</v>
      </c>
      <c r="H2033" s="4">
        <v>2018</v>
      </c>
      <c r="I2033" s="3">
        <v>0.66775504525405172</v>
      </c>
      <c r="J2033" s="128">
        <v>1.4327741998118306E-3</v>
      </c>
      <c r="K2033" s="128"/>
      <c r="L2033" s="128">
        <v>4.3400000000000001E-2</v>
      </c>
      <c r="O2033" s="2"/>
    </row>
    <row r="2034" spans="2:15" x14ac:dyDescent="0.2">
      <c r="B2034" s="1">
        <v>2019</v>
      </c>
      <c r="C2034" s="5">
        <f ca="1">_xlfn.NORM.S.INV(RAND())</f>
        <v>0.49973362193353965</v>
      </c>
      <c r="D2034" s="5">
        <f ca="1">S0*EXP((μ-0.5*σ*σ)*T+σ*SQRT(T)*$C2034)</f>
        <v>0.69806409164763017</v>
      </c>
      <c r="E2034" s="5">
        <f ca="1">MAX(0,CP*(D2034-K))</f>
        <v>0</v>
      </c>
      <c r="F2034" s="4">
        <f ca="1">(CP*(D2034-K)&gt;0)*1</f>
        <v>0</v>
      </c>
      <c r="H2034" s="4">
        <v>2019</v>
      </c>
      <c r="I2034" s="3">
        <v>0.66780856470768268</v>
      </c>
      <c r="J2034" s="128">
        <v>1.4793910559847401E-3</v>
      </c>
      <c r="K2034" s="128"/>
      <c r="L2034" s="128">
        <v>4.6199999999999998E-2</v>
      </c>
      <c r="O2034" s="2"/>
    </row>
    <row r="2035" spans="2:15" x14ac:dyDescent="0.2">
      <c r="B2035" s="1">
        <v>2020</v>
      </c>
      <c r="C2035" s="5">
        <f ca="1">_xlfn.NORM.S.INV(RAND())</f>
        <v>1.7999137571398436</v>
      </c>
      <c r="D2035" s="5">
        <f ca="1">S0*EXP((μ-0.5*σ*σ)*T+σ*SQRT(T)*$C2035)</f>
        <v>0.79353082820499576</v>
      </c>
      <c r="E2035" s="5">
        <f ca="1">MAX(0,CP*(D2035-K))</f>
        <v>5.3308282049957523E-3</v>
      </c>
      <c r="F2035" s="4">
        <f ca="1">(CP*(D2035-K)&gt;0)*1</f>
        <v>1</v>
      </c>
      <c r="H2035" s="4">
        <v>2020</v>
      </c>
      <c r="I2035" s="3">
        <v>0.6678836566088161</v>
      </c>
      <c r="J2035" s="128">
        <v>1.5036046563041503E-3</v>
      </c>
      <c r="K2035" s="128"/>
      <c r="L2035" s="128">
        <v>4.3799999999999999E-2</v>
      </c>
      <c r="O2035" s="2"/>
    </row>
    <row r="2036" spans="2:15" x14ac:dyDescent="0.2">
      <c r="B2036" s="1">
        <v>2021</v>
      </c>
      <c r="C2036" s="5">
        <f ca="1">_xlfn.NORM.S.INV(RAND())</f>
        <v>0.16658663026063872</v>
      </c>
      <c r="D2036" s="5">
        <f ca="1">S0*EXP((μ-0.5*σ*σ)*T+σ*SQRT(T)*$C2036)</f>
        <v>0.67550921660513652</v>
      </c>
      <c r="E2036" s="5">
        <f ca="1">MAX(0,CP*(D2036-K))</f>
        <v>0</v>
      </c>
      <c r="F2036" s="4">
        <f ca="1">(CP*(D2036-K)&gt;0)*1</f>
        <v>0</v>
      </c>
      <c r="H2036" s="4">
        <v>2021</v>
      </c>
      <c r="I2036" s="3">
        <v>0.66793576479048433</v>
      </c>
      <c r="J2036" s="128">
        <v>1.4688855661408407E-3</v>
      </c>
      <c r="K2036" s="128"/>
      <c r="L2036" s="128">
        <v>4.5400000000000003E-2</v>
      </c>
      <c r="O2036" s="2"/>
    </row>
    <row r="2037" spans="2:15" x14ac:dyDescent="0.2">
      <c r="B2037" s="1">
        <v>2022</v>
      </c>
      <c r="C2037" s="5">
        <f ca="1">_xlfn.NORM.S.INV(RAND())</f>
        <v>-8.3254340231857765E-2</v>
      </c>
      <c r="D2037" s="5">
        <f ca="1">S0*EXP((μ-0.5*σ*σ)*T+σ*SQRT(T)*$C2037)</f>
        <v>0.65907386341512519</v>
      </c>
      <c r="E2037" s="5">
        <f ca="1">MAX(0,CP*(D2037-K))</f>
        <v>0</v>
      </c>
      <c r="F2037" s="4">
        <f ca="1">(CP*(D2037-K)&gt;0)*1</f>
        <v>0</v>
      </c>
      <c r="H2037" s="4">
        <v>2022</v>
      </c>
      <c r="I2037" s="3">
        <v>0.6678403182619026</v>
      </c>
      <c r="J2037" s="128">
        <v>1.3463076688862493E-3</v>
      </c>
      <c r="K2037" s="128"/>
      <c r="L2037" s="128">
        <v>4.4999999999999998E-2</v>
      </c>
      <c r="O2037" s="2"/>
    </row>
    <row r="2038" spans="2:15" x14ac:dyDescent="0.2">
      <c r="B2038" s="1">
        <v>2023</v>
      </c>
      <c r="C2038" s="5">
        <f ca="1">_xlfn.NORM.S.INV(RAND())</f>
        <v>-0.23329816991200092</v>
      </c>
      <c r="D2038" s="5">
        <f ca="1">S0*EXP((μ-0.5*σ*σ)*T+σ*SQRT(T)*$C2038)</f>
        <v>0.64939630565432005</v>
      </c>
      <c r="E2038" s="5">
        <f ca="1">MAX(0,CP*(D2038-K))</f>
        <v>0</v>
      </c>
      <c r="F2038" s="4">
        <f ca="1">(CP*(D2038-K)&gt;0)*1</f>
        <v>0</v>
      </c>
      <c r="H2038" s="4">
        <v>2023</v>
      </c>
      <c r="I2038" s="3">
        <v>0.66782787437445079</v>
      </c>
      <c r="J2038" s="128">
        <v>1.5604205500282602E-3</v>
      </c>
      <c r="K2038" s="128"/>
      <c r="L2038" s="128">
        <v>4.4999999999999998E-2</v>
      </c>
      <c r="O2038" s="2"/>
    </row>
    <row r="2039" spans="2:15" x14ac:dyDescent="0.2">
      <c r="B2039" s="1">
        <v>2024</v>
      </c>
      <c r="C2039" s="5">
        <f ca="1">_xlfn.NORM.S.INV(RAND())</f>
        <v>-0.60317216860079648</v>
      </c>
      <c r="D2039" s="5">
        <f ca="1">S0*EXP((μ-0.5*σ*σ)*T+σ*SQRT(T)*$C2039)</f>
        <v>0.62614265538378622</v>
      </c>
      <c r="E2039" s="5">
        <f ca="1">MAX(0,CP*(D2039-K))</f>
        <v>0</v>
      </c>
      <c r="F2039" s="4">
        <f ca="1">(CP*(D2039-K)&gt;0)*1</f>
        <v>0</v>
      </c>
      <c r="H2039" s="4">
        <v>2024</v>
      </c>
      <c r="I2039" s="3">
        <v>0.66758927386456968</v>
      </c>
      <c r="J2039" s="128">
        <v>1.2878175096062926E-3</v>
      </c>
      <c r="K2039" s="128"/>
      <c r="L2039" s="128">
        <v>3.78E-2</v>
      </c>
      <c r="O2039" s="2"/>
    </row>
    <row r="2040" spans="2:15" x14ac:dyDescent="0.2">
      <c r="B2040" s="1">
        <v>2025</v>
      </c>
      <c r="C2040" s="5">
        <f ca="1">_xlfn.NORM.S.INV(RAND())</f>
        <v>-1.5499815736868474</v>
      </c>
      <c r="D2040" s="5">
        <f ca="1">S0*EXP((μ-0.5*σ*σ)*T+σ*SQRT(T)*$C2040)</f>
        <v>0.57034114714619433</v>
      </c>
      <c r="E2040" s="5">
        <f ca="1">MAX(0,CP*(D2040-K))</f>
        <v>0</v>
      </c>
      <c r="F2040" s="4">
        <f ca="1">(CP*(D2040-K)&gt;0)*1</f>
        <v>0</v>
      </c>
      <c r="H2040" s="4">
        <v>2025</v>
      </c>
      <c r="I2040" s="3">
        <v>0.66778449269679585</v>
      </c>
      <c r="J2040" s="128">
        <v>1.5928767025062251E-3</v>
      </c>
      <c r="K2040" s="128"/>
      <c r="L2040" s="128">
        <v>4.2599999999999999E-2</v>
      </c>
      <c r="O2040" s="2"/>
    </row>
    <row r="2041" spans="2:15" x14ac:dyDescent="0.2">
      <c r="B2041" s="1">
        <v>2026</v>
      </c>
      <c r="C2041" s="5">
        <f ca="1">_xlfn.NORM.S.INV(RAND())</f>
        <v>-0.26007223925075262</v>
      </c>
      <c r="D2041" s="5">
        <f ca="1">S0*EXP((μ-0.5*σ*σ)*T+σ*SQRT(T)*$C2041)</f>
        <v>0.64768442744081101</v>
      </c>
      <c r="E2041" s="5">
        <f ca="1">MAX(0,CP*(D2041-K))</f>
        <v>0</v>
      </c>
      <c r="F2041" s="4">
        <f ca="1">(CP*(D2041-K)&gt;0)*1</f>
        <v>0</v>
      </c>
      <c r="H2041" s="4">
        <v>2026</v>
      </c>
      <c r="I2041" s="3">
        <v>0.66771067588626754</v>
      </c>
      <c r="J2041" s="128">
        <v>1.269008983810135E-3</v>
      </c>
      <c r="K2041" s="128"/>
      <c r="L2041" s="128">
        <v>3.5799999999999998E-2</v>
      </c>
      <c r="O2041" s="2"/>
    </row>
    <row r="2042" spans="2:15" x14ac:dyDescent="0.2">
      <c r="B2042" s="1">
        <v>2027</v>
      </c>
      <c r="C2042" s="5">
        <f ca="1">_xlfn.NORM.S.INV(RAND())</f>
        <v>0.1503986158287062</v>
      </c>
      <c r="D2042" s="5">
        <f ca="1">S0*EXP((μ-0.5*σ*σ)*T+σ*SQRT(T)*$C2042)</f>
        <v>0.67443200735162934</v>
      </c>
      <c r="E2042" s="5">
        <f ca="1">MAX(0,CP*(D2042-K))</f>
        <v>0</v>
      </c>
      <c r="F2042" s="4">
        <f ca="1">(CP*(D2042-K)&gt;0)*1</f>
        <v>0</v>
      </c>
      <c r="H2042" s="4">
        <v>2027</v>
      </c>
      <c r="I2042" s="3">
        <v>0.66780129277361744</v>
      </c>
      <c r="J2042" s="128">
        <v>1.4049502380365931E-3</v>
      </c>
      <c r="K2042" s="128"/>
      <c r="L2042" s="128">
        <v>4.1399999999999999E-2</v>
      </c>
      <c r="O2042" s="2"/>
    </row>
    <row r="2043" spans="2:15" x14ac:dyDescent="0.2">
      <c r="B2043" s="1">
        <v>2028</v>
      </c>
      <c r="C2043" s="5">
        <f ca="1">_xlfn.NORM.S.INV(RAND())</f>
        <v>-0.26566456128950733</v>
      </c>
      <c r="D2043" s="5">
        <f ca="1">S0*EXP((μ-0.5*σ*σ)*T+σ*SQRT(T)*$C2043)</f>
        <v>0.64732743613979982</v>
      </c>
      <c r="E2043" s="5">
        <f ca="1">MAX(0,CP*(D2043-K))</f>
        <v>0</v>
      </c>
      <c r="F2043" s="4">
        <f ca="1">(CP*(D2043-K)&gt;0)*1</f>
        <v>0</v>
      </c>
      <c r="H2043" s="4">
        <v>2028</v>
      </c>
      <c r="I2043" s="3">
        <v>0.66758377434122163</v>
      </c>
      <c r="J2043" s="128">
        <v>1.2337191239881154E-3</v>
      </c>
      <c r="K2043" s="128"/>
      <c r="L2043" s="128">
        <v>3.8199999999999998E-2</v>
      </c>
      <c r="O2043" s="2"/>
    </row>
    <row r="2044" spans="2:15" x14ac:dyDescent="0.2">
      <c r="B2044" s="1">
        <v>2029</v>
      </c>
      <c r="C2044" s="5">
        <f ca="1">_xlfn.NORM.S.INV(RAND())</f>
        <v>1.0359618900153607</v>
      </c>
      <c r="D2044" s="5">
        <f ca="1">S0*EXP((μ-0.5*σ*σ)*T+σ*SQRT(T)*$C2044)</f>
        <v>0.73596039677135827</v>
      </c>
      <c r="E2044" s="5">
        <f ca="1">MAX(0,CP*(D2044-K))</f>
        <v>0</v>
      </c>
      <c r="F2044" s="4">
        <f ca="1">(CP*(D2044-K)&gt;0)*1</f>
        <v>0</v>
      </c>
      <c r="H2044" s="4">
        <v>2029</v>
      </c>
      <c r="I2044" s="3">
        <v>0.66766518903146532</v>
      </c>
      <c r="J2044" s="128">
        <v>1.2915768004595268E-3</v>
      </c>
      <c r="K2044" s="128"/>
      <c r="L2044" s="128">
        <v>4.02E-2</v>
      </c>
      <c r="O2044" s="2"/>
    </row>
    <row r="2045" spans="2:15" x14ac:dyDescent="0.2">
      <c r="B2045" s="1">
        <v>2030</v>
      </c>
      <c r="C2045" s="5">
        <f ca="1">_xlfn.NORM.S.INV(RAND())</f>
        <v>0.61411054582844182</v>
      </c>
      <c r="D2045" s="5">
        <f ca="1">S0*EXP((μ-0.5*σ*σ)*T+σ*SQRT(T)*$C2045)</f>
        <v>0.70598010126256183</v>
      </c>
      <c r="E2045" s="5">
        <f ca="1">MAX(0,CP*(D2045-K))</f>
        <v>0</v>
      </c>
      <c r="F2045" s="4">
        <f ca="1">(CP*(D2045-K)&gt;0)*1</f>
        <v>0</v>
      </c>
      <c r="H2045" s="4">
        <v>2030</v>
      </c>
      <c r="I2045" s="3">
        <v>0.66784459649257832</v>
      </c>
      <c r="J2045" s="128">
        <v>1.6066767142191329E-3</v>
      </c>
      <c r="K2045" s="128"/>
      <c r="L2045" s="128">
        <v>4.58E-2</v>
      </c>
      <c r="O2045" s="2"/>
    </row>
    <row r="2046" spans="2:15" x14ac:dyDescent="0.2">
      <c r="B2046" s="1">
        <v>2031</v>
      </c>
      <c r="C2046" s="5">
        <f ca="1">_xlfn.NORM.S.INV(RAND())</f>
        <v>0.21710353764387944</v>
      </c>
      <c r="D2046" s="5">
        <f ca="1">S0*EXP((μ-0.5*σ*σ)*T+σ*SQRT(T)*$C2046)</f>
        <v>0.67888186967501496</v>
      </c>
      <c r="E2046" s="5">
        <f ca="1">MAX(0,CP*(D2046-K))</f>
        <v>0</v>
      </c>
      <c r="F2046" s="4">
        <f ca="1">(CP*(D2046-K)&gt;0)*1</f>
        <v>0</v>
      </c>
      <c r="H2046" s="4">
        <v>2031</v>
      </c>
      <c r="I2046" s="3">
        <v>0.66793310832636155</v>
      </c>
      <c r="J2046" s="128">
        <v>1.657717607893742E-3</v>
      </c>
      <c r="K2046" s="128"/>
      <c r="L2046" s="128">
        <v>4.58E-2</v>
      </c>
      <c r="O2046" s="2"/>
    </row>
    <row r="2047" spans="2:15" x14ac:dyDescent="0.2">
      <c r="B2047" s="1">
        <v>2032</v>
      </c>
      <c r="C2047" s="5">
        <f ca="1">_xlfn.NORM.S.INV(RAND())</f>
        <v>-0.4260738630058617</v>
      </c>
      <c r="D2047" s="5">
        <f ca="1">S0*EXP((μ-0.5*σ*σ)*T+σ*SQRT(T)*$C2047)</f>
        <v>0.63717089652063874</v>
      </c>
      <c r="E2047" s="5">
        <f ca="1">MAX(0,CP*(D2047-K))</f>
        <v>0</v>
      </c>
      <c r="F2047" s="4">
        <f ca="1">(CP*(D2047-K)&gt;0)*1</f>
        <v>0</v>
      </c>
      <c r="H2047" s="4">
        <v>2032</v>
      </c>
      <c r="I2047" s="3">
        <v>0.66776172247552135</v>
      </c>
      <c r="J2047" s="128">
        <v>1.3339720158794986E-3</v>
      </c>
      <c r="K2047" s="128"/>
      <c r="L2047" s="128">
        <v>4.1799999999999997E-2</v>
      </c>
      <c r="O2047" s="2"/>
    </row>
    <row r="2048" spans="2:15" x14ac:dyDescent="0.2">
      <c r="B2048" s="1">
        <v>2033</v>
      </c>
      <c r="C2048" s="5">
        <f ca="1">_xlfn.NORM.S.INV(RAND())</f>
        <v>0.73781751664101358</v>
      </c>
      <c r="D2048" s="5">
        <f ca="1">S0*EXP((μ-0.5*σ*σ)*T+σ*SQRT(T)*$C2048)</f>
        <v>0.71464292271486107</v>
      </c>
      <c r="E2048" s="5">
        <f ca="1">MAX(0,CP*(D2048-K))</f>
        <v>0</v>
      </c>
      <c r="F2048" s="4">
        <f ca="1">(CP*(D2048-K)&gt;0)*1</f>
        <v>0</v>
      </c>
      <c r="H2048" s="4">
        <v>2033</v>
      </c>
      <c r="I2048" s="3">
        <v>0.66773432477331918</v>
      </c>
      <c r="J2048" s="128">
        <v>1.3652359502859448E-3</v>
      </c>
      <c r="K2048" s="128"/>
      <c r="L2048" s="128">
        <v>4.0599999999999997E-2</v>
      </c>
      <c r="O2048" s="2"/>
    </row>
    <row r="2049" spans="2:15" x14ac:dyDescent="0.2">
      <c r="B2049" s="1">
        <v>2034</v>
      </c>
      <c r="C2049" s="5">
        <f ca="1">_xlfn.NORM.S.INV(RAND())</f>
        <v>1.4876718836062348</v>
      </c>
      <c r="D2049" s="5">
        <f ca="1">S0*EXP((μ-0.5*σ*σ)*T+σ*SQRT(T)*$C2049)</f>
        <v>0.76947560769319701</v>
      </c>
      <c r="E2049" s="5">
        <f ca="1">MAX(0,CP*(D2049-K))</f>
        <v>0</v>
      </c>
      <c r="F2049" s="4">
        <f ca="1">(CP*(D2049-K)&gt;0)*1</f>
        <v>0</v>
      </c>
      <c r="H2049" s="4">
        <v>2034</v>
      </c>
      <c r="I2049" s="3">
        <v>0.66772146293722545</v>
      </c>
      <c r="J2049" s="128">
        <v>1.4021267618170978E-3</v>
      </c>
      <c r="K2049" s="128"/>
      <c r="L2049" s="128">
        <v>4.1599999999999998E-2</v>
      </c>
      <c r="O2049" s="2"/>
    </row>
    <row r="2050" spans="2:15" x14ac:dyDescent="0.2">
      <c r="B2050" s="1">
        <v>2035</v>
      </c>
      <c r="C2050" s="5">
        <f ca="1">_xlfn.NORM.S.INV(RAND())</f>
        <v>-5.3085510278903868E-2</v>
      </c>
      <c r="D2050" s="5">
        <f ca="1">S0*EXP((μ-0.5*σ*σ)*T+σ*SQRT(T)*$C2050)</f>
        <v>0.66103704418509601</v>
      </c>
      <c r="E2050" s="5">
        <f ca="1">MAX(0,CP*(D2050-K))</f>
        <v>0</v>
      </c>
      <c r="F2050" s="4">
        <f ca="1">(CP*(D2050-K)&gt;0)*1</f>
        <v>0</v>
      </c>
      <c r="H2050" s="4">
        <v>2035</v>
      </c>
      <c r="I2050" s="3">
        <v>0.66772657910161703</v>
      </c>
      <c r="J2050" s="128">
        <v>1.450441191615653E-3</v>
      </c>
      <c r="K2050" s="128"/>
      <c r="L2050" s="128">
        <v>4.2599999999999999E-2</v>
      </c>
      <c r="O2050" s="2"/>
    </row>
    <row r="2051" spans="2:15" x14ac:dyDescent="0.2">
      <c r="B2051" s="1">
        <v>2036</v>
      </c>
      <c r="C2051" s="5">
        <f ca="1">_xlfn.NORM.S.INV(RAND())</f>
        <v>0.17378453901064098</v>
      </c>
      <c r="D2051" s="5">
        <f ca="1">S0*EXP((μ-0.5*σ*σ)*T+σ*SQRT(T)*$C2051)</f>
        <v>0.67598874401662112</v>
      </c>
      <c r="E2051" s="5">
        <f ca="1">MAX(0,CP*(D2051-K))</f>
        <v>0</v>
      </c>
      <c r="F2051" s="4">
        <f ca="1">(CP*(D2051-K)&gt;0)*1</f>
        <v>0</v>
      </c>
      <c r="H2051" s="4">
        <v>2036</v>
      </c>
      <c r="I2051" s="3">
        <v>0.66773244751245009</v>
      </c>
      <c r="J2051" s="128">
        <v>1.3601820434312934E-3</v>
      </c>
      <c r="K2051" s="128"/>
      <c r="L2051" s="128">
        <v>4.3999999999999997E-2</v>
      </c>
      <c r="O2051" s="2"/>
    </row>
    <row r="2052" spans="2:15" x14ac:dyDescent="0.2">
      <c r="B2052" s="1">
        <v>2037</v>
      </c>
      <c r="C2052" s="5">
        <f ca="1">_xlfn.NORM.S.INV(RAND())</f>
        <v>-0.65521391531658302</v>
      </c>
      <c r="D2052" s="5">
        <f ca="1">S0*EXP((μ-0.5*σ*σ)*T+σ*SQRT(T)*$C2052)</f>
        <v>0.6229383548457299</v>
      </c>
      <c r="E2052" s="5">
        <f ca="1">MAX(0,CP*(D2052-K))</f>
        <v>0</v>
      </c>
      <c r="F2052" s="4">
        <f ca="1">(CP*(D2052-K)&gt;0)*1</f>
        <v>0</v>
      </c>
      <c r="H2052" s="4">
        <v>2037</v>
      </c>
      <c r="I2052" s="3">
        <v>0.66770709161452035</v>
      </c>
      <c r="J2052" s="128">
        <v>1.4294536359372903E-3</v>
      </c>
      <c r="K2052" s="128"/>
      <c r="L2052" s="128">
        <v>3.9800000000000002E-2</v>
      </c>
      <c r="O2052" s="2"/>
    </row>
    <row r="2053" spans="2:15" x14ac:dyDescent="0.2">
      <c r="B2053" s="1">
        <v>2038</v>
      </c>
      <c r="C2053" s="5">
        <f ca="1">_xlfn.NORM.S.INV(RAND())</f>
        <v>1.5085682269134337</v>
      </c>
      <c r="D2053" s="5">
        <f ca="1">S0*EXP((μ-0.5*σ*σ)*T+σ*SQRT(T)*$C2053)</f>
        <v>0.77106245192744571</v>
      </c>
      <c r="E2053" s="5">
        <f ca="1">MAX(0,CP*(D2053-K))</f>
        <v>0</v>
      </c>
      <c r="F2053" s="4">
        <f ca="1">(CP*(D2053-K)&gt;0)*1</f>
        <v>0</v>
      </c>
      <c r="H2053" s="4">
        <v>2038</v>
      </c>
      <c r="I2053" s="3">
        <v>0.66776996649585285</v>
      </c>
      <c r="J2053" s="128">
        <v>1.5091681050775801E-3</v>
      </c>
      <c r="K2053" s="128"/>
      <c r="L2053" s="128">
        <v>4.1399999999999999E-2</v>
      </c>
      <c r="O2053" s="2"/>
    </row>
    <row r="2054" spans="2:15" x14ac:dyDescent="0.2">
      <c r="B2054" s="1">
        <v>2039</v>
      </c>
      <c r="C2054" s="5">
        <f ca="1">_xlfn.NORM.S.INV(RAND())</f>
        <v>-4.1414552829162322E-2</v>
      </c>
      <c r="D2054" s="5">
        <f ca="1">S0*EXP((μ-0.5*σ*σ)*T+σ*SQRT(T)*$C2054)</f>
        <v>0.66179807786979683</v>
      </c>
      <c r="E2054" s="5">
        <f ca="1">MAX(0,CP*(D2054-K))</f>
        <v>0</v>
      </c>
      <c r="F2054" s="4">
        <f ca="1">(CP*(D2054-K)&gt;0)*1</f>
        <v>0</v>
      </c>
      <c r="H2054" s="4">
        <v>2039</v>
      </c>
      <c r="I2054" s="3">
        <v>0.66780574028749751</v>
      </c>
      <c r="J2054" s="128">
        <v>1.5264952382172789E-3</v>
      </c>
      <c r="K2054" s="128"/>
      <c r="L2054" s="128">
        <v>4.3200000000000002E-2</v>
      </c>
      <c r="O2054" s="2"/>
    </row>
    <row r="2055" spans="2:15" x14ac:dyDescent="0.2">
      <c r="B2055" s="1">
        <v>2040</v>
      </c>
      <c r="C2055" s="5">
        <f ca="1">_xlfn.NORM.S.INV(RAND())</f>
        <v>0.44972104575927874</v>
      </c>
      <c r="D2055" s="5">
        <f ca="1">S0*EXP((μ-0.5*σ*σ)*T+σ*SQRT(T)*$C2055)</f>
        <v>0.69463067889608421</v>
      </c>
      <c r="E2055" s="5">
        <f ca="1">MAX(0,CP*(D2055-K))</f>
        <v>0</v>
      </c>
      <c r="F2055" s="4">
        <f ca="1">(CP*(D2055-K)&gt;0)*1</f>
        <v>0</v>
      </c>
      <c r="H2055" s="4">
        <v>2040</v>
      </c>
      <c r="I2055" s="3">
        <v>0.66760856899228527</v>
      </c>
      <c r="J2055" s="128">
        <v>1.2292707588651437E-3</v>
      </c>
      <c r="K2055" s="128"/>
      <c r="L2055" s="128">
        <v>3.9199999999999999E-2</v>
      </c>
      <c r="O2055" s="2"/>
    </row>
    <row r="2056" spans="2:15" x14ac:dyDescent="0.2">
      <c r="B2056" s="1">
        <v>2041</v>
      </c>
      <c r="C2056" s="5">
        <f ca="1">_xlfn.NORM.S.INV(RAND())</f>
        <v>1.2092622919008507</v>
      </c>
      <c r="D2056" s="5">
        <f ca="1">S0*EXP((μ-0.5*σ*σ)*T+σ*SQRT(T)*$C2056)</f>
        <v>0.74864249264294136</v>
      </c>
      <c r="E2056" s="5">
        <f ca="1">MAX(0,CP*(D2056-K))</f>
        <v>0</v>
      </c>
      <c r="F2056" s="4">
        <f ca="1">(CP*(D2056-K)&gt;0)*1</f>
        <v>0</v>
      </c>
      <c r="H2056" s="4">
        <v>2041</v>
      </c>
      <c r="I2056" s="3">
        <v>0.66769495359921993</v>
      </c>
      <c r="J2056" s="128">
        <v>1.3353927582769279E-3</v>
      </c>
      <c r="K2056" s="128"/>
      <c r="L2056" s="128">
        <v>4.0599999999999997E-2</v>
      </c>
      <c r="O2056" s="2"/>
    </row>
    <row r="2057" spans="2:15" x14ac:dyDescent="0.2">
      <c r="B2057" s="1">
        <v>2042</v>
      </c>
      <c r="C2057" s="5">
        <f ca="1">_xlfn.NORM.S.INV(RAND())</f>
        <v>4.5351255104874935E-2</v>
      </c>
      <c r="D2057" s="5">
        <f ca="1">S0*EXP((μ-0.5*σ*σ)*T+σ*SQRT(T)*$C2057)</f>
        <v>0.66748339432572068</v>
      </c>
      <c r="E2057" s="5">
        <f ca="1">MAX(0,CP*(D2057-K))</f>
        <v>0</v>
      </c>
      <c r="F2057" s="4">
        <f ca="1">(CP*(D2057-K)&gt;0)*1</f>
        <v>0</v>
      </c>
      <c r="H2057" s="4">
        <v>2042</v>
      </c>
      <c r="I2057" s="3">
        <v>0.66770174664580428</v>
      </c>
      <c r="J2057" s="128">
        <v>1.3086374752381638E-3</v>
      </c>
      <c r="K2057" s="128"/>
      <c r="L2057" s="128">
        <v>3.6600000000000001E-2</v>
      </c>
      <c r="O2057" s="2"/>
    </row>
    <row r="2058" spans="2:15" x14ac:dyDescent="0.2">
      <c r="B2058" s="1">
        <v>2043</v>
      </c>
      <c r="C2058" s="5">
        <f ca="1">_xlfn.NORM.S.INV(RAND())</f>
        <v>1.950297031696963</v>
      </c>
      <c r="D2058" s="5">
        <f ca="1">S0*EXP((μ-0.5*σ*σ)*T+σ*SQRT(T)*$C2058)</f>
        <v>0.80538328670965231</v>
      </c>
      <c r="E2058" s="5">
        <f ca="1">MAX(0,CP*(D2058-K))</f>
        <v>1.7183286709652301E-2</v>
      </c>
      <c r="F2058" s="4">
        <f ca="1">(CP*(D2058-K)&gt;0)*1</f>
        <v>1</v>
      </c>
      <c r="H2058" s="4">
        <v>2043</v>
      </c>
      <c r="I2058" s="3">
        <v>0.66780976201053976</v>
      </c>
      <c r="J2058" s="128">
        <v>1.4796420208360859E-3</v>
      </c>
      <c r="K2058" s="128"/>
      <c r="L2058" s="128">
        <v>4.36E-2</v>
      </c>
      <c r="O2058" s="2"/>
    </row>
    <row r="2059" spans="2:15" x14ac:dyDescent="0.2">
      <c r="B2059" s="1">
        <v>2044</v>
      </c>
      <c r="C2059" s="5">
        <f ca="1">_xlfn.NORM.S.INV(RAND())</f>
        <v>-1.2429283018604611</v>
      </c>
      <c r="D2059" s="5">
        <f ca="1">S0*EXP((μ-0.5*σ*σ)*T+σ*SQRT(T)*$C2059)</f>
        <v>0.58787026788533647</v>
      </c>
      <c r="E2059" s="5">
        <f ca="1">MAX(0,CP*(D2059-K))</f>
        <v>0</v>
      </c>
      <c r="F2059" s="4">
        <f ca="1">(CP*(D2059-K)&gt;0)*1</f>
        <v>0</v>
      </c>
      <c r="H2059" s="4">
        <v>2044</v>
      </c>
      <c r="I2059" s="3">
        <v>0.66763357812811719</v>
      </c>
      <c r="J2059" s="128">
        <v>1.1676721627451418E-3</v>
      </c>
      <c r="K2059" s="128"/>
      <c r="L2059" s="128">
        <v>4.1000000000000002E-2</v>
      </c>
      <c r="O2059" s="2"/>
    </row>
    <row r="2060" spans="2:15" x14ac:dyDescent="0.2">
      <c r="B2060" s="1">
        <v>2045</v>
      </c>
      <c r="C2060" s="5">
        <f ca="1">_xlfn.NORM.S.INV(RAND())</f>
        <v>0.24536645935793863</v>
      </c>
      <c r="D2060" s="5">
        <f ca="1">S0*EXP((μ-0.5*σ*σ)*T+σ*SQRT(T)*$C2060)</f>
        <v>0.68077612352947392</v>
      </c>
      <c r="E2060" s="5">
        <f ca="1">MAX(0,CP*(D2060-K))</f>
        <v>0</v>
      </c>
      <c r="F2060" s="4">
        <f ca="1">(CP*(D2060-K)&gt;0)*1</f>
        <v>0</v>
      </c>
      <c r="H2060" s="4">
        <v>2045</v>
      </c>
      <c r="I2060" s="3">
        <v>0.66776291550074329</v>
      </c>
      <c r="J2060" s="128">
        <v>1.2463528884647105E-3</v>
      </c>
      <c r="K2060" s="128"/>
      <c r="L2060" s="128">
        <v>4.2000000000000003E-2</v>
      </c>
      <c r="O2060" s="2"/>
    </row>
    <row r="2061" spans="2:15" x14ac:dyDescent="0.2">
      <c r="B2061" s="1">
        <v>2046</v>
      </c>
      <c r="C2061" s="5">
        <f ca="1">_xlfn.NORM.S.INV(RAND())</f>
        <v>5.6311312124820385E-2</v>
      </c>
      <c r="D2061" s="5">
        <f ca="1">S0*EXP((μ-0.5*σ*σ)*T+σ*SQRT(T)*$C2061)</f>
        <v>0.66820501614109096</v>
      </c>
      <c r="E2061" s="5">
        <f ca="1">MAX(0,CP*(D2061-K))</f>
        <v>0</v>
      </c>
      <c r="F2061" s="4">
        <f ca="1">(CP*(D2061-K)&gt;0)*1</f>
        <v>0</v>
      </c>
      <c r="H2061" s="4">
        <v>2046</v>
      </c>
      <c r="I2061" s="3">
        <v>0.66766983841764149</v>
      </c>
      <c r="J2061" s="128">
        <v>1.1932532891308432E-3</v>
      </c>
      <c r="K2061" s="128"/>
      <c r="L2061" s="128">
        <v>3.7400000000000003E-2</v>
      </c>
      <c r="O2061" s="2"/>
    </row>
    <row r="2062" spans="2:15" x14ac:dyDescent="0.2">
      <c r="B2062" s="1">
        <v>2047</v>
      </c>
      <c r="C2062" s="5">
        <f ca="1">_xlfn.NORM.S.INV(RAND())</f>
        <v>-1.1513226745965215</v>
      </c>
      <c r="D2062" s="5">
        <f ca="1">S0*EXP((μ-0.5*σ*σ)*T+σ*SQRT(T)*$C2062)</f>
        <v>0.59320346871744645</v>
      </c>
      <c r="E2062" s="5">
        <f ca="1">MAX(0,CP*(D2062-K))</f>
        <v>0</v>
      </c>
      <c r="F2062" s="4">
        <f ca="1">(CP*(D2062-K)&gt;0)*1</f>
        <v>0</v>
      </c>
      <c r="H2062" s="4">
        <v>2047</v>
      </c>
      <c r="I2062" s="3">
        <v>0.66778759917106822</v>
      </c>
      <c r="J2062" s="128">
        <v>1.4794172776084558E-3</v>
      </c>
      <c r="K2062" s="128"/>
      <c r="L2062" s="128">
        <v>4.2999999999999997E-2</v>
      </c>
      <c r="O2062" s="2"/>
    </row>
    <row r="2063" spans="2:15" x14ac:dyDescent="0.2">
      <c r="B2063" s="1">
        <v>2048</v>
      </c>
      <c r="C2063" s="5">
        <f ca="1">_xlfn.NORM.S.INV(RAND())</f>
        <v>-0.12478669022365951</v>
      </c>
      <c r="D2063" s="5">
        <f ca="1">S0*EXP((μ-0.5*σ*σ)*T+σ*SQRT(T)*$C2063)</f>
        <v>0.65638075712652721</v>
      </c>
      <c r="E2063" s="5">
        <f ca="1">MAX(0,CP*(D2063-K))</f>
        <v>0</v>
      </c>
      <c r="F2063" s="4">
        <f ca="1">(CP*(D2063-K)&gt;0)*1</f>
        <v>0</v>
      </c>
      <c r="H2063" s="4">
        <v>2048</v>
      </c>
      <c r="I2063" s="3">
        <v>0.66774375838699984</v>
      </c>
      <c r="J2063" s="128">
        <v>1.254921864004246E-3</v>
      </c>
      <c r="K2063" s="128"/>
      <c r="L2063" s="128">
        <v>3.9800000000000002E-2</v>
      </c>
      <c r="O2063" s="2"/>
    </row>
    <row r="2064" spans="2:15" x14ac:dyDescent="0.2">
      <c r="B2064" s="1">
        <v>2049</v>
      </c>
      <c r="C2064" s="5">
        <f ca="1">_xlfn.NORM.S.INV(RAND())</f>
        <v>-0.12546758955639212</v>
      </c>
      <c r="D2064" s="5">
        <f ca="1">S0*EXP((μ-0.5*σ*σ)*T+σ*SQRT(T)*$C2064)</f>
        <v>0.65633669698447228</v>
      </c>
      <c r="E2064" s="5">
        <f ca="1">MAX(0,CP*(D2064-K))</f>
        <v>0</v>
      </c>
      <c r="F2064" s="4">
        <f ca="1">(CP*(D2064-K)&gt;0)*1</f>
        <v>0</v>
      </c>
      <c r="H2064" s="4">
        <v>2049</v>
      </c>
      <c r="I2064" s="3">
        <v>0.66774462677654323</v>
      </c>
      <c r="J2064" s="128">
        <v>1.3660423221777392E-3</v>
      </c>
      <c r="K2064" s="128"/>
      <c r="L2064" s="128">
        <v>4.2799999999999998E-2</v>
      </c>
      <c r="O2064" s="2"/>
    </row>
    <row r="2065" spans="2:15" x14ac:dyDescent="0.2">
      <c r="B2065" s="1">
        <v>2050</v>
      </c>
      <c r="C2065" s="5">
        <f ca="1">_xlfn.NORM.S.INV(RAND())</f>
        <v>1.0841284031293661</v>
      </c>
      <c r="D2065" s="5">
        <f ca="1">S0*EXP((μ-0.5*σ*σ)*T+σ*SQRT(T)*$C2065)</f>
        <v>0.73946349995725602</v>
      </c>
      <c r="E2065" s="5">
        <f ca="1">MAX(0,CP*(D2065-K))</f>
        <v>0</v>
      </c>
      <c r="F2065" s="4">
        <f ca="1">(CP*(D2065-K)&gt;0)*1</f>
        <v>0</v>
      </c>
      <c r="H2065" s="4">
        <v>2050</v>
      </c>
      <c r="I2065" s="3">
        <v>0.66775697402075451</v>
      </c>
      <c r="J2065" s="128">
        <v>1.3388543422061436E-3</v>
      </c>
      <c r="K2065" s="128"/>
      <c r="L2065" s="128">
        <v>4.2599999999999999E-2</v>
      </c>
      <c r="O2065" s="2"/>
    </row>
    <row r="2066" spans="2:15" x14ac:dyDescent="0.2">
      <c r="B2066" s="1">
        <v>2051</v>
      </c>
      <c r="C2066" s="5">
        <f ca="1">_xlfn.NORM.S.INV(RAND())</f>
        <v>-0.72792171706662923</v>
      </c>
      <c r="D2066" s="5">
        <f ca="1">S0*EXP((μ-0.5*σ*σ)*T+σ*SQRT(T)*$C2066)</f>
        <v>0.61848904953636719</v>
      </c>
      <c r="E2066" s="5">
        <f ca="1">MAX(0,CP*(D2066-K))</f>
        <v>0</v>
      </c>
      <c r="F2066" s="4">
        <f ca="1">(CP*(D2066-K)&gt;0)*1</f>
        <v>0</v>
      </c>
      <c r="H2066" s="4">
        <v>2051</v>
      </c>
      <c r="I2066" s="3">
        <v>0.66770300096187474</v>
      </c>
      <c r="J2066" s="128">
        <v>1.2720028268295761E-3</v>
      </c>
      <c r="K2066" s="128"/>
      <c r="L2066" s="128">
        <v>3.9800000000000002E-2</v>
      </c>
      <c r="O2066" s="2"/>
    </row>
    <row r="2067" spans="2:15" x14ac:dyDescent="0.2">
      <c r="B2067" s="1">
        <v>2052</v>
      </c>
      <c r="C2067" s="5">
        <f ca="1">_xlfn.NORM.S.INV(RAND())</f>
        <v>1.9937900092915488</v>
      </c>
      <c r="D2067" s="5">
        <f ca="1">S0*EXP((μ-0.5*σ*σ)*T+σ*SQRT(T)*$C2067)</f>
        <v>0.80884407398131919</v>
      </c>
      <c r="E2067" s="5">
        <f ca="1">MAX(0,CP*(D2067-K))</f>
        <v>2.0644073981319178E-2</v>
      </c>
      <c r="F2067" s="4">
        <f ca="1">(CP*(D2067-K)&gt;0)*1</f>
        <v>1</v>
      </c>
      <c r="H2067" s="4">
        <v>2052</v>
      </c>
      <c r="I2067" s="3">
        <v>0.66761130945683522</v>
      </c>
      <c r="J2067" s="128">
        <v>1.1572825042350935E-3</v>
      </c>
      <c r="K2067" s="128"/>
      <c r="L2067" s="128">
        <v>4.0800000000000003E-2</v>
      </c>
      <c r="O2067" s="2"/>
    </row>
    <row r="2068" spans="2:15" x14ac:dyDescent="0.2">
      <c r="B2068" s="1">
        <v>2053</v>
      </c>
      <c r="C2068" s="5">
        <f ca="1">_xlfn.NORM.S.INV(RAND())</f>
        <v>0.24104464017270838</v>
      </c>
      <c r="D2068" s="5">
        <f ca="1">S0*EXP((μ-0.5*σ*σ)*T+σ*SQRT(T)*$C2068)</f>
        <v>0.68048612211845627</v>
      </c>
      <c r="E2068" s="5">
        <f ca="1">MAX(0,CP*(D2068-K))</f>
        <v>0</v>
      </c>
      <c r="F2068" s="4">
        <f ca="1">(CP*(D2068-K)&gt;0)*1</f>
        <v>0</v>
      </c>
      <c r="H2068" s="4">
        <v>2053</v>
      </c>
      <c r="I2068" s="3">
        <v>0.66781497741221463</v>
      </c>
      <c r="J2068" s="128">
        <v>1.3761874586878807E-3</v>
      </c>
      <c r="K2068" s="128"/>
      <c r="L2068" s="128">
        <v>4.3799999999999999E-2</v>
      </c>
      <c r="O2068" s="2"/>
    </row>
    <row r="2069" spans="2:15" x14ac:dyDescent="0.2">
      <c r="B2069" s="1">
        <v>2054</v>
      </c>
      <c r="C2069" s="5">
        <f ca="1">_xlfn.NORM.S.INV(RAND())</f>
        <v>0.83696993834355704</v>
      </c>
      <c r="D2069" s="5">
        <f ca="1">S0*EXP((μ-0.5*σ*σ)*T+σ*SQRT(T)*$C2069)</f>
        <v>0.72166294559229294</v>
      </c>
      <c r="E2069" s="5">
        <f ca="1">MAX(0,CP*(D2069-K))</f>
        <v>0</v>
      </c>
      <c r="F2069" s="4">
        <f ca="1">(CP*(D2069-K)&gt;0)*1</f>
        <v>0</v>
      </c>
      <c r="H2069" s="4">
        <v>2054</v>
      </c>
      <c r="I2069" s="3">
        <v>0.667707291604271</v>
      </c>
      <c r="J2069" s="128">
        <v>1.3081420412507298E-3</v>
      </c>
      <c r="K2069" s="128"/>
      <c r="L2069" s="128">
        <v>4.1399999999999999E-2</v>
      </c>
      <c r="O2069" s="2"/>
    </row>
    <row r="2070" spans="2:15" x14ac:dyDescent="0.2">
      <c r="B2070" s="1">
        <v>2055</v>
      </c>
      <c r="C2070" s="5">
        <f ca="1">_xlfn.NORM.S.INV(RAND())</f>
        <v>1.0235868557738539</v>
      </c>
      <c r="D2070" s="5">
        <f ca="1">S0*EXP((μ-0.5*σ*σ)*T+σ*SQRT(T)*$C2070)</f>
        <v>0.73506305542920869</v>
      </c>
      <c r="E2070" s="5">
        <f ca="1">MAX(0,CP*(D2070-K))</f>
        <v>0</v>
      </c>
      <c r="F2070" s="4">
        <f ca="1">(CP*(D2070-K)&gt;0)*1</f>
        <v>0</v>
      </c>
      <c r="H2070" s="4">
        <v>2055</v>
      </c>
      <c r="I2070" s="3">
        <v>0.66772893821939738</v>
      </c>
      <c r="J2070" s="128">
        <v>1.4703078488968158E-3</v>
      </c>
      <c r="K2070" s="128"/>
      <c r="L2070" s="128">
        <v>3.9600000000000003E-2</v>
      </c>
      <c r="O2070" s="2"/>
    </row>
    <row r="2071" spans="2:15" x14ac:dyDescent="0.2">
      <c r="B2071" s="1">
        <v>2056</v>
      </c>
      <c r="C2071" s="5">
        <f ca="1">_xlfn.NORM.S.INV(RAND())</f>
        <v>-0.72527139078311598</v>
      </c>
      <c r="D2071" s="5">
        <f ca="1">S0*EXP((μ-0.5*σ*σ)*T+σ*SQRT(T)*$C2071)</f>
        <v>0.61865067501286197</v>
      </c>
      <c r="E2071" s="5">
        <f ca="1">MAX(0,CP*(D2071-K))</f>
        <v>0</v>
      </c>
      <c r="F2071" s="4">
        <f ca="1">(CP*(D2071-K)&gt;0)*1</f>
        <v>0</v>
      </c>
      <c r="H2071" s="4">
        <v>2056</v>
      </c>
      <c r="I2071" s="3">
        <v>0.66766820206071964</v>
      </c>
      <c r="J2071" s="128">
        <v>1.3115384655069545E-3</v>
      </c>
      <c r="K2071" s="128"/>
      <c r="L2071" s="128">
        <v>4.2000000000000003E-2</v>
      </c>
      <c r="O2071" s="2"/>
    </row>
    <row r="2072" spans="2:15" x14ac:dyDescent="0.2">
      <c r="B2072" s="1">
        <v>2057</v>
      </c>
      <c r="C2072" s="5">
        <f ca="1">_xlfn.NORM.S.INV(RAND())</f>
        <v>-2.6233406178760209E-2</v>
      </c>
      <c r="D2072" s="5">
        <f ca="1">S0*EXP((μ-0.5*σ*σ)*T+σ*SQRT(T)*$C2072)</f>
        <v>0.66278931334388513</v>
      </c>
      <c r="E2072" s="5">
        <f ca="1">MAX(0,CP*(D2072-K))</f>
        <v>0</v>
      </c>
      <c r="F2072" s="4">
        <f ca="1">(CP*(D2072-K)&gt;0)*1</f>
        <v>0</v>
      </c>
      <c r="H2072" s="4">
        <v>2057</v>
      </c>
      <c r="I2072" s="3">
        <v>0.66783310365052406</v>
      </c>
      <c r="J2072" s="128">
        <v>1.5682506832258468E-3</v>
      </c>
      <c r="K2072" s="128"/>
      <c r="L2072" s="128">
        <v>4.5199999999999997E-2</v>
      </c>
      <c r="O2072" s="2"/>
    </row>
    <row r="2073" spans="2:15" x14ac:dyDescent="0.2">
      <c r="B2073" s="1">
        <v>2058</v>
      </c>
      <c r="C2073" s="5">
        <f ca="1">_xlfn.NORM.S.INV(RAND())</f>
        <v>-1.2722727628829462</v>
      </c>
      <c r="D2073" s="5">
        <f ca="1">S0*EXP((μ-0.5*σ*σ)*T+σ*SQRT(T)*$C2073)</f>
        <v>0.58617201915387773</v>
      </c>
      <c r="E2073" s="5">
        <f ca="1">MAX(0,CP*(D2073-K))</f>
        <v>0</v>
      </c>
      <c r="F2073" s="4">
        <f ca="1">(CP*(D2073-K)&gt;0)*1</f>
        <v>0</v>
      </c>
      <c r="H2073" s="4">
        <v>2058</v>
      </c>
      <c r="I2073" s="3">
        <v>0.66769717310833099</v>
      </c>
      <c r="J2073" s="128">
        <v>1.3005480108221601E-3</v>
      </c>
      <c r="K2073" s="128"/>
      <c r="L2073" s="128">
        <v>4.0800000000000003E-2</v>
      </c>
      <c r="O2073" s="2"/>
    </row>
    <row r="2074" spans="2:15" x14ac:dyDescent="0.2">
      <c r="B2074" s="1">
        <v>2059</v>
      </c>
      <c r="C2074" s="5">
        <f ca="1">_xlfn.NORM.S.INV(RAND())</f>
        <v>-1.3353810663482846</v>
      </c>
      <c r="D2074" s="5">
        <f ca="1">S0*EXP((μ-0.5*σ*σ)*T+σ*SQRT(T)*$C2074)</f>
        <v>0.58253636145245513</v>
      </c>
      <c r="E2074" s="5">
        <f ca="1">MAX(0,CP*(D2074-K))</f>
        <v>0</v>
      </c>
      <c r="F2074" s="4">
        <f ca="1">(CP*(D2074-K)&gt;0)*1</f>
        <v>0</v>
      </c>
      <c r="H2074" s="4">
        <v>2059</v>
      </c>
      <c r="I2074" s="3">
        <v>0.66778652947246142</v>
      </c>
      <c r="J2074" s="128">
        <v>1.3141980380107685E-3</v>
      </c>
      <c r="K2074" s="128"/>
      <c r="L2074" s="128">
        <v>4.3400000000000001E-2</v>
      </c>
      <c r="O2074" s="2"/>
    </row>
    <row r="2075" spans="2:15" x14ac:dyDescent="0.2">
      <c r="B2075" s="1">
        <v>2060</v>
      </c>
      <c r="C2075" s="5">
        <f ca="1">_xlfn.NORM.S.INV(RAND())</f>
        <v>1.0681520804368037</v>
      </c>
      <c r="D2075" s="5">
        <f ca="1">S0*EXP((μ-0.5*σ*σ)*T+σ*SQRT(T)*$C2075)</f>
        <v>0.73829971346998979</v>
      </c>
      <c r="E2075" s="5">
        <f ca="1">MAX(0,CP*(D2075-K))</f>
        <v>0</v>
      </c>
      <c r="F2075" s="4">
        <f ca="1">(CP*(D2075-K)&gt;0)*1</f>
        <v>0</v>
      </c>
      <c r="H2075" s="4">
        <v>2060</v>
      </c>
      <c r="I2075" s="3">
        <v>0.66765882343187655</v>
      </c>
      <c r="J2075" s="128">
        <v>1.2767842125757998E-3</v>
      </c>
      <c r="K2075" s="128"/>
      <c r="L2075" s="128">
        <v>4.1599999999999998E-2</v>
      </c>
      <c r="O2075" s="2"/>
    </row>
    <row r="2076" spans="2:15" x14ac:dyDescent="0.2">
      <c r="B2076" s="1">
        <v>2061</v>
      </c>
      <c r="C2076" s="5">
        <f ca="1">_xlfn.NORM.S.INV(RAND())</f>
        <v>0.44837935196599638</v>
      </c>
      <c r="D2076" s="5">
        <f ca="1">S0*EXP((μ-0.5*σ*σ)*T+σ*SQRT(T)*$C2076)</f>
        <v>0.6945388032578651</v>
      </c>
      <c r="E2076" s="5">
        <f ca="1">MAX(0,CP*(D2076-K))</f>
        <v>0</v>
      </c>
      <c r="F2076" s="4">
        <f ca="1">(CP*(D2076-K)&gt;0)*1</f>
        <v>0</v>
      </c>
      <c r="H2076" s="4">
        <v>2061</v>
      </c>
      <c r="I2076" s="3">
        <v>0.66772361903733757</v>
      </c>
      <c r="J2076" s="128">
        <v>1.2393719364673179E-3</v>
      </c>
      <c r="K2076" s="128"/>
      <c r="L2076" s="128">
        <v>4.3200000000000002E-2</v>
      </c>
      <c r="O2076" s="2"/>
    </row>
    <row r="2077" spans="2:15" x14ac:dyDescent="0.2">
      <c r="B2077" s="1">
        <v>2062</v>
      </c>
      <c r="C2077" s="5">
        <f ca="1">_xlfn.NORM.S.INV(RAND())</f>
        <v>0.43249461112511123</v>
      </c>
      <c r="D2077" s="5">
        <f ca="1">S0*EXP((μ-0.5*σ*σ)*T+σ*SQRT(T)*$C2077)</f>
        <v>0.69345198142926379</v>
      </c>
      <c r="E2077" s="5">
        <f ca="1">MAX(0,CP*(D2077-K))</f>
        <v>0</v>
      </c>
      <c r="F2077" s="4">
        <f ca="1">(CP*(D2077-K)&gt;0)*1</f>
        <v>0</v>
      </c>
      <c r="H2077" s="4">
        <v>2062</v>
      </c>
      <c r="I2077" s="3">
        <v>0.66767733966857612</v>
      </c>
      <c r="J2077" s="128">
        <v>1.4045077759145552E-3</v>
      </c>
      <c r="K2077" s="128"/>
      <c r="L2077" s="128">
        <v>3.8399999999999997E-2</v>
      </c>
      <c r="O2077" s="2"/>
    </row>
    <row r="2078" spans="2:15" x14ac:dyDescent="0.2">
      <c r="B2078" s="1">
        <v>2063</v>
      </c>
      <c r="C2078" s="5">
        <f ca="1">_xlfn.NORM.S.INV(RAND())</f>
        <v>0.32153272277544104</v>
      </c>
      <c r="D2078" s="5">
        <f ca="1">S0*EXP((μ-0.5*σ*σ)*T+σ*SQRT(T)*$C2078)</f>
        <v>0.68590733926018821</v>
      </c>
      <c r="E2078" s="5">
        <f ca="1">MAX(0,CP*(D2078-K))</f>
        <v>0</v>
      </c>
      <c r="F2078" s="4">
        <f ca="1">(CP*(D2078-K)&gt;0)*1</f>
        <v>0</v>
      </c>
      <c r="H2078" s="4">
        <v>2063</v>
      </c>
      <c r="I2078" s="3">
        <v>0.6677154433886261</v>
      </c>
      <c r="J2078" s="128">
        <v>1.4163164154377087E-3</v>
      </c>
      <c r="K2078" s="128"/>
      <c r="L2078" s="128">
        <v>4.3400000000000001E-2</v>
      </c>
      <c r="O2078" s="2"/>
    </row>
    <row r="2079" spans="2:15" x14ac:dyDescent="0.2">
      <c r="B2079" s="1">
        <v>2064</v>
      </c>
      <c r="C2079" s="5">
        <f ca="1">_xlfn.NORM.S.INV(RAND())</f>
        <v>-0.68249535268799577</v>
      </c>
      <c r="D2079" s="5">
        <f ca="1">S0*EXP((μ-0.5*σ*σ)*T+σ*SQRT(T)*$C2079)</f>
        <v>0.62126514608331362</v>
      </c>
      <c r="E2079" s="5">
        <f ca="1">MAX(0,CP*(D2079-K))</f>
        <v>0</v>
      </c>
      <c r="F2079" s="4">
        <f ca="1">(CP*(D2079-K)&gt;0)*1</f>
        <v>0</v>
      </c>
      <c r="H2079" s="4">
        <v>2064</v>
      </c>
      <c r="I2079" s="3">
        <v>0.66771496478850167</v>
      </c>
      <c r="J2079" s="128">
        <v>1.2456630197049292E-3</v>
      </c>
      <c r="K2079" s="128"/>
      <c r="L2079" s="128">
        <v>4.1599999999999998E-2</v>
      </c>
      <c r="O2079" s="2"/>
    </row>
    <row r="2080" spans="2:15" x14ac:dyDescent="0.2">
      <c r="B2080" s="1">
        <v>2065</v>
      </c>
      <c r="C2080" s="5">
        <f ca="1">_xlfn.NORM.S.INV(RAND())</f>
        <v>0.23710569458680844</v>
      </c>
      <c r="D2080" s="5">
        <f ca="1">S0*EXP((μ-0.5*σ*σ)*T+σ*SQRT(T)*$C2080)</f>
        <v>0.68022191978301749</v>
      </c>
      <c r="E2080" s="5">
        <f ca="1">MAX(0,CP*(D2080-K))</f>
        <v>0</v>
      </c>
      <c r="F2080" s="4">
        <f ca="1">(CP*(D2080-K)&gt;0)*1</f>
        <v>0</v>
      </c>
      <c r="H2080" s="4">
        <v>2065</v>
      </c>
      <c r="I2080" s="3">
        <v>0.66767017357964697</v>
      </c>
      <c r="J2080" s="128">
        <v>1.2579721488765929E-3</v>
      </c>
      <c r="K2080" s="128"/>
      <c r="L2080" s="128">
        <v>3.8399999999999997E-2</v>
      </c>
      <c r="O2080" s="2"/>
    </row>
    <row r="2081" spans="2:15" x14ac:dyDescent="0.2">
      <c r="B2081" s="1">
        <v>2066</v>
      </c>
      <c r="C2081" s="5">
        <f ca="1">_xlfn.NORM.S.INV(RAND())</f>
        <v>-0.42292599294084965</v>
      </c>
      <c r="D2081" s="5">
        <f ca="1">S0*EXP((μ-0.5*σ*σ)*T+σ*SQRT(T)*$C2081)</f>
        <v>0.63736866717032692</v>
      </c>
      <c r="E2081" s="5">
        <f ca="1">MAX(0,CP*(D2081-K))</f>
        <v>0</v>
      </c>
      <c r="F2081" s="4">
        <f ca="1">(CP*(D2081-K)&gt;0)*1</f>
        <v>0</v>
      </c>
      <c r="H2081" s="4">
        <v>2066</v>
      </c>
      <c r="I2081" s="3">
        <v>0.66790263941799899</v>
      </c>
      <c r="J2081" s="128">
        <v>1.5443551790074895E-3</v>
      </c>
      <c r="K2081" s="128"/>
      <c r="L2081" s="128">
        <v>4.3400000000000001E-2</v>
      </c>
      <c r="O2081" s="2"/>
    </row>
    <row r="2082" spans="2:15" x14ac:dyDescent="0.2">
      <c r="B2082" s="1">
        <v>2067</v>
      </c>
      <c r="C2082" s="5">
        <f ca="1">_xlfn.NORM.S.INV(RAND())</f>
        <v>-1.1915833326918612</v>
      </c>
      <c r="D2082" s="5">
        <f ca="1">S0*EXP((μ-0.5*σ*σ)*T+σ*SQRT(T)*$C2082)</f>
        <v>0.59085359427963102</v>
      </c>
      <c r="E2082" s="5">
        <f ca="1">MAX(0,CP*(D2082-K))</f>
        <v>0</v>
      </c>
      <c r="F2082" s="4">
        <f ca="1">(CP*(D2082-K)&gt;0)*1</f>
        <v>0</v>
      </c>
      <c r="H2082" s="4">
        <v>2067</v>
      </c>
      <c r="I2082" s="3">
        <v>0.66765016492009177</v>
      </c>
      <c r="J2082" s="128">
        <v>1.3035478171339564E-3</v>
      </c>
      <c r="K2082" s="128"/>
      <c r="L2082" s="128">
        <v>3.9600000000000003E-2</v>
      </c>
      <c r="O2082" s="2"/>
    </row>
    <row r="2083" spans="2:15" x14ac:dyDescent="0.2">
      <c r="B2083" s="1">
        <v>2068</v>
      </c>
      <c r="C2083" s="5">
        <f ca="1">_xlfn.NORM.S.INV(RAND())</f>
        <v>-0.43471963309867251</v>
      </c>
      <c r="D2083" s="5">
        <f ca="1">S0*EXP((μ-0.5*σ*σ)*T+σ*SQRT(T)*$C2083)</f>
        <v>0.63662802600060575</v>
      </c>
      <c r="E2083" s="5">
        <f ca="1">MAX(0,CP*(D2083-K))</f>
        <v>0</v>
      </c>
      <c r="F2083" s="4">
        <f ca="1">(CP*(D2083-K)&gt;0)*1</f>
        <v>0</v>
      </c>
      <c r="H2083" s="4">
        <v>2068</v>
      </c>
      <c r="I2083" s="3">
        <v>0.66762218108847737</v>
      </c>
      <c r="J2083" s="128">
        <v>1.3422504471881577E-3</v>
      </c>
      <c r="K2083" s="128"/>
      <c r="L2083" s="128">
        <v>3.8800000000000001E-2</v>
      </c>
      <c r="O2083" s="2"/>
    </row>
    <row r="2084" spans="2:15" x14ac:dyDescent="0.2">
      <c r="B2084" s="1">
        <v>2069</v>
      </c>
      <c r="C2084" s="5">
        <f ca="1">_xlfn.NORM.S.INV(RAND())</f>
        <v>1.0505912969155178</v>
      </c>
      <c r="D2084" s="5">
        <f ca="1">S0*EXP((μ-0.5*σ*σ)*T+σ*SQRT(T)*$C2084)</f>
        <v>0.73702262076928471</v>
      </c>
      <c r="E2084" s="5">
        <f ca="1">MAX(0,CP*(D2084-K))</f>
        <v>0</v>
      </c>
      <c r="F2084" s="4">
        <f ca="1">(CP*(D2084-K)&gt;0)*1</f>
        <v>0</v>
      </c>
      <c r="H2084" s="4">
        <v>2069</v>
      </c>
      <c r="I2084" s="3">
        <v>0.66762742807812314</v>
      </c>
      <c r="J2084" s="128">
        <v>1.3242955406561085E-3</v>
      </c>
      <c r="K2084" s="128"/>
      <c r="L2084" s="128">
        <v>3.9800000000000002E-2</v>
      </c>
      <c r="O2084" s="2"/>
    </row>
    <row r="2085" spans="2:15" x14ac:dyDescent="0.2">
      <c r="B2085" s="1">
        <v>2070</v>
      </c>
      <c r="C2085" s="5">
        <f ca="1">_xlfn.NORM.S.INV(RAND())</f>
        <v>-1.0340342603695247</v>
      </c>
      <c r="D2085" s="5">
        <f ca="1">S0*EXP((μ-0.5*σ*σ)*T+σ*SQRT(T)*$C2085)</f>
        <v>0.60010259106159491</v>
      </c>
      <c r="E2085" s="5">
        <f ca="1">MAX(0,CP*(D2085-K))</f>
        <v>0</v>
      </c>
      <c r="F2085" s="4">
        <f ca="1">(CP*(D2085-K)&gt;0)*1</f>
        <v>0</v>
      </c>
      <c r="H2085" s="4">
        <v>2070</v>
      </c>
      <c r="I2085" s="3">
        <v>0.66792648854217296</v>
      </c>
      <c r="J2085" s="128">
        <v>1.5908565968112765E-3</v>
      </c>
      <c r="K2085" s="128"/>
      <c r="L2085" s="128">
        <v>4.7399999999999998E-2</v>
      </c>
      <c r="O2085" s="2"/>
    </row>
    <row r="2086" spans="2:15" x14ac:dyDescent="0.2">
      <c r="B2086" s="1">
        <v>2071</v>
      </c>
      <c r="C2086" s="5">
        <f ca="1">_xlfn.NORM.S.INV(RAND())</f>
        <v>0.42837643129707004</v>
      </c>
      <c r="D2086" s="5">
        <f ca="1">S0*EXP((μ-0.5*σ*σ)*T+σ*SQRT(T)*$C2086)</f>
        <v>0.69317049642590589</v>
      </c>
      <c r="E2086" s="5">
        <f ca="1">MAX(0,CP*(D2086-K))</f>
        <v>0</v>
      </c>
      <c r="F2086" s="4">
        <f ca="1">(CP*(D2086-K)&gt;0)*1</f>
        <v>0</v>
      </c>
      <c r="H2086" s="4">
        <v>2071</v>
      </c>
      <c r="I2086" s="3">
        <v>0.66783993191484503</v>
      </c>
      <c r="J2086" s="128">
        <v>1.5324151741771467E-3</v>
      </c>
      <c r="K2086" s="128"/>
      <c r="L2086" s="128">
        <v>4.6399999999999997E-2</v>
      </c>
      <c r="O2086" s="2"/>
    </row>
    <row r="2087" spans="2:15" x14ac:dyDescent="0.2">
      <c r="B2087" s="1">
        <v>2072</v>
      </c>
      <c r="C2087" s="5">
        <f ca="1">_xlfn.NORM.S.INV(RAND())</f>
        <v>-0.57448630297874936</v>
      </c>
      <c r="D2087" s="5">
        <f ca="1">S0*EXP((μ-0.5*σ*σ)*T+σ*SQRT(T)*$C2087)</f>
        <v>0.62791593500265031</v>
      </c>
      <c r="E2087" s="5">
        <f ca="1">MAX(0,CP*(D2087-K))</f>
        <v>0</v>
      </c>
      <c r="F2087" s="4">
        <f ca="1">(CP*(D2087-K)&gt;0)*1</f>
        <v>0</v>
      </c>
      <c r="H2087" s="4">
        <v>2072</v>
      </c>
      <c r="I2087" s="3">
        <v>0.6677960819643145</v>
      </c>
      <c r="J2087" s="128">
        <v>1.3782056481667095E-3</v>
      </c>
      <c r="K2087" s="128"/>
      <c r="L2087" s="128">
        <v>3.9600000000000003E-2</v>
      </c>
      <c r="O2087" s="2"/>
    </row>
    <row r="2088" spans="2:15" x14ac:dyDescent="0.2">
      <c r="B2088" s="1">
        <v>2073</v>
      </c>
      <c r="C2088" s="5">
        <f ca="1">_xlfn.NORM.S.INV(RAND())</f>
        <v>-0.36335760409912832</v>
      </c>
      <c r="D2088" s="5">
        <f ca="1">S0*EXP((μ-0.5*σ*σ)*T+σ*SQRT(T)*$C2088)</f>
        <v>0.64112275257258466</v>
      </c>
      <c r="E2088" s="5">
        <f ca="1">MAX(0,CP*(D2088-K))</f>
        <v>0</v>
      </c>
      <c r="F2088" s="4">
        <f ca="1">(CP*(D2088-K)&gt;0)*1</f>
        <v>0</v>
      </c>
      <c r="H2088" s="4">
        <v>2073</v>
      </c>
      <c r="I2088" s="3">
        <v>0.66774988111187439</v>
      </c>
      <c r="J2088" s="128">
        <v>1.269027519426043E-3</v>
      </c>
      <c r="K2088" s="128"/>
      <c r="L2088" s="128">
        <v>4.1200000000000001E-2</v>
      </c>
      <c r="O2088" s="2"/>
    </row>
    <row r="2089" spans="2:15" x14ac:dyDescent="0.2">
      <c r="B2089" s="1">
        <v>2074</v>
      </c>
      <c r="C2089" s="5">
        <f ca="1">_xlfn.NORM.S.INV(RAND())</f>
        <v>-0.53902579070892864</v>
      </c>
      <c r="D2089" s="5">
        <f ca="1">S0*EXP((μ-0.5*σ*σ)*T+σ*SQRT(T)*$C2089)</f>
        <v>0.63011494695559711</v>
      </c>
      <c r="E2089" s="5">
        <f ca="1">MAX(0,CP*(D2089-K))</f>
        <v>0</v>
      </c>
      <c r="F2089" s="4">
        <f ca="1">(CP*(D2089-K)&gt;0)*1</f>
        <v>0</v>
      </c>
      <c r="H2089" s="4">
        <v>2074</v>
      </c>
      <c r="I2089" s="3">
        <v>0.66775718137171258</v>
      </c>
      <c r="J2089" s="128">
        <v>1.4752290013729159E-3</v>
      </c>
      <c r="K2089" s="128"/>
      <c r="L2089" s="128">
        <v>4.1200000000000001E-2</v>
      </c>
      <c r="O2089" s="2"/>
    </row>
    <row r="2090" spans="2:15" x14ac:dyDescent="0.2">
      <c r="B2090" s="1">
        <v>2075</v>
      </c>
      <c r="C2090" s="5">
        <f ca="1">_xlfn.NORM.S.INV(RAND())</f>
        <v>3.0218033784041223E-2</v>
      </c>
      <c r="D2090" s="5">
        <f ca="1">S0*EXP((μ-0.5*σ*σ)*T+σ*SQRT(T)*$C2090)</f>
        <v>0.66648828765339707</v>
      </c>
      <c r="E2090" s="5">
        <f ca="1">MAX(0,CP*(D2090-K))</f>
        <v>0</v>
      </c>
      <c r="F2090" s="4">
        <f ca="1">(CP*(D2090-K)&gt;0)*1</f>
        <v>0</v>
      </c>
      <c r="H2090" s="4">
        <v>2075</v>
      </c>
      <c r="I2090" s="3">
        <v>0.66764897982362248</v>
      </c>
      <c r="J2090" s="128">
        <v>1.3008008494629392E-3</v>
      </c>
      <c r="K2090" s="128"/>
      <c r="L2090" s="128">
        <v>4.0399999999999998E-2</v>
      </c>
      <c r="O2090" s="2"/>
    </row>
    <row r="2091" spans="2:15" x14ac:dyDescent="0.2">
      <c r="B2091" s="1">
        <v>2076</v>
      </c>
      <c r="C2091" s="5">
        <f ca="1">_xlfn.NORM.S.INV(RAND())</f>
        <v>-0.56705030408018076</v>
      </c>
      <c r="D2091" s="5">
        <f ca="1">S0*EXP((μ-0.5*σ*σ)*T+σ*SQRT(T)*$C2091)</f>
        <v>0.62837642663335846</v>
      </c>
      <c r="E2091" s="5">
        <f ca="1">MAX(0,CP*(D2091-K))</f>
        <v>0</v>
      </c>
      <c r="F2091" s="4">
        <f ca="1">(CP*(D2091-K)&gt;0)*1</f>
        <v>0</v>
      </c>
      <c r="H2091" s="4">
        <v>2076</v>
      </c>
      <c r="I2091" s="3">
        <v>0.66789539890683591</v>
      </c>
      <c r="J2091" s="128">
        <v>1.6214126862756245E-3</v>
      </c>
      <c r="K2091" s="128"/>
      <c r="L2091" s="128">
        <v>4.4999999999999998E-2</v>
      </c>
      <c r="O2091" s="2"/>
    </row>
    <row r="2092" spans="2:15" x14ac:dyDescent="0.2">
      <c r="B2092" s="1">
        <v>2077</v>
      </c>
      <c r="C2092" s="5">
        <f ca="1">_xlfn.NORM.S.INV(RAND())</f>
        <v>0.16888160159897492</v>
      </c>
      <c r="D2092" s="5">
        <f ca="1">S0*EXP((μ-0.5*σ*σ)*T+σ*SQRT(T)*$C2092)</f>
        <v>0.67566207151635671</v>
      </c>
      <c r="E2092" s="5">
        <f ca="1">MAX(0,CP*(D2092-K))</f>
        <v>0</v>
      </c>
      <c r="F2092" s="4">
        <f ca="1">(CP*(D2092-K)&gt;0)*1</f>
        <v>0</v>
      </c>
      <c r="H2092" s="4">
        <v>2077</v>
      </c>
      <c r="I2092" s="3">
        <v>0.66757140875345267</v>
      </c>
      <c r="J2092" s="128">
        <v>1.2523032222672443E-3</v>
      </c>
      <c r="K2092" s="128"/>
      <c r="L2092" s="128">
        <v>3.6799999999999999E-2</v>
      </c>
      <c r="O2092" s="2"/>
    </row>
    <row r="2093" spans="2:15" x14ac:dyDescent="0.2">
      <c r="B2093" s="1">
        <v>2078</v>
      </c>
      <c r="C2093" s="5">
        <f ca="1">_xlfn.NORM.S.INV(RAND())</f>
        <v>0.16303147133746304</v>
      </c>
      <c r="D2093" s="5">
        <f ca="1">S0*EXP((μ-0.5*σ*σ)*T+σ*SQRT(T)*$C2093)</f>
        <v>0.67527249608183904</v>
      </c>
      <c r="E2093" s="5">
        <f ca="1">MAX(0,CP*(D2093-K))</f>
        <v>0</v>
      </c>
      <c r="F2093" s="4">
        <f ca="1">(CP*(D2093-K)&gt;0)*1</f>
        <v>0</v>
      </c>
      <c r="H2093" s="4">
        <v>2078</v>
      </c>
      <c r="I2093" s="3">
        <v>0.66771470610997574</v>
      </c>
      <c r="J2093" s="128">
        <v>1.1987923883847191E-3</v>
      </c>
      <c r="K2093" s="128"/>
      <c r="L2093" s="128">
        <v>3.9800000000000002E-2</v>
      </c>
      <c r="O2093" s="2"/>
    </row>
    <row r="2094" spans="2:15" x14ac:dyDescent="0.2">
      <c r="B2094" s="1">
        <v>2079</v>
      </c>
      <c r="C2094" s="5">
        <f ca="1">_xlfn.NORM.S.INV(RAND())</f>
        <v>0.15597729774197433</v>
      </c>
      <c r="D2094" s="5">
        <f ca="1">S0*EXP((μ-0.5*σ*σ)*T+σ*SQRT(T)*$C2094)</f>
        <v>0.67480303897522753</v>
      </c>
      <c r="E2094" s="5">
        <f ca="1">MAX(0,CP*(D2094-K))</f>
        <v>0</v>
      </c>
      <c r="F2094" s="4">
        <f ca="1">(CP*(D2094-K)&gt;0)*1</f>
        <v>0</v>
      </c>
      <c r="H2094" s="4">
        <v>2079</v>
      </c>
      <c r="I2094" s="3">
        <v>0.66783544526185434</v>
      </c>
      <c r="J2094" s="128">
        <v>1.4570955615004543E-3</v>
      </c>
      <c r="K2094" s="128"/>
      <c r="L2094" s="128">
        <v>4.0399999999999998E-2</v>
      </c>
      <c r="O2094" s="2"/>
    </row>
    <row r="2095" spans="2:15" x14ac:dyDescent="0.2">
      <c r="B2095" s="1">
        <v>2080</v>
      </c>
      <c r="C2095" s="5">
        <f ca="1">_xlfn.NORM.S.INV(RAND())</f>
        <v>-0.3894099422218682</v>
      </c>
      <c r="D2095" s="5">
        <f ca="1">S0*EXP((μ-0.5*σ*σ)*T+σ*SQRT(T)*$C2095)</f>
        <v>0.63947818392207367</v>
      </c>
      <c r="E2095" s="5">
        <f ca="1">MAX(0,CP*(D2095-K))</f>
        <v>0</v>
      </c>
      <c r="F2095" s="4">
        <f ca="1">(CP*(D2095-K)&gt;0)*1</f>
        <v>0</v>
      </c>
      <c r="H2095" s="4">
        <v>2080</v>
      </c>
      <c r="I2095" s="3">
        <v>0.66772996045105648</v>
      </c>
      <c r="J2095" s="128">
        <v>1.2701454995778072E-3</v>
      </c>
      <c r="K2095" s="128"/>
      <c r="L2095" s="128">
        <v>3.9199999999999999E-2</v>
      </c>
      <c r="O2095" s="2"/>
    </row>
    <row r="2096" spans="2:15" x14ac:dyDescent="0.2">
      <c r="B2096" s="1">
        <v>2081</v>
      </c>
      <c r="C2096" s="5">
        <f ca="1">_xlfn.NORM.S.INV(RAND())</f>
        <v>0.73991159406083873</v>
      </c>
      <c r="D2096" s="5">
        <f ca="1">S0*EXP((μ-0.5*σ*σ)*T+σ*SQRT(T)*$C2096)</f>
        <v>0.71479047582986044</v>
      </c>
      <c r="E2096" s="5">
        <f ca="1">MAX(0,CP*(D2096-K))</f>
        <v>0</v>
      </c>
      <c r="F2096" s="4">
        <f ca="1">(CP*(D2096-K)&gt;0)*1</f>
        <v>0</v>
      </c>
      <c r="H2096" s="4">
        <v>2081</v>
      </c>
      <c r="I2096" s="3">
        <v>0.66751565299413174</v>
      </c>
      <c r="J2096" s="128">
        <v>9.9483595838175732E-4</v>
      </c>
      <c r="K2096" s="128"/>
      <c r="L2096" s="128">
        <v>3.4799999999999998E-2</v>
      </c>
      <c r="O2096" s="2"/>
    </row>
    <row r="2097" spans="2:15" x14ac:dyDescent="0.2">
      <c r="B2097" s="1">
        <v>2082</v>
      </c>
      <c r="C2097" s="5">
        <f ca="1">_xlfn.NORM.S.INV(RAND())</f>
        <v>0.68189722769125294</v>
      </c>
      <c r="D2097" s="5">
        <f ca="1">S0*EXP((μ-0.5*σ*σ)*T+σ*SQRT(T)*$C2097)</f>
        <v>0.71071390820091629</v>
      </c>
      <c r="E2097" s="5">
        <f ca="1">MAX(0,CP*(D2097-K))</f>
        <v>0</v>
      </c>
      <c r="F2097" s="4">
        <f ca="1">(CP*(D2097-K)&gt;0)*1</f>
        <v>0</v>
      </c>
      <c r="H2097" s="4">
        <v>2082</v>
      </c>
      <c r="I2097" s="3">
        <v>0.66786052726741973</v>
      </c>
      <c r="J2097" s="128">
        <v>1.4529821157366434E-3</v>
      </c>
      <c r="K2097" s="128"/>
      <c r="L2097" s="128">
        <v>4.4999999999999998E-2</v>
      </c>
      <c r="O2097" s="2"/>
    </row>
    <row r="2098" spans="2:15" x14ac:dyDescent="0.2">
      <c r="B2098" s="1">
        <v>2083</v>
      </c>
      <c r="C2098" s="5">
        <f ca="1">_xlfn.NORM.S.INV(RAND())</f>
        <v>0.13125426144577548</v>
      </c>
      <c r="D2098" s="5">
        <f ca="1">S0*EXP((μ-0.5*σ*σ)*T+σ*SQRT(T)*$C2098)</f>
        <v>0.67316028928646143</v>
      </c>
      <c r="E2098" s="5">
        <f ca="1">MAX(0,CP*(D2098-K))</f>
        <v>0</v>
      </c>
      <c r="F2098" s="4">
        <f ca="1">(CP*(D2098-K)&gt;0)*1</f>
        <v>0</v>
      </c>
      <c r="H2098" s="4">
        <v>2083</v>
      </c>
      <c r="I2098" s="3">
        <v>0.66759981172318261</v>
      </c>
      <c r="J2098" s="128">
        <v>1.1044251608592702E-3</v>
      </c>
      <c r="K2098" s="128"/>
      <c r="L2098" s="128">
        <v>3.7199999999999997E-2</v>
      </c>
      <c r="O2098" s="2"/>
    </row>
    <row r="2099" spans="2:15" x14ac:dyDescent="0.2">
      <c r="B2099" s="1">
        <v>2084</v>
      </c>
      <c r="C2099" s="5">
        <f ca="1">_xlfn.NORM.S.INV(RAND())</f>
        <v>-1.644852055427696</v>
      </c>
      <c r="D2099" s="5">
        <f ca="1">S0*EXP((μ-0.5*σ*σ)*T+σ*SQRT(T)*$C2099)</f>
        <v>0.56503159210525256</v>
      </c>
      <c r="E2099" s="5">
        <f ca="1">MAX(0,CP*(D2099-K))</f>
        <v>0</v>
      </c>
      <c r="F2099" s="4">
        <f ca="1">(CP*(D2099-K)&gt;0)*1</f>
        <v>0</v>
      </c>
      <c r="H2099" s="4">
        <v>2084</v>
      </c>
      <c r="I2099" s="3">
        <v>0.66793549676198716</v>
      </c>
      <c r="J2099" s="128">
        <v>1.7528184693494935E-3</v>
      </c>
      <c r="K2099" s="128"/>
      <c r="L2099" s="128">
        <v>4.9200000000000001E-2</v>
      </c>
      <c r="O2099" s="2"/>
    </row>
    <row r="2100" spans="2:15" x14ac:dyDescent="0.2">
      <c r="B2100" s="1">
        <v>2085</v>
      </c>
      <c r="C2100" s="5">
        <f ca="1">_xlfn.NORM.S.INV(RAND())</f>
        <v>2.2255166263811983</v>
      </c>
      <c r="D2100" s="5">
        <f ca="1">S0*EXP((μ-0.5*σ*σ)*T+σ*SQRT(T)*$C2100)</f>
        <v>0.82753508084712779</v>
      </c>
      <c r="E2100" s="5">
        <f ca="1">MAX(0,CP*(D2100-K))</f>
        <v>3.9335080847127779E-2</v>
      </c>
      <c r="F2100" s="4">
        <f ca="1">(CP*(D2100-K)&gt;0)*1</f>
        <v>1</v>
      </c>
      <c r="H2100" s="4">
        <v>2085</v>
      </c>
      <c r="I2100" s="3">
        <v>0.66756961794078706</v>
      </c>
      <c r="J2100" s="128">
        <v>1.2003507586589154E-3</v>
      </c>
      <c r="K2100" s="128"/>
      <c r="L2100" s="128">
        <v>3.7199999999999997E-2</v>
      </c>
      <c r="O2100" s="2"/>
    </row>
    <row r="2101" spans="2:15" x14ac:dyDescent="0.2">
      <c r="B2101" s="1">
        <v>2086</v>
      </c>
      <c r="C2101" s="5">
        <f ca="1">_xlfn.NORM.S.INV(RAND())</f>
        <v>1.5227845111059821</v>
      </c>
      <c r="D2101" s="5">
        <f ca="1">S0*EXP((μ-0.5*σ*σ)*T+σ*SQRT(T)*$C2101)</f>
        <v>0.77214389023634344</v>
      </c>
      <c r="E2101" s="5">
        <f ca="1">MAX(0,CP*(D2101-K))</f>
        <v>0</v>
      </c>
      <c r="F2101" s="4">
        <f ca="1">(CP*(D2101-K)&gt;0)*1</f>
        <v>0</v>
      </c>
      <c r="H2101" s="4">
        <v>2086</v>
      </c>
      <c r="I2101" s="3">
        <v>0.66778429517789994</v>
      </c>
      <c r="J2101" s="128">
        <v>1.3315277397322658E-3</v>
      </c>
      <c r="K2101" s="128"/>
      <c r="L2101" s="128">
        <v>4.0800000000000003E-2</v>
      </c>
      <c r="O2101" s="2"/>
    </row>
    <row r="2102" spans="2:15" x14ac:dyDescent="0.2">
      <c r="B2102" s="1">
        <v>2087</v>
      </c>
      <c r="C2102" s="5">
        <f ca="1">_xlfn.NORM.S.INV(RAND())</f>
        <v>-7.9131103222611826E-2</v>
      </c>
      <c r="D2102" s="5">
        <f ca="1">S0*EXP((μ-0.5*σ*σ)*T+σ*SQRT(T)*$C2102)</f>
        <v>0.65934183107430178</v>
      </c>
      <c r="E2102" s="5">
        <f ca="1">MAX(0,CP*(D2102-K))</f>
        <v>0</v>
      </c>
      <c r="F2102" s="4">
        <f ca="1">(CP*(D2102-K)&gt;0)*1</f>
        <v>0</v>
      </c>
      <c r="H2102" s="4">
        <v>2087</v>
      </c>
      <c r="I2102" s="3">
        <v>0.66762688581442886</v>
      </c>
      <c r="J2102" s="128">
        <v>1.07941201321379E-3</v>
      </c>
      <c r="K2102" s="128"/>
      <c r="L2102" s="128">
        <v>3.9800000000000002E-2</v>
      </c>
      <c r="O2102" s="2"/>
    </row>
    <row r="2103" spans="2:15" x14ac:dyDescent="0.2">
      <c r="B2103" s="1">
        <v>2088</v>
      </c>
      <c r="C2103" s="5">
        <f ca="1">_xlfn.NORM.S.INV(RAND())</f>
        <v>-0.36324846595995863</v>
      </c>
      <c r="D2103" s="5">
        <f ca="1">S0*EXP((μ-0.5*σ*σ)*T+σ*SQRT(T)*$C2103)</f>
        <v>0.64112965086803997</v>
      </c>
      <c r="E2103" s="5">
        <f ca="1">MAX(0,CP*(D2103-K))</f>
        <v>0</v>
      </c>
      <c r="F2103" s="4">
        <f ca="1">(CP*(D2103-K)&gt;0)*1</f>
        <v>0</v>
      </c>
      <c r="H2103" s="4">
        <v>2088</v>
      </c>
      <c r="I2103" s="3">
        <v>0.66771335738997928</v>
      </c>
      <c r="J2103" s="128">
        <v>1.4142832624943705E-3</v>
      </c>
      <c r="K2103" s="128"/>
      <c r="L2103" s="128">
        <v>4.0399999999999998E-2</v>
      </c>
      <c r="O2103" s="2"/>
    </row>
    <row r="2104" spans="2:15" x14ac:dyDescent="0.2">
      <c r="B2104" s="1">
        <v>2089</v>
      </c>
      <c r="C2104" s="5">
        <f ca="1">_xlfn.NORM.S.INV(RAND())</f>
        <v>0.89452120523348644</v>
      </c>
      <c r="D2104" s="5">
        <f ca="1">S0*EXP((μ-0.5*σ*σ)*T+σ*SQRT(T)*$C2104)</f>
        <v>0.7257691792208204</v>
      </c>
      <c r="E2104" s="5">
        <f ca="1">MAX(0,CP*(D2104-K))</f>
        <v>0</v>
      </c>
      <c r="F2104" s="4">
        <f ca="1">(CP*(D2104-K)&gt;0)*1</f>
        <v>0</v>
      </c>
      <c r="H2104" s="4">
        <v>2089</v>
      </c>
      <c r="I2104" s="3">
        <v>0.66771345196716358</v>
      </c>
      <c r="J2104" s="128">
        <v>1.3315201535034796E-3</v>
      </c>
      <c r="K2104" s="128"/>
      <c r="L2104" s="128">
        <v>4.0599999999999997E-2</v>
      </c>
      <c r="O2104" s="2"/>
    </row>
    <row r="2105" spans="2:15" x14ac:dyDescent="0.2">
      <c r="B2105" s="1">
        <v>2090</v>
      </c>
      <c r="C2105" s="5">
        <f ca="1">_xlfn.NORM.S.INV(RAND())</f>
        <v>-0.54068979479674972</v>
      </c>
      <c r="D2105" s="5">
        <f ca="1">S0*EXP((μ-0.5*σ*σ)*T+σ*SQRT(T)*$C2105)</f>
        <v>0.63001158510686361</v>
      </c>
      <c r="E2105" s="5">
        <f ca="1">MAX(0,CP*(D2105-K))</f>
        <v>0</v>
      </c>
      <c r="F2105" s="4">
        <f ca="1">(CP*(D2105-K)&gt;0)*1</f>
        <v>0</v>
      </c>
      <c r="H2105" s="4">
        <v>2090</v>
      </c>
      <c r="I2105" s="3">
        <v>0.66777514520314085</v>
      </c>
      <c r="J2105" s="128">
        <v>1.4248197593040523E-3</v>
      </c>
      <c r="K2105" s="128"/>
      <c r="L2105" s="128">
        <v>4.0800000000000003E-2</v>
      </c>
      <c r="O2105" s="2"/>
    </row>
    <row r="2106" spans="2:15" x14ac:dyDescent="0.2">
      <c r="B2106" s="1">
        <v>2091</v>
      </c>
      <c r="C2106" s="5">
        <f ca="1">_xlfn.NORM.S.INV(RAND())</f>
        <v>-1.6980191937352516</v>
      </c>
      <c r="D2106" s="5">
        <f ca="1">S0*EXP((μ-0.5*σ*σ)*T+σ*SQRT(T)*$C2106)</f>
        <v>0.56207766324553032</v>
      </c>
      <c r="E2106" s="5">
        <f ca="1">MAX(0,CP*(D2106-K))</f>
        <v>0</v>
      </c>
      <c r="F2106" s="4">
        <f ca="1">(CP*(D2106-K)&gt;0)*1</f>
        <v>0</v>
      </c>
      <c r="H2106" s="4">
        <v>2091</v>
      </c>
      <c r="I2106" s="3">
        <v>0.66782966926491194</v>
      </c>
      <c r="J2106" s="128">
        <v>1.4262148071206146E-3</v>
      </c>
      <c r="K2106" s="128"/>
      <c r="L2106" s="128">
        <v>4.24E-2</v>
      </c>
      <c r="O2106" s="2"/>
    </row>
    <row r="2107" spans="2:15" x14ac:dyDescent="0.2">
      <c r="B2107" s="1">
        <v>2092</v>
      </c>
      <c r="C2107" s="5">
        <f ca="1">_xlfn.NORM.S.INV(RAND())</f>
        <v>-0.56551201752841929</v>
      </c>
      <c r="D2107" s="5">
        <f ca="1">S0*EXP((μ-0.5*σ*σ)*T+σ*SQRT(T)*$C2107)</f>
        <v>0.62847173077629725</v>
      </c>
      <c r="E2107" s="5">
        <f ca="1">MAX(0,CP*(D2107-K))</f>
        <v>0</v>
      </c>
      <c r="F2107" s="4">
        <f ca="1">(CP*(D2107-K)&gt;0)*1</f>
        <v>0</v>
      </c>
      <c r="H2107" s="4">
        <v>2092</v>
      </c>
      <c r="I2107" s="3">
        <v>0.66779552609618809</v>
      </c>
      <c r="J2107" s="128">
        <v>1.3269260498130812E-3</v>
      </c>
      <c r="K2107" s="128"/>
      <c r="L2107" s="128">
        <v>4.0800000000000003E-2</v>
      </c>
      <c r="O2107" s="2"/>
    </row>
    <row r="2108" spans="2:15" x14ac:dyDescent="0.2">
      <c r="B2108" s="1">
        <v>2093</v>
      </c>
      <c r="C2108" s="5">
        <f ca="1">_xlfn.NORM.S.INV(RAND())</f>
        <v>-1.3214802930231595</v>
      </c>
      <c r="D2108" s="5">
        <f ca="1">S0*EXP((μ-0.5*σ*σ)*T+σ*SQRT(T)*$C2108)</f>
        <v>0.58333524107334622</v>
      </c>
      <c r="E2108" s="5">
        <f ca="1">MAX(0,CP*(D2108-K))</f>
        <v>0</v>
      </c>
      <c r="F2108" s="4">
        <f ca="1">(CP*(D2108-K)&gt;0)*1</f>
        <v>0</v>
      </c>
      <c r="H2108" s="4">
        <v>2093</v>
      </c>
      <c r="I2108" s="3">
        <v>0.66771129087168679</v>
      </c>
      <c r="J2108" s="128">
        <v>1.4015322559429362E-3</v>
      </c>
      <c r="K2108" s="128"/>
      <c r="L2108" s="128">
        <v>4.3799999999999999E-2</v>
      </c>
      <c r="O2108" s="2"/>
    </row>
    <row r="2109" spans="2:15" x14ac:dyDescent="0.2">
      <c r="B2109" s="1">
        <v>2094</v>
      </c>
      <c r="C2109" s="5">
        <f ca="1">_xlfn.NORM.S.INV(RAND())</f>
        <v>-0.70533726855556456</v>
      </c>
      <c r="D2109" s="5">
        <f ca="1">S0*EXP((μ-0.5*σ*σ)*T+σ*SQRT(T)*$C2109)</f>
        <v>0.61986767660958497</v>
      </c>
      <c r="E2109" s="5">
        <f ca="1">MAX(0,CP*(D2109-K))</f>
        <v>0</v>
      </c>
      <c r="F2109" s="4">
        <f ca="1">(CP*(D2109-K)&gt;0)*1</f>
        <v>0</v>
      </c>
      <c r="H2109" s="4">
        <v>2094</v>
      </c>
      <c r="I2109" s="3">
        <v>0.66774265412959322</v>
      </c>
      <c r="J2109" s="128">
        <v>1.2630360424886243E-3</v>
      </c>
      <c r="K2109" s="128"/>
      <c r="L2109" s="128">
        <v>4.1599999999999998E-2</v>
      </c>
      <c r="O2109" s="2"/>
    </row>
    <row r="2110" spans="2:15" x14ac:dyDescent="0.2">
      <c r="B2110" s="1">
        <v>2095</v>
      </c>
      <c r="C2110" s="5">
        <f ca="1">_xlfn.NORM.S.INV(RAND())</f>
        <v>-1.5199861702283872</v>
      </c>
      <c r="D2110" s="5">
        <f ca="1">S0*EXP((μ-0.5*σ*σ)*T+σ*SQRT(T)*$C2110)</f>
        <v>0.57203023964393496</v>
      </c>
      <c r="E2110" s="5">
        <f ca="1">MAX(0,CP*(D2110-K))</f>
        <v>0</v>
      </c>
      <c r="F2110" s="4">
        <f ca="1">(CP*(D2110-K)&gt;0)*1</f>
        <v>0</v>
      </c>
      <c r="H2110" s="4">
        <v>2095</v>
      </c>
      <c r="I2110" s="3">
        <v>0.66776377213527693</v>
      </c>
      <c r="J2110" s="128">
        <v>1.4241656873950446E-3</v>
      </c>
      <c r="K2110" s="128"/>
      <c r="L2110" s="128">
        <v>4.2999999999999997E-2</v>
      </c>
      <c r="O2110" s="2"/>
    </row>
    <row r="2111" spans="2:15" x14ac:dyDescent="0.2">
      <c r="B2111" s="1">
        <v>2096</v>
      </c>
      <c r="C2111" s="5">
        <f ca="1">_xlfn.NORM.S.INV(RAND())</f>
        <v>0.46332113091919036</v>
      </c>
      <c r="D2111" s="5">
        <f ca="1">S0*EXP((μ-0.5*σ*σ)*T+σ*SQRT(T)*$C2111)</f>
        <v>0.69556266297167724</v>
      </c>
      <c r="E2111" s="5">
        <f ca="1">MAX(0,CP*(D2111-K))</f>
        <v>0</v>
      </c>
      <c r="F2111" s="4">
        <f ca="1">(CP*(D2111-K)&gt;0)*1</f>
        <v>0</v>
      </c>
      <c r="H2111" s="4">
        <v>2096</v>
      </c>
      <c r="I2111" s="3">
        <v>0.66779450985624034</v>
      </c>
      <c r="J2111" s="128">
        <v>1.523433819606913E-3</v>
      </c>
      <c r="K2111" s="128"/>
      <c r="L2111" s="128">
        <v>4.36E-2</v>
      </c>
      <c r="O2111" s="2"/>
    </row>
    <row r="2112" spans="2:15" x14ac:dyDescent="0.2">
      <c r="B2112" s="1">
        <v>2097</v>
      </c>
      <c r="C2112" s="5">
        <f ca="1">_xlfn.NORM.S.INV(RAND())</f>
        <v>-1.2108082703033052</v>
      </c>
      <c r="D2112" s="5">
        <f ca="1">S0*EXP((μ-0.5*σ*σ)*T+σ*SQRT(T)*$C2112)</f>
        <v>0.58973478762977716</v>
      </c>
      <c r="E2112" s="5">
        <f ca="1">MAX(0,CP*(D2112-K))</f>
        <v>0</v>
      </c>
      <c r="F2112" s="4">
        <f ca="1">(CP*(D2112-K)&gt;0)*1</f>
        <v>0</v>
      </c>
      <c r="H2112" s="4">
        <v>2097</v>
      </c>
      <c r="I2112" s="3">
        <v>0.66775789526373763</v>
      </c>
      <c r="J2112" s="128">
        <v>1.3699332860925952E-3</v>
      </c>
      <c r="K2112" s="128"/>
      <c r="L2112" s="128">
        <v>4.1799999999999997E-2</v>
      </c>
      <c r="O2112" s="2"/>
    </row>
    <row r="2113" spans="2:15" x14ac:dyDescent="0.2">
      <c r="B2113" s="1">
        <v>2098</v>
      </c>
      <c r="C2113" s="5">
        <f ca="1">_xlfn.NORM.S.INV(RAND())</f>
        <v>0.80651939856497257</v>
      </c>
      <c r="D2113" s="5">
        <f ca="1">S0*EXP((μ-0.5*σ*σ)*T+σ*SQRT(T)*$C2113)</f>
        <v>0.7194997320118689</v>
      </c>
      <c r="E2113" s="5">
        <f ca="1">MAX(0,CP*(D2113-K))</f>
        <v>0</v>
      </c>
      <c r="F2113" s="4">
        <f ca="1">(CP*(D2113-K)&gt;0)*1</f>
        <v>0</v>
      </c>
      <c r="H2113" s="4">
        <v>2098</v>
      </c>
      <c r="I2113" s="3">
        <v>0.66764609015169007</v>
      </c>
      <c r="J2113" s="128">
        <v>1.3109176797443502E-3</v>
      </c>
      <c r="K2113" s="128"/>
      <c r="L2113" s="128">
        <v>4.1000000000000002E-2</v>
      </c>
      <c r="O2113" s="2"/>
    </row>
    <row r="2114" spans="2:15" x14ac:dyDescent="0.2">
      <c r="B2114" s="1">
        <v>2099</v>
      </c>
      <c r="C2114" s="5">
        <f ca="1">_xlfn.NORM.S.INV(RAND())</f>
        <v>0.27317276502460019</v>
      </c>
      <c r="D2114" s="5">
        <f ca="1">S0*EXP((μ-0.5*σ*σ)*T+σ*SQRT(T)*$C2114)</f>
        <v>0.68264493177641861</v>
      </c>
      <c r="E2114" s="5">
        <f ca="1">MAX(0,CP*(D2114-K))</f>
        <v>0</v>
      </c>
      <c r="F2114" s="4">
        <f ca="1">(CP*(D2114-K)&gt;0)*1</f>
        <v>0</v>
      </c>
      <c r="H2114" s="4">
        <v>2099</v>
      </c>
      <c r="I2114" s="3">
        <v>0.66770279135950628</v>
      </c>
      <c r="J2114" s="128">
        <v>1.1609218900228762E-3</v>
      </c>
      <c r="K2114" s="128"/>
      <c r="L2114" s="128">
        <v>3.7600000000000001E-2</v>
      </c>
      <c r="O2114" s="2"/>
    </row>
    <row r="2115" spans="2:15" x14ac:dyDescent="0.2">
      <c r="B2115" s="1">
        <v>2100</v>
      </c>
      <c r="C2115" s="5">
        <f ca="1">_xlfn.NORM.S.INV(RAND())</f>
        <v>-1.0640556327448669</v>
      </c>
      <c r="D2115" s="5">
        <f ca="1">S0*EXP((μ-0.5*σ*σ)*T+σ*SQRT(T)*$C2115)</f>
        <v>0.59832907459584217</v>
      </c>
      <c r="E2115" s="5">
        <f ca="1">MAX(0,CP*(D2115-K))</f>
        <v>0</v>
      </c>
      <c r="F2115" s="4">
        <f ca="1">(CP*(D2115-K)&gt;0)*1</f>
        <v>0</v>
      </c>
      <c r="H2115" s="4">
        <v>2100</v>
      </c>
      <c r="I2115" s="3">
        <v>0.66774067197061571</v>
      </c>
      <c r="J2115" s="128">
        <v>1.3076913579960331E-3</v>
      </c>
      <c r="K2115" s="128"/>
      <c r="L2115" s="128">
        <v>3.8800000000000001E-2</v>
      </c>
      <c r="O2115" s="2"/>
    </row>
    <row r="2116" spans="2:15" x14ac:dyDescent="0.2">
      <c r="B2116" s="1">
        <v>2101</v>
      </c>
      <c r="C2116" s="5">
        <f ca="1">_xlfn.NORM.S.INV(RAND())</f>
        <v>-2.123685094700086</v>
      </c>
      <c r="D2116" s="5">
        <f ca="1">S0*EXP((μ-0.5*σ*σ)*T+σ*SQRT(T)*$C2116)</f>
        <v>0.53897797482603016</v>
      </c>
      <c r="E2116" s="5">
        <f ca="1">MAX(0,CP*(D2116-K))</f>
        <v>0</v>
      </c>
      <c r="F2116" s="4">
        <f ca="1">(CP*(D2116-K)&gt;0)*1</f>
        <v>0</v>
      </c>
      <c r="H2116" s="4">
        <v>2101</v>
      </c>
      <c r="I2116" s="3">
        <v>0.66766271034375935</v>
      </c>
      <c r="J2116" s="128">
        <v>1.314625947345894E-3</v>
      </c>
      <c r="K2116" s="128"/>
      <c r="L2116" s="128">
        <v>3.9E-2</v>
      </c>
      <c r="O2116" s="2"/>
    </row>
    <row r="2117" spans="2:15" x14ac:dyDescent="0.2">
      <c r="B2117" s="1">
        <v>2102</v>
      </c>
      <c r="C2117" s="5">
        <f ca="1">_xlfn.NORM.S.INV(RAND())</f>
        <v>0.72298858165244329</v>
      </c>
      <c r="D2117" s="5">
        <f ca="1">S0*EXP((μ-0.5*σ*σ)*T+σ*SQRT(T)*$C2117)</f>
        <v>0.71359891583704504</v>
      </c>
      <c r="E2117" s="5">
        <f ca="1">MAX(0,CP*(D2117-K))</f>
        <v>0</v>
      </c>
      <c r="F2117" s="4">
        <f ca="1">(CP*(D2117-K)&gt;0)*1</f>
        <v>0</v>
      </c>
      <c r="H2117" s="4">
        <v>2102</v>
      </c>
      <c r="I2117" s="3">
        <v>0.66790182225106387</v>
      </c>
      <c r="J2117" s="128">
        <v>1.4567807185006136E-3</v>
      </c>
      <c r="K2117" s="128"/>
      <c r="L2117" s="128">
        <v>4.7399999999999998E-2</v>
      </c>
      <c r="O2117" s="2"/>
    </row>
    <row r="2118" spans="2:15" x14ac:dyDescent="0.2">
      <c r="B2118" s="1">
        <v>2103</v>
      </c>
      <c r="C2118" s="5">
        <f ca="1">_xlfn.NORM.S.INV(RAND())</f>
        <v>-1.7117101621549455</v>
      </c>
      <c r="D2118" s="5">
        <f ca="1">S0*EXP((μ-0.5*σ*σ)*T+σ*SQRT(T)*$C2118)</f>
        <v>0.5613195062388967</v>
      </c>
      <c r="E2118" s="5">
        <f ca="1">MAX(0,CP*(D2118-K))</f>
        <v>0</v>
      </c>
      <c r="F2118" s="4">
        <f ca="1">(CP*(D2118-K)&gt;0)*1</f>
        <v>0</v>
      </c>
      <c r="H2118" s="4">
        <v>2103</v>
      </c>
      <c r="I2118" s="3">
        <v>0.66760441976455098</v>
      </c>
      <c r="J2118" s="128">
        <v>1.2358008158516933E-3</v>
      </c>
      <c r="K2118" s="128"/>
      <c r="L2118" s="128">
        <v>3.78E-2</v>
      </c>
      <c r="O2118" s="2"/>
    </row>
    <row r="2119" spans="2:15" x14ac:dyDescent="0.2">
      <c r="B2119" s="1">
        <v>2104</v>
      </c>
      <c r="C2119" s="5">
        <f ca="1">_xlfn.NORM.S.INV(RAND())</f>
        <v>-1.3392683754827186</v>
      </c>
      <c r="D2119" s="5">
        <f ca="1">S0*EXP((μ-0.5*σ*σ)*T+σ*SQRT(T)*$C2119)</f>
        <v>0.58231315300772479</v>
      </c>
      <c r="E2119" s="5">
        <f ca="1">MAX(0,CP*(D2119-K))</f>
        <v>0</v>
      </c>
      <c r="F2119" s="4">
        <f ca="1">(CP*(D2119-K)&gt;0)*1</f>
        <v>0</v>
      </c>
      <c r="H2119" s="4">
        <v>2104</v>
      </c>
      <c r="I2119" s="3">
        <v>0.6675917501208245</v>
      </c>
      <c r="J2119" s="128">
        <v>1.185740485062287E-3</v>
      </c>
      <c r="K2119" s="128"/>
      <c r="L2119" s="128">
        <v>3.5999999999999997E-2</v>
      </c>
      <c r="O2119" s="2"/>
    </row>
    <row r="2120" spans="2:15" x14ac:dyDescent="0.2">
      <c r="B2120" s="1">
        <v>2105</v>
      </c>
      <c r="C2120" s="5">
        <f ca="1">_xlfn.NORM.S.INV(RAND())</f>
        <v>-0.14709588793378855</v>
      </c>
      <c r="D2120" s="5">
        <f ca="1">S0*EXP((μ-0.5*σ*σ)*T+σ*SQRT(T)*$C2120)</f>
        <v>0.65493869488459233</v>
      </c>
      <c r="E2120" s="5">
        <f ca="1">MAX(0,CP*(D2120-K))</f>
        <v>0</v>
      </c>
      <c r="F2120" s="4">
        <f ca="1">(CP*(D2120-K)&gt;0)*1</f>
        <v>0</v>
      </c>
      <c r="H2120" s="4">
        <v>2105</v>
      </c>
      <c r="I2120" s="3">
        <v>0.66759156191240776</v>
      </c>
      <c r="J2120" s="128">
        <v>1.1738364899490142E-3</v>
      </c>
      <c r="K2120" s="128"/>
      <c r="L2120" s="128">
        <v>3.6400000000000002E-2</v>
      </c>
      <c r="O2120" s="2"/>
    </row>
    <row r="2121" spans="2:15" x14ac:dyDescent="0.2">
      <c r="B2121" s="1">
        <v>2106</v>
      </c>
      <c r="C2121" s="5">
        <f ca="1">_xlfn.NORM.S.INV(RAND())</f>
        <v>-7.3805398561038335E-2</v>
      </c>
      <c r="D2121" s="5">
        <f ca="1">S0*EXP((μ-0.5*σ*σ)*T+σ*SQRT(T)*$C2121)</f>
        <v>0.65968810791531329</v>
      </c>
      <c r="E2121" s="5">
        <f ca="1">MAX(0,CP*(D2121-K))</f>
        <v>0</v>
      </c>
      <c r="F2121" s="4">
        <f ca="1">(CP*(D2121-K)&gt;0)*1</f>
        <v>0</v>
      </c>
      <c r="H2121" s="4">
        <v>2106</v>
      </c>
      <c r="I2121" s="3">
        <v>0.6676569070852032</v>
      </c>
      <c r="J2121" s="128">
        <v>1.2460498962538853E-3</v>
      </c>
      <c r="K2121" s="128"/>
      <c r="L2121" s="128">
        <v>4.02E-2</v>
      </c>
      <c r="O2121" s="2"/>
    </row>
    <row r="2122" spans="2:15" x14ac:dyDescent="0.2">
      <c r="B2122" s="1">
        <v>2107</v>
      </c>
      <c r="C2122" s="5">
        <f ca="1">_xlfn.NORM.S.INV(RAND())</f>
        <v>-0.63367375210108112</v>
      </c>
      <c r="D2122" s="5">
        <f ca="1">S0*EXP((μ-0.5*σ*σ)*T+σ*SQRT(T)*$C2122)</f>
        <v>0.6242626262317944</v>
      </c>
      <c r="E2122" s="5">
        <f ca="1">MAX(0,CP*(D2122-K))</f>
        <v>0</v>
      </c>
      <c r="F2122" s="4">
        <f ca="1">(CP*(D2122-K)&gt;0)*1</f>
        <v>0</v>
      </c>
      <c r="H2122" s="4">
        <v>2107</v>
      </c>
      <c r="I2122" s="3">
        <v>0.66776623824001069</v>
      </c>
      <c r="J2122" s="128">
        <v>1.4271330746811906E-3</v>
      </c>
      <c r="K2122" s="128"/>
      <c r="L2122" s="128">
        <v>4.1000000000000002E-2</v>
      </c>
      <c r="O2122" s="2"/>
    </row>
    <row r="2123" spans="2:15" x14ac:dyDescent="0.2">
      <c r="B2123" s="1">
        <v>2108</v>
      </c>
      <c r="C2123" s="5">
        <f ca="1">_xlfn.NORM.S.INV(RAND())</f>
        <v>0.4707550373886108</v>
      </c>
      <c r="D2123" s="5">
        <f ca="1">S0*EXP((μ-0.5*σ*σ)*T+σ*SQRT(T)*$C2123)</f>
        <v>0.69607262076066467</v>
      </c>
      <c r="E2123" s="5">
        <f ca="1">MAX(0,CP*(D2123-K))</f>
        <v>0</v>
      </c>
      <c r="F2123" s="4">
        <f ca="1">(CP*(D2123-K)&gt;0)*1</f>
        <v>0</v>
      </c>
      <c r="H2123" s="4">
        <v>2108</v>
      </c>
      <c r="I2123" s="3">
        <v>0.66772438689235125</v>
      </c>
      <c r="J2123" s="128">
        <v>1.3824839681016044E-3</v>
      </c>
      <c r="K2123" s="128"/>
      <c r="L2123" s="128">
        <v>4.24E-2</v>
      </c>
      <c r="O2123" s="2"/>
    </row>
    <row r="2124" spans="2:15" x14ac:dyDescent="0.2">
      <c r="B2124" s="1">
        <v>2109</v>
      </c>
      <c r="C2124" s="5">
        <f ca="1">_xlfn.NORM.S.INV(RAND())</f>
        <v>0.32536501549179636</v>
      </c>
      <c r="D2124" s="5">
        <f ca="1">S0*EXP((μ-0.5*σ*σ)*T+σ*SQRT(T)*$C2124)</f>
        <v>0.68616653501751135</v>
      </c>
      <c r="E2124" s="5">
        <f ca="1">MAX(0,CP*(D2124-K))</f>
        <v>0</v>
      </c>
      <c r="F2124" s="4">
        <f ca="1">(CP*(D2124-K)&gt;0)*1</f>
        <v>0</v>
      </c>
      <c r="H2124" s="4">
        <v>2109</v>
      </c>
      <c r="I2124" s="3">
        <v>0.66774845862858978</v>
      </c>
      <c r="J2124" s="128">
        <v>1.36742553900575E-3</v>
      </c>
      <c r="K2124" s="128"/>
      <c r="L2124" s="128">
        <v>0.04</v>
      </c>
      <c r="O2124" s="2"/>
    </row>
    <row r="2125" spans="2:15" x14ac:dyDescent="0.2">
      <c r="B2125" s="1">
        <v>2110</v>
      </c>
      <c r="C2125" s="5">
        <f ca="1">_xlfn.NORM.S.INV(RAND())</f>
        <v>-0.21237574981812246</v>
      </c>
      <c r="D2125" s="5">
        <f ca="1">S0*EXP((μ-0.5*σ*σ)*T+σ*SQRT(T)*$C2125)</f>
        <v>0.65073719035691102</v>
      </c>
      <c r="E2125" s="5">
        <f ca="1">MAX(0,CP*(D2125-K))</f>
        <v>0</v>
      </c>
      <c r="F2125" s="4">
        <f ca="1">(CP*(D2125-K)&gt;0)*1</f>
        <v>0</v>
      </c>
      <c r="H2125" s="4">
        <v>2110</v>
      </c>
      <c r="I2125" s="3">
        <v>0.66795513217493696</v>
      </c>
      <c r="J2125" s="128">
        <v>1.6482650770687428E-3</v>
      </c>
      <c r="K2125" s="128"/>
      <c r="L2125" s="128">
        <v>4.5400000000000003E-2</v>
      </c>
      <c r="O2125" s="2"/>
    </row>
    <row r="2126" spans="2:15" x14ac:dyDescent="0.2">
      <c r="B2126" s="1">
        <v>2111</v>
      </c>
      <c r="C2126" s="5">
        <f ca="1">_xlfn.NORM.S.INV(RAND())</f>
        <v>1.2966395354261273</v>
      </c>
      <c r="D2126" s="5">
        <f ca="1">S0*EXP((μ-0.5*σ*σ)*T+σ*SQRT(T)*$C2126)</f>
        <v>0.75511938156412406</v>
      </c>
      <c r="E2126" s="5">
        <f ca="1">MAX(0,CP*(D2126-K))</f>
        <v>0</v>
      </c>
      <c r="F2126" s="4">
        <f ca="1">(CP*(D2126-K)&gt;0)*1</f>
        <v>0</v>
      </c>
      <c r="H2126" s="4">
        <v>2111</v>
      </c>
      <c r="I2126" s="3">
        <v>0.66783856460291702</v>
      </c>
      <c r="J2126" s="128">
        <v>1.3487646186249806E-3</v>
      </c>
      <c r="K2126" s="128"/>
      <c r="L2126" s="128">
        <v>4.2200000000000001E-2</v>
      </c>
      <c r="O2126" s="2"/>
    </row>
    <row r="2127" spans="2:15" x14ac:dyDescent="0.2">
      <c r="B2127" s="1">
        <v>2112</v>
      </c>
      <c r="C2127" s="5">
        <f ca="1">_xlfn.NORM.S.INV(RAND())</f>
        <v>1.7326824802508287</v>
      </c>
      <c r="D2127" s="5">
        <f ca="1">S0*EXP((μ-0.5*σ*σ)*T+σ*SQRT(T)*$C2127)</f>
        <v>0.78828857019781717</v>
      </c>
      <c r="E2127" s="5">
        <f ca="1">MAX(0,CP*(D2127-K))</f>
        <v>8.8570197817161578E-5</v>
      </c>
      <c r="F2127" s="4">
        <f ca="1">(CP*(D2127-K)&gt;0)*1</f>
        <v>1</v>
      </c>
      <c r="H2127" s="4">
        <v>2112</v>
      </c>
      <c r="I2127" s="3">
        <v>0.66773941043612517</v>
      </c>
      <c r="J2127" s="128">
        <v>1.4380736774889452E-3</v>
      </c>
      <c r="K2127" s="128"/>
      <c r="L2127" s="128">
        <v>4.1399999999999999E-2</v>
      </c>
      <c r="O2127" s="2"/>
    </row>
    <row r="2128" spans="2:15" x14ac:dyDescent="0.2">
      <c r="B2128" s="1">
        <v>2113</v>
      </c>
      <c r="C2128" s="5">
        <f ca="1">_xlfn.NORM.S.INV(RAND())</f>
        <v>-0.33949998246911106</v>
      </c>
      <c r="D2128" s="5">
        <f ca="1">S0*EXP((μ-0.5*σ*σ)*T+σ*SQRT(T)*$C2128)</f>
        <v>0.64263248818953023</v>
      </c>
      <c r="E2128" s="5">
        <f ca="1">MAX(0,CP*(D2128-K))</f>
        <v>0</v>
      </c>
      <c r="F2128" s="4">
        <f ca="1">(CP*(D2128-K)&gt;0)*1</f>
        <v>0</v>
      </c>
      <c r="H2128" s="4">
        <v>2113</v>
      </c>
      <c r="I2128" s="3">
        <v>0.66771162232317249</v>
      </c>
      <c r="J2128" s="128">
        <v>1.4294942324949527E-3</v>
      </c>
      <c r="K2128" s="128"/>
      <c r="L2128" s="128">
        <v>4.1399999999999999E-2</v>
      </c>
      <c r="O2128" s="2"/>
    </row>
    <row r="2129" spans="2:15" x14ac:dyDescent="0.2">
      <c r="B2129" s="1">
        <v>2114</v>
      </c>
      <c r="C2129" s="5">
        <f ca="1">_xlfn.NORM.S.INV(RAND())</f>
        <v>-1.433717487751351</v>
      </c>
      <c r="D2129" s="5">
        <f ca="1">S0*EXP((μ-0.5*σ*σ)*T+σ*SQRT(T)*$C2129)</f>
        <v>0.57691611093824235</v>
      </c>
      <c r="E2129" s="5">
        <f ca="1">MAX(0,CP*(D2129-K))</f>
        <v>0</v>
      </c>
      <c r="F2129" s="4">
        <f ca="1">(CP*(D2129-K)&gt;0)*1</f>
        <v>0</v>
      </c>
      <c r="H2129" s="4">
        <v>2114</v>
      </c>
      <c r="I2129" s="3">
        <v>0.66795497339745358</v>
      </c>
      <c r="J2129" s="128">
        <v>1.5172330938093435E-3</v>
      </c>
      <c r="K2129" s="128"/>
      <c r="L2129" s="128">
        <v>4.82E-2</v>
      </c>
      <c r="O2129" s="2"/>
    </row>
    <row r="2130" spans="2:15" x14ac:dyDescent="0.2">
      <c r="B2130" s="1">
        <v>2115</v>
      </c>
      <c r="C2130" s="5">
        <f ca="1">_xlfn.NORM.S.INV(RAND())</f>
        <v>1.8211329704081376</v>
      </c>
      <c r="D2130" s="5">
        <f ca="1">S0*EXP((μ-0.5*σ*σ)*T+σ*SQRT(T)*$C2130)</f>
        <v>0.79519259142286003</v>
      </c>
      <c r="E2130" s="5">
        <f ca="1">MAX(0,CP*(D2130-K))</f>
        <v>6.9925914228600172E-3</v>
      </c>
      <c r="F2130" s="4">
        <f ca="1">(CP*(D2130-K)&gt;0)*1</f>
        <v>1</v>
      </c>
      <c r="H2130" s="4">
        <v>2115</v>
      </c>
      <c r="I2130" s="3">
        <v>0.66779570873283434</v>
      </c>
      <c r="J2130" s="128">
        <v>1.3878872924425925E-3</v>
      </c>
      <c r="K2130" s="128"/>
      <c r="L2130" s="128">
        <v>4.02E-2</v>
      </c>
      <c r="O2130" s="2"/>
    </row>
    <row r="2131" spans="2:15" x14ac:dyDescent="0.2">
      <c r="B2131" s="1">
        <v>2116</v>
      </c>
      <c r="C2131" s="5">
        <f ca="1">_xlfn.NORM.S.INV(RAND())</f>
        <v>1.0959531274289882</v>
      </c>
      <c r="D2131" s="5">
        <f ca="1">S0*EXP((μ-0.5*σ*σ)*T+σ*SQRT(T)*$C2131)</f>
        <v>0.74032604672986846</v>
      </c>
      <c r="E2131" s="5">
        <f ca="1">MAX(0,CP*(D2131-K))</f>
        <v>0</v>
      </c>
      <c r="F2131" s="4">
        <f ca="1">(CP*(D2131-K)&gt;0)*1</f>
        <v>0</v>
      </c>
      <c r="H2131" s="4">
        <v>2116</v>
      </c>
      <c r="I2131" s="3">
        <v>0.66772735285049689</v>
      </c>
      <c r="J2131" s="128">
        <v>1.3441244495919292E-3</v>
      </c>
      <c r="K2131" s="128"/>
      <c r="L2131" s="128">
        <v>4.0399999999999998E-2</v>
      </c>
      <c r="O2131" s="2"/>
    </row>
    <row r="2132" spans="2:15" x14ac:dyDescent="0.2">
      <c r="B2132" s="1">
        <v>2117</v>
      </c>
      <c r="C2132" s="5">
        <f ca="1">_xlfn.NORM.S.INV(RAND())</f>
        <v>1.6309689647054832</v>
      </c>
      <c r="D2132" s="5">
        <f ca="1">S0*EXP((μ-0.5*σ*σ)*T+σ*SQRT(T)*$C2132)</f>
        <v>0.78042336690748204</v>
      </c>
      <c r="E2132" s="5">
        <f ca="1">MAX(0,CP*(D2132-K))</f>
        <v>0</v>
      </c>
      <c r="F2132" s="4">
        <f ca="1">(CP*(D2132-K)&gt;0)*1</f>
        <v>0</v>
      </c>
      <c r="H2132" s="4">
        <v>2117</v>
      </c>
      <c r="I2132" s="3">
        <v>0.66764985410263811</v>
      </c>
      <c r="J2132" s="128">
        <v>1.3935340189770915E-3</v>
      </c>
      <c r="K2132" s="128"/>
      <c r="L2132" s="128">
        <v>3.9399999999999998E-2</v>
      </c>
      <c r="O2132" s="2"/>
    </row>
    <row r="2133" spans="2:15" x14ac:dyDescent="0.2">
      <c r="B2133" s="1">
        <v>2118</v>
      </c>
      <c r="C2133" s="5">
        <f ca="1">_xlfn.NORM.S.INV(RAND())</f>
        <v>-0.80117745936496476</v>
      </c>
      <c r="D2133" s="5">
        <f ca="1">S0*EXP((μ-0.5*σ*σ)*T+σ*SQRT(T)*$C2133)</f>
        <v>0.61403835187033617</v>
      </c>
      <c r="E2133" s="5">
        <f ca="1">MAX(0,CP*(D2133-K))</f>
        <v>0</v>
      </c>
      <c r="F2133" s="4">
        <f ca="1">(CP*(D2133-K)&gt;0)*1</f>
        <v>0</v>
      </c>
      <c r="H2133" s="4">
        <v>2118</v>
      </c>
      <c r="I2133" s="3">
        <v>0.66760317858952078</v>
      </c>
      <c r="J2133" s="128">
        <v>1.1341044012651319E-3</v>
      </c>
      <c r="K2133" s="128"/>
      <c r="L2133" s="128">
        <v>3.7400000000000003E-2</v>
      </c>
      <c r="O2133" s="2"/>
    </row>
    <row r="2134" spans="2:15" x14ac:dyDescent="0.2">
      <c r="B2134" s="1">
        <v>2119</v>
      </c>
      <c r="C2134" s="5">
        <f ca="1">_xlfn.NORM.S.INV(RAND())</f>
        <v>-1.9337569503417693</v>
      </c>
      <c r="D2134" s="5">
        <f ca="1">S0*EXP((μ-0.5*σ*σ)*T+σ*SQRT(T)*$C2134)</f>
        <v>0.54916516443390373</v>
      </c>
      <c r="E2134" s="5">
        <f ca="1">MAX(0,CP*(D2134-K))</f>
        <v>0</v>
      </c>
      <c r="F2134" s="4">
        <f ca="1">(CP*(D2134-K)&gt;0)*1</f>
        <v>0</v>
      </c>
      <c r="H2134" s="4">
        <v>2119</v>
      </c>
      <c r="I2134" s="3">
        <v>0.6677570968961587</v>
      </c>
      <c r="J2134" s="128">
        <v>1.4311439809502685E-3</v>
      </c>
      <c r="K2134" s="128"/>
      <c r="L2134" s="128">
        <v>4.0800000000000003E-2</v>
      </c>
      <c r="O2134" s="2"/>
    </row>
    <row r="2135" spans="2:15" x14ac:dyDescent="0.2">
      <c r="B2135" s="1">
        <v>2120</v>
      </c>
      <c r="C2135" s="5">
        <f ca="1">_xlfn.NORM.S.INV(RAND())</f>
        <v>-1.3092683106377179</v>
      </c>
      <c r="D2135" s="5">
        <f ca="1">S0*EXP((μ-0.5*σ*σ)*T+σ*SQRT(T)*$C2135)</f>
        <v>0.58403796956867948</v>
      </c>
      <c r="E2135" s="5">
        <f ca="1">MAX(0,CP*(D2135-K))</f>
        <v>0</v>
      </c>
      <c r="F2135" s="4">
        <f ca="1">(CP*(D2135-K)&gt;0)*1</f>
        <v>0</v>
      </c>
      <c r="H2135" s="4">
        <v>2120</v>
      </c>
      <c r="I2135" s="3">
        <v>0.66771752581431665</v>
      </c>
      <c r="J2135" s="128">
        <v>1.1872935148224293E-3</v>
      </c>
      <c r="K2135" s="128"/>
      <c r="L2135" s="128">
        <v>3.8600000000000002E-2</v>
      </c>
      <c r="O2135" s="2"/>
    </row>
    <row r="2136" spans="2:15" x14ac:dyDescent="0.2">
      <c r="B2136" s="1">
        <v>2121</v>
      </c>
      <c r="C2136" s="5">
        <f ca="1">_xlfn.NORM.S.INV(RAND())</f>
        <v>1.260675851516369</v>
      </c>
      <c r="D2136" s="5">
        <f ca="1">S0*EXP((μ-0.5*σ*σ)*T+σ*SQRT(T)*$C2136)</f>
        <v>0.75244679471590281</v>
      </c>
      <c r="E2136" s="5">
        <f ca="1">MAX(0,CP*(D2136-K))</f>
        <v>0</v>
      </c>
      <c r="F2136" s="4">
        <f ca="1">(CP*(D2136-K)&gt;0)*1</f>
        <v>0</v>
      </c>
      <c r="H2136" s="4">
        <v>2121</v>
      </c>
      <c r="I2136" s="3">
        <v>0.66767069983127136</v>
      </c>
      <c r="J2136" s="128">
        <v>1.2838118668316296E-3</v>
      </c>
      <c r="K2136" s="128"/>
      <c r="L2136" s="128">
        <v>3.9E-2</v>
      </c>
      <c r="O2136" s="2"/>
    </row>
    <row r="2137" spans="2:15" x14ac:dyDescent="0.2">
      <c r="B2137" s="1">
        <v>2122</v>
      </c>
      <c r="C2137" s="5">
        <f ca="1">_xlfn.NORM.S.INV(RAND())</f>
        <v>-1.1924997334607323</v>
      </c>
      <c r="D2137" s="5">
        <f ca="1">S0*EXP((μ-0.5*σ*σ)*T+σ*SQRT(T)*$C2137)</f>
        <v>0.59080021564890151</v>
      </c>
      <c r="E2137" s="5">
        <f ca="1">MAX(0,CP*(D2137-K))</f>
        <v>0</v>
      </c>
      <c r="F2137" s="4">
        <f ca="1">(CP*(D2137-K)&gt;0)*1</f>
        <v>0</v>
      </c>
      <c r="H2137" s="4">
        <v>2122</v>
      </c>
      <c r="I2137" s="3">
        <v>0.66769722383894914</v>
      </c>
      <c r="J2137" s="128">
        <v>1.2201347237439817E-3</v>
      </c>
      <c r="K2137" s="128"/>
      <c r="L2137" s="128">
        <v>3.8600000000000002E-2</v>
      </c>
      <c r="O2137" s="2"/>
    </row>
    <row r="2138" spans="2:15" x14ac:dyDescent="0.2">
      <c r="B2138" s="1">
        <v>2123</v>
      </c>
      <c r="C2138" s="5">
        <f ca="1">_xlfn.NORM.S.INV(RAND())</f>
        <v>-0.28433063107684342</v>
      </c>
      <c r="D2138" s="5">
        <f ca="1">S0*EXP((μ-0.5*σ*σ)*T+σ*SQRT(T)*$C2138)</f>
        <v>0.64613729332697278</v>
      </c>
      <c r="E2138" s="5">
        <f ca="1">MAX(0,CP*(D2138-K))</f>
        <v>0</v>
      </c>
      <c r="F2138" s="4">
        <f ca="1">(CP*(D2138-K)&gt;0)*1</f>
        <v>0</v>
      </c>
      <c r="H2138" s="4">
        <v>2123</v>
      </c>
      <c r="I2138" s="3">
        <v>0.66765288820849622</v>
      </c>
      <c r="J2138" s="128">
        <v>1.2547224506799009E-3</v>
      </c>
      <c r="K2138" s="128"/>
      <c r="L2138" s="128">
        <v>3.9199999999999999E-2</v>
      </c>
      <c r="O2138" s="2"/>
    </row>
    <row r="2139" spans="2:15" x14ac:dyDescent="0.2">
      <c r="B2139" s="1">
        <v>2124</v>
      </c>
      <c r="C2139" s="5">
        <f ca="1">_xlfn.NORM.S.INV(RAND())</f>
        <v>1.1782079144882334</v>
      </c>
      <c r="D2139" s="5">
        <f ca="1">S0*EXP((μ-0.5*σ*σ)*T+σ*SQRT(T)*$C2139)</f>
        <v>0.74635397439978013</v>
      </c>
      <c r="E2139" s="5">
        <f ca="1">MAX(0,CP*(D2139-K))</f>
        <v>0</v>
      </c>
      <c r="F2139" s="4">
        <f ca="1">(CP*(D2139-K)&gt;0)*1</f>
        <v>0</v>
      </c>
      <c r="H2139" s="4">
        <v>2124</v>
      </c>
      <c r="I2139" s="3">
        <v>0.6677143694360802</v>
      </c>
      <c r="J2139" s="128">
        <v>1.3850970148344792E-3</v>
      </c>
      <c r="K2139" s="128"/>
      <c r="L2139" s="128">
        <v>4.1000000000000002E-2</v>
      </c>
      <c r="O2139" s="2"/>
    </row>
    <row r="2140" spans="2:15" x14ac:dyDescent="0.2">
      <c r="B2140" s="1">
        <v>2125</v>
      </c>
      <c r="C2140" s="5">
        <f ca="1">_xlfn.NORM.S.INV(RAND())</f>
        <v>-0.18271663175022432</v>
      </c>
      <c r="D2140" s="5">
        <f ca="1">S0*EXP((μ-0.5*σ*σ)*T+σ*SQRT(T)*$C2140)</f>
        <v>0.65264274180278525</v>
      </c>
      <c r="E2140" s="5">
        <f ca="1">MAX(0,CP*(D2140-K))</f>
        <v>0</v>
      </c>
      <c r="F2140" s="4">
        <f ca="1">(CP*(D2140-K)&gt;0)*1</f>
        <v>0</v>
      </c>
      <c r="H2140" s="4">
        <v>2125</v>
      </c>
      <c r="I2140" s="3">
        <v>0.6677066228944698</v>
      </c>
      <c r="J2140" s="128">
        <v>1.353856828565954E-3</v>
      </c>
      <c r="K2140" s="128"/>
      <c r="L2140" s="128">
        <v>4.1399999999999999E-2</v>
      </c>
      <c r="O2140" s="2"/>
    </row>
    <row r="2141" spans="2:15" x14ac:dyDescent="0.2">
      <c r="B2141" s="1">
        <v>2126</v>
      </c>
      <c r="C2141" s="5">
        <f ca="1">_xlfn.NORM.S.INV(RAND())</f>
        <v>0.12095218145000794</v>
      </c>
      <c r="D2141" s="5">
        <f ca="1">S0*EXP((μ-0.5*σ*σ)*T+σ*SQRT(T)*$C2141)</f>
        <v>0.67247693708389744</v>
      </c>
      <c r="E2141" s="5">
        <f ca="1">MAX(0,CP*(D2141-K))</f>
        <v>0</v>
      </c>
      <c r="F2141" s="4">
        <f ca="1">(CP*(D2141-K)&gt;0)*1</f>
        <v>0</v>
      </c>
      <c r="H2141" s="4">
        <v>2126</v>
      </c>
      <c r="I2141" s="3">
        <v>0.66773371505412671</v>
      </c>
      <c r="J2141" s="128">
        <v>1.213415130929122E-3</v>
      </c>
      <c r="K2141" s="128"/>
      <c r="L2141" s="128">
        <v>3.8600000000000002E-2</v>
      </c>
      <c r="O2141" s="2"/>
    </row>
    <row r="2142" spans="2:15" x14ac:dyDescent="0.2">
      <c r="B2142" s="1">
        <v>2127</v>
      </c>
      <c r="C2142" s="5">
        <f ca="1">_xlfn.NORM.S.INV(RAND())</f>
        <v>-1.240031609919966</v>
      </c>
      <c r="D2142" s="5">
        <f ca="1">S0*EXP((μ-0.5*σ*σ)*T+σ*SQRT(T)*$C2142)</f>
        <v>0.58803817439785655</v>
      </c>
      <c r="E2142" s="5">
        <f ca="1">MAX(0,CP*(D2142-K))</f>
        <v>0</v>
      </c>
      <c r="F2142" s="4">
        <f ca="1">(CP*(D2142-K)&gt;0)*1</f>
        <v>0</v>
      </c>
      <c r="H2142" s="4">
        <v>2127</v>
      </c>
      <c r="I2142" s="3">
        <v>0.66757107941705318</v>
      </c>
      <c r="J2142" s="128">
        <v>1.1445392724902105E-3</v>
      </c>
      <c r="K2142" s="128"/>
      <c r="L2142" s="128">
        <v>3.6799999999999999E-2</v>
      </c>
      <c r="O2142" s="2"/>
    </row>
    <row r="2143" spans="2:15" x14ac:dyDescent="0.2">
      <c r="B2143" s="1">
        <v>2128</v>
      </c>
      <c r="C2143" s="5">
        <f ca="1">_xlfn.NORM.S.INV(RAND())</f>
        <v>2.6211072475091357</v>
      </c>
      <c r="D2143" s="5">
        <f ca="1">S0*EXP((μ-0.5*σ*σ)*T+σ*SQRT(T)*$C2143)</f>
        <v>0.86044679079053144</v>
      </c>
      <c r="E2143" s="5">
        <f ca="1">MAX(0,CP*(D2143-K))</f>
        <v>7.2246790790531423E-2</v>
      </c>
      <c r="F2143" s="4">
        <f ca="1">(CP*(D2143-K)&gt;0)*1</f>
        <v>1</v>
      </c>
      <c r="H2143" s="4">
        <v>2128</v>
      </c>
      <c r="I2143" s="3">
        <v>0.66775245011664952</v>
      </c>
      <c r="J2143" s="128">
        <v>1.3160920161945145E-3</v>
      </c>
      <c r="K2143" s="128"/>
      <c r="L2143" s="128">
        <v>4.1200000000000001E-2</v>
      </c>
      <c r="O2143" s="2"/>
    </row>
    <row r="2144" spans="2:15" x14ac:dyDescent="0.2">
      <c r="B2144" s="1">
        <v>2129</v>
      </c>
      <c r="C2144" s="5">
        <f ca="1">_xlfn.NORM.S.INV(RAND())</f>
        <v>-0.25416930958986689</v>
      </c>
      <c r="D2144" s="5">
        <f ca="1">S0*EXP((μ-0.5*σ*σ)*T+σ*SQRT(T)*$C2144)</f>
        <v>0.64806146026399314</v>
      </c>
      <c r="E2144" s="5">
        <f ca="1">MAX(0,CP*(D2144-K))</f>
        <v>0</v>
      </c>
      <c r="F2144" s="4">
        <f ca="1">(CP*(D2144-K)&gt;0)*1</f>
        <v>0</v>
      </c>
      <c r="H2144" s="4">
        <v>2129</v>
      </c>
      <c r="I2144" s="3">
        <v>0.6677479467177404</v>
      </c>
      <c r="J2144" s="128">
        <v>1.4874957076808915E-3</v>
      </c>
      <c r="K2144" s="128"/>
      <c r="L2144" s="128">
        <v>4.1200000000000001E-2</v>
      </c>
      <c r="O2144" s="2"/>
    </row>
    <row r="2145" spans="2:15" x14ac:dyDescent="0.2">
      <c r="B2145" s="1">
        <v>2130</v>
      </c>
      <c r="C2145" s="5">
        <f ca="1">_xlfn.NORM.S.INV(RAND())</f>
        <v>-0.77271570033473291</v>
      </c>
      <c r="D2145" s="5">
        <f ca="1">S0*EXP((μ-0.5*σ*σ)*T+σ*SQRT(T)*$C2145)</f>
        <v>0.61576374636121634</v>
      </c>
      <c r="E2145" s="5">
        <f ca="1">MAX(0,CP*(D2145-K))</f>
        <v>0</v>
      </c>
      <c r="F2145" s="4">
        <f ca="1">(CP*(D2145-K)&gt;0)*1</f>
        <v>0</v>
      </c>
      <c r="H2145" s="4">
        <v>2130</v>
      </c>
      <c r="I2145" s="3">
        <v>0.66778585717221772</v>
      </c>
      <c r="J2145" s="128">
        <v>1.4774338198595444E-3</v>
      </c>
      <c r="K2145" s="128"/>
      <c r="L2145" s="128">
        <v>4.4400000000000002E-2</v>
      </c>
      <c r="O2145" s="2"/>
    </row>
    <row r="2146" spans="2:15" x14ac:dyDescent="0.2">
      <c r="B2146" s="1">
        <v>2131</v>
      </c>
      <c r="C2146" s="5">
        <f ca="1">_xlfn.NORM.S.INV(RAND())</f>
        <v>-0.16065253968068893</v>
      </c>
      <c r="D2146" s="5">
        <f ca="1">S0*EXP((μ-0.5*σ*σ)*T+σ*SQRT(T)*$C2146)</f>
        <v>0.6540639435336445</v>
      </c>
      <c r="E2146" s="5">
        <f ca="1">MAX(0,CP*(D2146-K))</f>
        <v>0</v>
      </c>
      <c r="F2146" s="4">
        <f ca="1">(CP*(D2146-K)&gt;0)*1</f>
        <v>0</v>
      </c>
      <c r="H2146" s="4">
        <v>2131</v>
      </c>
      <c r="I2146" s="3">
        <v>0.66760987805958738</v>
      </c>
      <c r="J2146" s="128">
        <v>1.1596871316671418E-3</v>
      </c>
      <c r="K2146" s="128"/>
      <c r="L2146" s="128">
        <v>3.7600000000000001E-2</v>
      </c>
      <c r="O2146" s="2"/>
    </row>
    <row r="2147" spans="2:15" x14ac:dyDescent="0.2">
      <c r="B2147" s="1">
        <v>2132</v>
      </c>
      <c r="C2147" s="5">
        <f ca="1">_xlfn.NORM.S.INV(RAND())</f>
        <v>-0.40138325164126937</v>
      </c>
      <c r="D2147" s="5">
        <f ca="1">S0*EXP((μ-0.5*σ*σ)*T+σ*SQRT(T)*$C2147)</f>
        <v>0.63872377752918852</v>
      </c>
      <c r="E2147" s="5">
        <f ca="1">MAX(0,CP*(D2147-K))</f>
        <v>0</v>
      </c>
      <c r="F2147" s="4">
        <f ca="1">(CP*(D2147-K)&gt;0)*1</f>
        <v>0</v>
      </c>
      <c r="H2147" s="4">
        <v>2132</v>
      </c>
      <c r="I2147" s="3">
        <v>0.66768745858243794</v>
      </c>
      <c r="J2147" s="128">
        <v>1.2912602444767681E-3</v>
      </c>
      <c r="K2147" s="128"/>
      <c r="L2147" s="128">
        <v>4.1200000000000001E-2</v>
      </c>
      <c r="O2147" s="2"/>
    </row>
    <row r="2148" spans="2:15" x14ac:dyDescent="0.2">
      <c r="B2148" s="1">
        <v>2133</v>
      </c>
      <c r="C2148" s="5">
        <f ca="1">_xlfn.NORM.S.INV(RAND())</f>
        <v>-2.5142661889665352E-2</v>
      </c>
      <c r="D2148" s="5">
        <f ca="1">S0*EXP((μ-0.5*σ*σ)*T+σ*SQRT(T)*$C2148)</f>
        <v>0.66286058937627879</v>
      </c>
      <c r="E2148" s="5">
        <f ca="1">MAX(0,CP*(D2148-K))</f>
        <v>0</v>
      </c>
      <c r="F2148" s="4">
        <f ca="1">(CP*(D2148-K)&gt;0)*1</f>
        <v>0</v>
      </c>
      <c r="H2148" s="4">
        <v>2133</v>
      </c>
      <c r="I2148" s="3">
        <v>0.66765105721561191</v>
      </c>
      <c r="J2148" s="128">
        <v>1.2488528004631241E-3</v>
      </c>
      <c r="K2148" s="128"/>
      <c r="L2148" s="128">
        <v>4.1799999999999997E-2</v>
      </c>
      <c r="O2148" s="2"/>
    </row>
    <row r="2149" spans="2:15" x14ac:dyDescent="0.2">
      <c r="B2149" s="1">
        <v>2134</v>
      </c>
      <c r="C2149" s="5">
        <f ca="1">_xlfn.NORM.S.INV(RAND())</f>
        <v>0.41461275315751783</v>
      </c>
      <c r="D2149" s="5">
        <f ca="1">S0*EXP((μ-0.5*σ*σ)*T+σ*SQRT(T)*$C2149)</f>
        <v>0.6922305530778603</v>
      </c>
      <c r="E2149" s="5">
        <f ca="1">MAX(0,CP*(D2149-K))</f>
        <v>0</v>
      </c>
      <c r="F2149" s="4">
        <f ca="1">(CP*(D2149-K)&gt;0)*1</f>
        <v>0</v>
      </c>
      <c r="H2149" s="4">
        <v>2134</v>
      </c>
      <c r="I2149" s="3">
        <v>0.66776642421128696</v>
      </c>
      <c r="J2149" s="128">
        <v>1.296673110915116E-3</v>
      </c>
      <c r="K2149" s="128"/>
      <c r="L2149" s="128">
        <v>4.2799999999999998E-2</v>
      </c>
      <c r="O2149" s="2"/>
    </row>
    <row r="2150" spans="2:15" x14ac:dyDescent="0.2">
      <c r="B2150" s="1">
        <v>2135</v>
      </c>
      <c r="C2150" s="5">
        <f ca="1">_xlfn.NORM.S.INV(RAND())</f>
        <v>-0.67566676023214212</v>
      </c>
      <c r="D2150" s="5">
        <f ca="1">S0*EXP((μ-0.5*σ*σ)*T+σ*SQRT(T)*$C2150)</f>
        <v>0.6216835310766915</v>
      </c>
      <c r="E2150" s="5">
        <f ca="1">MAX(0,CP*(D2150-K))</f>
        <v>0</v>
      </c>
      <c r="F2150" s="4">
        <f ca="1">(CP*(D2150-K)&gt;0)*1</f>
        <v>0</v>
      </c>
      <c r="H2150" s="4">
        <v>2135</v>
      </c>
      <c r="I2150" s="3">
        <v>0.66781984827138219</v>
      </c>
      <c r="J2150" s="128">
        <v>1.3576970167649325E-3</v>
      </c>
      <c r="K2150" s="128"/>
      <c r="L2150" s="128">
        <v>4.1599999999999998E-2</v>
      </c>
      <c r="O2150" s="2"/>
    </row>
    <row r="2151" spans="2:15" x14ac:dyDescent="0.2">
      <c r="B2151" s="1">
        <v>2136</v>
      </c>
      <c r="C2151" s="5">
        <f ca="1">_xlfn.NORM.S.INV(RAND())</f>
        <v>-0.15655964959929336</v>
      </c>
      <c r="D2151" s="5">
        <f ca="1">S0*EXP((μ-0.5*σ*σ)*T+σ*SQRT(T)*$C2151)</f>
        <v>0.65432791661014866</v>
      </c>
      <c r="E2151" s="5">
        <f ca="1">MAX(0,CP*(D2151-K))</f>
        <v>0</v>
      </c>
      <c r="F2151" s="4">
        <f ca="1">(CP*(D2151-K)&gt;0)*1</f>
        <v>0</v>
      </c>
      <c r="H2151" s="4">
        <v>2136</v>
      </c>
      <c r="I2151" s="3">
        <v>0.66777089365628339</v>
      </c>
      <c r="J2151" s="128">
        <v>1.5452378916376304E-3</v>
      </c>
      <c r="K2151" s="128"/>
      <c r="L2151" s="128">
        <v>4.2599999999999999E-2</v>
      </c>
      <c r="O2151" s="2"/>
    </row>
    <row r="2152" spans="2:15" x14ac:dyDescent="0.2">
      <c r="B2152" s="1">
        <v>2137</v>
      </c>
      <c r="C2152" s="5">
        <f ca="1">_xlfn.NORM.S.INV(RAND())</f>
        <v>-3.8964914046485374E-2</v>
      </c>
      <c r="D2152" s="5">
        <f ca="1">S0*EXP((μ-0.5*σ*σ)*T+σ*SQRT(T)*$C2152)</f>
        <v>0.66195792384813912</v>
      </c>
      <c r="E2152" s="5">
        <f ca="1">MAX(0,CP*(D2152-K))</f>
        <v>0</v>
      </c>
      <c r="F2152" s="4">
        <f ca="1">(CP*(D2152-K)&gt;0)*1</f>
        <v>0</v>
      </c>
      <c r="H2152" s="4">
        <v>2137</v>
      </c>
      <c r="I2152" s="3">
        <v>0.6677146495966092</v>
      </c>
      <c r="J2152" s="128">
        <v>1.3653468148552891E-3</v>
      </c>
      <c r="K2152" s="128"/>
      <c r="L2152" s="128">
        <v>4.36E-2</v>
      </c>
      <c r="O2152" s="2"/>
    </row>
    <row r="2153" spans="2:15" x14ac:dyDescent="0.2">
      <c r="B2153" s="1">
        <v>2138</v>
      </c>
      <c r="C2153" s="5">
        <f ca="1">_xlfn.NORM.S.INV(RAND())</f>
        <v>-0.94600647940971627</v>
      </c>
      <c r="D2153" s="5">
        <f ca="1">S0*EXP((μ-0.5*σ*σ)*T+σ*SQRT(T)*$C2153)</f>
        <v>0.60533320706160088</v>
      </c>
      <c r="E2153" s="5">
        <f ca="1">MAX(0,CP*(D2153-K))</f>
        <v>0</v>
      </c>
      <c r="F2153" s="4">
        <f ca="1">(CP*(D2153-K)&gt;0)*1</f>
        <v>0</v>
      </c>
      <c r="H2153" s="4">
        <v>2138</v>
      </c>
      <c r="I2153" s="3">
        <v>0.66776390739191993</v>
      </c>
      <c r="J2153" s="128">
        <v>1.4474453677231773E-3</v>
      </c>
      <c r="K2153" s="128"/>
      <c r="L2153" s="128">
        <v>4.02E-2</v>
      </c>
      <c r="O2153" s="2"/>
    </row>
    <row r="2154" spans="2:15" x14ac:dyDescent="0.2">
      <c r="B2154" s="1">
        <v>2139</v>
      </c>
      <c r="C2154" s="5">
        <f ca="1">_xlfn.NORM.S.INV(RAND())</f>
        <v>0.65758895538066398</v>
      </c>
      <c r="D2154" s="5">
        <f ca="1">S0*EXP((μ-0.5*σ*σ)*T+σ*SQRT(T)*$C2154)</f>
        <v>0.70901272791888903</v>
      </c>
      <c r="E2154" s="5">
        <f ca="1">MAX(0,CP*(D2154-K))</f>
        <v>0</v>
      </c>
      <c r="F2154" s="4">
        <f ca="1">(CP*(D2154-K)&gt;0)*1</f>
        <v>0</v>
      </c>
      <c r="H2154" s="4">
        <v>2139</v>
      </c>
      <c r="I2154" s="3">
        <v>0.66764237823199468</v>
      </c>
      <c r="J2154" s="128">
        <v>1.3099179762641813E-3</v>
      </c>
      <c r="K2154" s="128"/>
      <c r="L2154" s="128">
        <v>3.8399999999999997E-2</v>
      </c>
      <c r="O2154" s="2"/>
    </row>
    <row r="2155" spans="2:15" x14ac:dyDescent="0.2">
      <c r="B2155" s="1">
        <v>2140</v>
      </c>
      <c r="C2155" s="5">
        <f ca="1">_xlfn.NORM.S.INV(RAND())</f>
        <v>-0.85767988068619905</v>
      </c>
      <c r="D2155" s="5">
        <f ca="1">S0*EXP((μ-0.5*σ*σ)*T+σ*SQRT(T)*$C2155)</f>
        <v>0.61062740279977334</v>
      </c>
      <c r="E2155" s="5">
        <f ca="1">MAX(0,CP*(D2155-K))</f>
        <v>0</v>
      </c>
      <c r="F2155" s="4">
        <f ca="1">(CP*(D2155-K)&gt;0)*1</f>
        <v>0</v>
      </c>
      <c r="H2155" s="4">
        <v>2140</v>
      </c>
      <c r="I2155" s="3">
        <v>0.66781560733123146</v>
      </c>
      <c r="J2155" s="128">
        <v>1.5410697014648935E-3</v>
      </c>
      <c r="K2155" s="128"/>
      <c r="L2155" s="128">
        <v>4.4600000000000001E-2</v>
      </c>
      <c r="O2155" s="2"/>
    </row>
    <row r="2156" spans="2:15" x14ac:dyDescent="0.2">
      <c r="B2156" s="1">
        <v>2141</v>
      </c>
      <c r="C2156" s="5">
        <f ca="1">_xlfn.NORM.S.INV(RAND())</f>
        <v>-1.0745776593508161</v>
      </c>
      <c r="D2156" s="5">
        <f ca="1">S0*EXP((μ-0.5*σ*σ)*T+σ*SQRT(T)*$C2156)</f>
        <v>0.59770872573774236</v>
      </c>
      <c r="E2156" s="5">
        <f ca="1">MAX(0,CP*(D2156-K))</f>
        <v>0</v>
      </c>
      <c r="F2156" s="4">
        <f ca="1">(CP*(D2156-K)&gt;0)*1</f>
        <v>0</v>
      </c>
      <c r="H2156" s="4">
        <v>2141</v>
      </c>
      <c r="I2156" s="3">
        <v>0.66770981101416382</v>
      </c>
      <c r="J2156" s="128">
        <v>1.2203552807594168E-3</v>
      </c>
      <c r="K2156" s="128"/>
      <c r="L2156" s="128">
        <v>0.04</v>
      </c>
      <c r="O2156" s="2"/>
    </row>
    <row r="2157" spans="2:15" x14ac:dyDescent="0.2">
      <c r="B2157" s="1">
        <v>2142</v>
      </c>
      <c r="C2157" s="5">
        <f ca="1">_xlfn.NORM.S.INV(RAND())</f>
        <v>0.8223768405510814</v>
      </c>
      <c r="D2157" s="5">
        <f ca="1">S0*EXP((μ-0.5*σ*σ)*T+σ*SQRT(T)*$C2157)</f>
        <v>0.72062543808366619</v>
      </c>
      <c r="E2157" s="5">
        <f ca="1">MAX(0,CP*(D2157-K))</f>
        <v>0</v>
      </c>
      <c r="F2157" s="4">
        <f ca="1">(CP*(D2157-K)&gt;0)*1</f>
        <v>0</v>
      </c>
      <c r="H2157" s="4">
        <v>2142</v>
      </c>
      <c r="I2157" s="3">
        <v>0.66800523084968055</v>
      </c>
      <c r="J2157" s="128">
        <v>1.7289922491196456E-3</v>
      </c>
      <c r="K2157" s="128"/>
      <c r="L2157" s="128">
        <v>0.05</v>
      </c>
      <c r="O2157" s="2"/>
    </row>
    <row r="2158" spans="2:15" x14ac:dyDescent="0.2">
      <c r="B2158" s="1">
        <v>2143</v>
      </c>
      <c r="C2158" s="5">
        <f ca="1">_xlfn.NORM.S.INV(RAND())</f>
        <v>-0.81128885511634097</v>
      </c>
      <c r="D2158" s="5">
        <f ca="1">S0*EXP((μ-0.5*σ*σ)*T+σ*SQRT(T)*$C2158)</f>
        <v>0.61342654847935885</v>
      </c>
      <c r="E2158" s="5">
        <f ca="1">MAX(0,CP*(D2158-K))</f>
        <v>0</v>
      </c>
      <c r="F2158" s="4">
        <f ca="1">(CP*(D2158-K)&gt;0)*1</f>
        <v>0</v>
      </c>
      <c r="H2158" s="4">
        <v>2143</v>
      </c>
      <c r="I2158" s="3">
        <v>0.66769374209335397</v>
      </c>
      <c r="J2158" s="128">
        <v>1.2135609754777667E-3</v>
      </c>
      <c r="K2158" s="128"/>
      <c r="L2158" s="128">
        <v>4.2999999999999997E-2</v>
      </c>
      <c r="O2158" s="2"/>
    </row>
    <row r="2159" spans="2:15" x14ac:dyDescent="0.2">
      <c r="B2159" s="1">
        <v>2144</v>
      </c>
      <c r="C2159" s="5">
        <f ca="1">_xlfn.NORM.S.INV(RAND())</f>
        <v>-1.9508272095071695</v>
      </c>
      <c r="D2159" s="5">
        <f ca="1">S0*EXP((μ-0.5*σ*σ)*T+σ*SQRT(T)*$C2159)</f>
        <v>0.54824174411392312</v>
      </c>
      <c r="E2159" s="5">
        <f ca="1">MAX(0,CP*(D2159-K))</f>
        <v>0</v>
      </c>
      <c r="F2159" s="4">
        <f ca="1">(CP*(D2159-K)&gt;0)*1</f>
        <v>0</v>
      </c>
      <c r="H2159" s="4">
        <v>2144</v>
      </c>
      <c r="I2159" s="3">
        <v>0.6678317804410453</v>
      </c>
      <c r="J2159" s="128">
        <v>1.4623112309654993E-3</v>
      </c>
      <c r="K2159" s="128"/>
      <c r="L2159" s="128">
        <v>4.4400000000000002E-2</v>
      </c>
      <c r="O2159" s="2"/>
    </row>
    <row r="2160" spans="2:15" x14ac:dyDescent="0.2">
      <c r="B2160" s="1">
        <v>2145</v>
      </c>
      <c r="C2160" s="5">
        <f ca="1">_xlfn.NORM.S.INV(RAND())</f>
        <v>-1.345090842840045</v>
      </c>
      <c r="D2160" s="5">
        <f ca="1">S0*EXP((μ-0.5*σ*σ)*T+σ*SQRT(T)*$C2160)</f>
        <v>0.58197898817630744</v>
      </c>
      <c r="E2160" s="5">
        <f ca="1">MAX(0,CP*(D2160-K))</f>
        <v>0</v>
      </c>
      <c r="F2160" s="4">
        <f ca="1">(CP*(D2160-K)&gt;0)*1</f>
        <v>0</v>
      </c>
      <c r="H2160" s="4">
        <v>2145</v>
      </c>
      <c r="I2160" s="3">
        <v>0.6677095484141744</v>
      </c>
      <c r="J2160" s="128">
        <v>1.3123698468652581E-3</v>
      </c>
      <c r="K2160" s="128"/>
      <c r="L2160" s="128">
        <v>3.9399999999999998E-2</v>
      </c>
      <c r="O2160" s="2"/>
    </row>
    <row r="2161" spans="2:15" x14ac:dyDescent="0.2">
      <c r="B2161" s="1">
        <v>2146</v>
      </c>
      <c r="C2161" s="5">
        <f ca="1">_xlfn.NORM.S.INV(RAND())</f>
        <v>-9.2261131731665696E-2</v>
      </c>
      <c r="D2161" s="5">
        <f ca="1">S0*EXP((μ-0.5*σ*σ)*T+σ*SQRT(T)*$C2161)</f>
        <v>0.65848889405883004</v>
      </c>
      <c r="E2161" s="5">
        <f ca="1">MAX(0,CP*(D2161-K))</f>
        <v>0</v>
      </c>
      <c r="F2161" s="4">
        <f ca="1">(CP*(D2161-K)&gt;0)*1</f>
        <v>0</v>
      </c>
      <c r="H2161" s="4">
        <v>2146</v>
      </c>
      <c r="I2161" s="3">
        <v>0.66780035976492846</v>
      </c>
      <c r="J2161" s="128">
        <v>1.5338152037196902E-3</v>
      </c>
      <c r="K2161" s="128"/>
      <c r="L2161" s="128">
        <v>4.36E-2</v>
      </c>
      <c r="O2161" s="2"/>
    </row>
    <row r="2162" spans="2:15" x14ac:dyDescent="0.2">
      <c r="B2162" s="1">
        <v>2147</v>
      </c>
      <c r="C2162" s="5">
        <f ca="1">_xlfn.NORM.S.INV(RAND())</f>
        <v>-0.3790096725151052</v>
      </c>
      <c r="D2162" s="5">
        <f ca="1">S0*EXP((μ-0.5*σ*σ)*T+σ*SQRT(T)*$C2162)</f>
        <v>0.64013420036239499</v>
      </c>
      <c r="E2162" s="5">
        <f ca="1">MAX(0,CP*(D2162-K))</f>
        <v>0</v>
      </c>
      <c r="F2162" s="4">
        <f ca="1">(CP*(D2162-K)&gt;0)*1</f>
        <v>0</v>
      </c>
      <c r="H2162" s="4">
        <v>2147</v>
      </c>
      <c r="I2162" s="3">
        <v>0.66785648936132425</v>
      </c>
      <c r="J2162" s="128">
        <v>1.3719114286031807E-3</v>
      </c>
      <c r="K2162" s="128"/>
      <c r="L2162" s="128">
        <v>4.48E-2</v>
      </c>
      <c r="O2162" s="2"/>
    </row>
    <row r="2163" spans="2:15" x14ac:dyDescent="0.2">
      <c r="B2163" s="1">
        <v>2148</v>
      </c>
      <c r="C2163" s="5">
        <f ca="1">_xlfn.NORM.S.INV(RAND())</f>
        <v>0.11791795665236107</v>
      </c>
      <c r="D2163" s="5">
        <f ca="1">S0*EXP((μ-0.5*σ*σ)*T+σ*SQRT(T)*$C2163)</f>
        <v>0.67227580474057302</v>
      </c>
      <c r="E2163" s="5">
        <f ca="1">MAX(0,CP*(D2163-K))</f>
        <v>0</v>
      </c>
      <c r="F2163" s="4">
        <f ca="1">(CP*(D2163-K)&gt;0)*1</f>
        <v>0</v>
      </c>
      <c r="H2163" s="4">
        <v>2148</v>
      </c>
      <c r="I2163" s="3">
        <v>0.66775113731514957</v>
      </c>
      <c r="J2163" s="128">
        <v>1.4232032371715158E-3</v>
      </c>
      <c r="K2163" s="128"/>
      <c r="L2163" s="128">
        <v>4.24E-2</v>
      </c>
      <c r="O2163" s="2"/>
    </row>
    <row r="2164" spans="2:15" x14ac:dyDescent="0.2">
      <c r="B2164" s="1">
        <v>2149</v>
      </c>
      <c r="C2164" s="5">
        <f ca="1">_xlfn.NORM.S.INV(RAND())</f>
        <v>1.190112069076215</v>
      </c>
      <c r="D2164" s="5">
        <f ca="1">S0*EXP((μ-0.5*σ*σ)*T+σ*SQRT(T)*$C2164)</f>
        <v>0.74723040997458812</v>
      </c>
      <c r="E2164" s="5">
        <f ca="1">MAX(0,CP*(D2164-K))</f>
        <v>0</v>
      </c>
      <c r="F2164" s="4">
        <f ca="1">(CP*(D2164-K)&gt;0)*1</f>
        <v>0</v>
      </c>
      <c r="H2164" s="4">
        <v>2149</v>
      </c>
      <c r="I2164" s="3">
        <v>0.66764834637264103</v>
      </c>
      <c r="J2164" s="128">
        <v>1.2443255715395519E-3</v>
      </c>
      <c r="K2164" s="128"/>
      <c r="L2164" s="128">
        <v>4.0599999999999997E-2</v>
      </c>
      <c r="O2164" s="2"/>
    </row>
    <row r="2165" spans="2:15" x14ac:dyDescent="0.2">
      <c r="B2165" s="1">
        <v>2150</v>
      </c>
      <c r="C2165" s="5">
        <f ca="1">_xlfn.NORM.S.INV(RAND())</f>
        <v>1.5357540474775211</v>
      </c>
      <c r="D2165" s="5">
        <f ca="1">S0*EXP((μ-0.5*σ*σ)*T+σ*SQRT(T)*$C2165)</f>
        <v>0.77313181095305883</v>
      </c>
      <c r="E2165" s="5">
        <f ca="1">MAX(0,CP*(D2165-K))</f>
        <v>0</v>
      </c>
      <c r="F2165" s="4">
        <f ca="1">(CP*(D2165-K)&gt;0)*1</f>
        <v>0</v>
      </c>
      <c r="H2165" s="4">
        <v>2150</v>
      </c>
      <c r="I2165" s="3">
        <v>0.66790737537057565</v>
      </c>
      <c r="J2165" s="128">
        <v>1.5236351173060923E-3</v>
      </c>
      <c r="K2165" s="128"/>
      <c r="L2165" s="128">
        <v>4.4999999999999998E-2</v>
      </c>
      <c r="O2165" s="2"/>
    </row>
    <row r="2166" spans="2:15" x14ac:dyDescent="0.2">
      <c r="B2166" s="1">
        <v>2151</v>
      </c>
      <c r="C2166" s="5">
        <f ca="1">_xlfn.NORM.S.INV(RAND())</f>
        <v>1.0612787426255761</v>
      </c>
      <c r="D2166" s="5">
        <f ca="1">S0*EXP((μ-0.5*σ*σ)*T+σ*SQRT(T)*$C2166)</f>
        <v>0.73779959260516681</v>
      </c>
      <c r="E2166" s="5">
        <f ca="1">MAX(0,CP*(D2166-K))</f>
        <v>0</v>
      </c>
      <c r="F2166" s="4">
        <f ca="1">(CP*(D2166-K)&gt;0)*1</f>
        <v>0</v>
      </c>
      <c r="H2166" s="4">
        <v>2151</v>
      </c>
      <c r="I2166" s="3">
        <v>0.66778266353565696</v>
      </c>
      <c r="J2166" s="128">
        <v>1.2430902694741469E-3</v>
      </c>
      <c r="K2166" s="128"/>
      <c r="L2166" s="128">
        <v>4.2000000000000003E-2</v>
      </c>
      <c r="O2166" s="2"/>
    </row>
    <row r="2167" spans="2:15" x14ac:dyDescent="0.2">
      <c r="B2167" s="1">
        <v>2152</v>
      </c>
      <c r="C2167" s="5">
        <f ca="1">_xlfn.NORM.S.INV(RAND())</f>
        <v>-1.4133493380149624</v>
      </c>
      <c r="D2167" s="5">
        <f ca="1">S0*EXP((μ-0.5*σ*σ)*T+σ*SQRT(T)*$C2167)</f>
        <v>0.57807574798449057</v>
      </c>
      <c r="E2167" s="5">
        <f ca="1">MAX(0,CP*(D2167-K))</f>
        <v>0</v>
      </c>
      <c r="F2167" s="4">
        <f ca="1">(CP*(D2167-K)&gt;0)*1</f>
        <v>0</v>
      </c>
      <c r="H2167" s="4">
        <v>2152</v>
      </c>
      <c r="I2167" s="3">
        <v>0.66777407235633857</v>
      </c>
      <c r="J2167" s="128">
        <v>1.4435611930114303E-3</v>
      </c>
      <c r="K2167" s="128"/>
      <c r="L2167" s="128">
        <v>4.2599999999999999E-2</v>
      </c>
      <c r="O2167" s="2"/>
    </row>
    <row r="2168" spans="2:15" x14ac:dyDescent="0.2">
      <c r="B2168" s="1">
        <v>2153</v>
      </c>
      <c r="C2168" s="5">
        <f ca="1">_xlfn.NORM.S.INV(RAND())</f>
        <v>0.52541855769253387</v>
      </c>
      <c r="D2168" s="5">
        <f ca="1">S0*EXP((μ-0.5*σ*σ)*T+σ*SQRT(T)*$C2168)</f>
        <v>0.699833978413822</v>
      </c>
      <c r="E2168" s="5">
        <f ca="1">MAX(0,CP*(D2168-K))</f>
        <v>0</v>
      </c>
      <c r="F2168" s="4">
        <f ca="1">(CP*(D2168-K)&gt;0)*1</f>
        <v>0</v>
      </c>
      <c r="H2168" s="4">
        <v>2153</v>
      </c>
      <c r="I2168" s="3">
        <v>0.66780540118835963</v>
      </c>
      <c r="J2168" s="128">
        <v>1.3406221778713293E-3</v>
      </c>
      <c r="K2168" s="128"/>
      <c r="L2168" s="128">
        <v>4.1799999999999997E-2</v>
      </c>
      <c r="O2168" s="2"/>
    </row>
    <row r="2169" spans="2:15" x14ac:dyDescent="0.2">
      <c r="B2169" s="1">
        <v>2154</v>
      </c>
      <c r="C2169" s="5">
        <f ca="1">_xlfn.NORM.S.INV(RAND())</f>
        <v>-1.1781964642316312</v>
      </c>
      <c r="D2169" s="5">
        <f ca="1">S0*EXP((μ-0.5*σ*σ)*T+σ*SQRT(T)*$C2169)</f>
        <v>0.5916339043573936</v>
      </c>
      <c r="E2169" s="5">
        <f ca="1">MAX(0,CP*(D2169-K))</f>
        <v>0</v>
      </c>
      <c r="F2169" s="4">
        <f ca="1">(CP*(D2169-K)&gt;0)*1</f>
        <v>0</v>
      </c>
      <c r="H2169" s="4">
        <v>2154</v>
      </c>
      <c r="I2169" s="3">
        <v>0.66774664984183629</v>
      </c>
      <c r="J2169" s="128">
        <v>1.3808923808764535E-3</v>
      </c>
      <c r="K2169" s="128"/>
      <c r="L2169" s="128">
        <v>4.1200000000000001E-2</v>
      </c>
      <c r="O2169" s="2"/>
    </row>
    <row r="2170" spans="2:15" x14ac:dyDescent="0.2">
      <c r="B2170" s="1">
        <v>2155</v>
      </c>
      <c r="C2170" s="5">
        <f ca="1">_xlfn.NORM.S.INV(RAND())</f>
        <v>-0.19065141339471953</v>
      </c>
      <c r="D2170" s="5">
        <f ca="1">S0*EXP((μ-0.5*σ*σ)*T+σ*SQRT(T)*$C2170)</f>
        <v>0.65213239857473004</v>
      </c>
      <c r="E2170" s="5">
        <f ca="1">MAX(0,CP*(D2170-K))</f>
        <v>0</v>
      </c>
      <c r="F2170" s="4">
        <f ca="1">(CP*(D2170-K)&gt;0)*1</f>
        <v>0</v>
      </c>
      <c r="H2170" s="4">
        <v>2155</v>
      </c>
      <c r="I2170" s="3">
        <v>0.66783910877369246</v>
      </c>
      <c r="J2170" s="128">
        <v>1.5235798982163268E-3</v>
      </c>
      <c r="K2170" s="128"/>
      <c r="L2170" s="128">
        <v>4.4400000000000002E-2</v>
      </c>
      <c r="O2170" s="2"/>
    </row>
    <row r="2171" spans="2:15" x14ac:dyDescent="0.2">
      <c r="B2171" s="1">
        <v>2156</v>
      </c>
      <c r="C2171" s="5">
        <f ca="1">_xlfn.NORM.S.INV(RAND())</f>
        <v>-0.72931721775797664</v>
      </c>
      <c r="D2171" s="5">
        <f ca="1">S0*EXP((μ-0.5*σ*σ)*T+σ*SQRT(T)*$C2171)</f>
        <v>0.61840396435738476</v>
      </c>
      <c r="E2171" s="5">
        <f ca="1">MAX(0,CP*(D2171-K))</f>
        <v>0</v>
      </c>
      <c r="F2171" s="4">
        <f ca="1">(CP*(D2171-K)&gt;0)*1</f>
        <v>0</v>
      </c>
      <c r="H2171" s="4">
        <v>2156</v>
      </c>
      <c r="I2171" s="3">
        <v>0.66790992468175936</v>
      </c>
      <c r="J2171" s="128">
        <v>1.6288114302976131E-3</v>
      </c>
      <c r="K2171" s="128"/>
      <c r="L2171" s="128">
        <v>4.5600000000000002E-2</v>
      </c>
      <c r="O2171" s="2"/>
    </row>
    <row r="2172" spans="2:15" x14ac:dyDescent="0.2">
      <c r="B2172" s="1">
        <v>2157</v>
      </c>
      <c r="C2172" s="5">
        <f ca="1">_xlfn.NORM.S.INV(RAND())</f>
        <v>0.77975812709767178</v>
      </c>
      <c r="D2172" s="5">
        <f ca="1">S0*EXP((μ-0.5*σ*σ)*T+σ*SQRT(T)*$C2172)</f>
        <v>0.71760395906559782</v>
      </c>
      <c r="E2172" s="5">
        <f ca="1">MAX(0,CP*(D2172-K))</f>
        <v>0</v>
      </c>
      <c r="F2172" s="4">
        <f ca="1">(CP*(D2172-K)&gt;0)*1</f>
        <v>0</v>
      </c>
      <c r="H2172" s="4">
        <v>2157</v>
      </c>
      <c r="I2172" s="3">
        <v>0.66760431620719318</v>
      </c>
      <c r="J2172" s="128">
        <v>1.2138470882626228E-3</v>
      </c>
      <c r="K2172" s="128"/>
      <c r="L2172" s="128">
        <v>3.8600000000000002E-2</v>
      </c>
      <c r="O2172" s="2"/>
    </row>
    <row r="2173" spans="2:15" x14ac:dyDescent="0.2">
      <c r="B2173" s="1">
        <v>2158</v>
      </c>
      <c r="C2173" s="5">
        <f ca="1">_xlfn.NORM.S.INV(RAND())</f>
        <v>1.9939091122873704</v>
      </c>
      <c r="D2173" s="5">
        <f ca="1">S0*EXP((μ-0.5*σ*σ)*T+σ*SQRT(T)*$C2173)</f>
        <v>0.80885357153515081</v>
      </c>
      <c r="E2173" s="5">
        <f ca="1">MAX(0,CP*(D2173-K))</f>
        <v>2.0653571535150794E-2</v>
      </c>
      <c r="F2173" s="4">
        <f ca="1">(CP*(D2173-K)&gt;0)*1</f>
        <v>1</v>
      </c>
      <c r="H2173" s="4">
        <v>2158</v>
      </c>
      <c r="I2173" s="3">
        <v>0.66781200784195904</v>
      </c>
      <c r="J2173" s="128">
        <v>1.4469502010387447E-3</v>
      </c>
      <c r="K2173" s="128"/>
      <c r="L2173" s="128">
        <v>4.3799999999999999E-2</v>
      </c>
      <c r="O2173" s="2"/>
    </row>
    <row r="2174" spans="2:15" x14ac:dyDescent="0.2">
      <c r="B2174" s="1">
        <v>2159</v>
      </c>
      <c r="C2174" s="5">
        <f ca="1">_xlfn.NORM.S.INV(RAND())</f>
        <v>-0.87187591179545199</v>
      </c>
      <c r="D2174" s="5">
        <f ca="1">S0*EXP((μ-0.5*σ*σ)*T+σ*SQRT(T)*$C2174)</f>
        <v>0.6097733964893447</v>
      </c>
      <c r="E2174" s="5">
        <f ca="1">MAX(0,CP*(D2174-K))</f>
        <v>0</v>
      </c>
      <c r="F2174" s="4">
        <f ca="1">(CP*(D2174-K)&gt;0)*1</f>
        <v>0</v>
      </c>
      <c r="H2174" s="4">
        <v>2159</v>
      </c>
      <c r="I2174" s="3">
        <v>0.66775966889195437</v>
      </c>
      <c r="J2174" s="128">
        <v>1.3460211874238136E-3</v>
      </c>
      <c r="K2174" s="128"/>
      <c r="L2174" s="128">
        <v>4.0800000000000003E-2</v>
      </c>
      <c r="O2174" s="2"/>
    </row>
    <row r="2175" spans="2:15" x14ac:dyDescent="0.2">
      <c r="B2175" s="1">
        <v>2160</v>
      </c>
      <c r="C2175" s="5">
        <f ca="1">_xlfn.NORM.S.INV(RAND())</f>
        <v>0.74759159302602329</v>
      </c>
      <c r="D2175" s="5">
        <f ca="1">S0*EXP((μ-0.5*σ*σ)*T+σ*SQRT(T)*$C2175)</f>
        <v>0.71533188556797189</v>
      </c>
      <c r="E2175" s="5">
        <f ca="1">MAX(0,CP*(D2175-K))</f>
        <v>0</v>
      </c>
      <c r="F2175" s="4">
        <f ca="1">(CP*(D2175-K)&gt;0)*1</f>
        <v>0</v>
      </c>
      <c r="H2175" s="4">
        <v>2160</v>
      </c>
      <c r="I2175" s="3">
        <v>0.66770034365569453</v>
      </c>
      <c r="J2175" s="128">
        <v>1.310471503150483E-3</v>
      </c>
      <c r="K2175" s="128"/>
      <c r="L2175" s="128">
        <v>0.04</v>
      </c>
      <c r="O2175" s="2"/>
    </row>
    <row r="2176" spans="2:15" x14ac:dyDescent="0.2">
      <c r="B2176" s="1">
        <v>2161</v>
      </c>
      <c r="C2176" s="5">
        <f ca="1">_xlfn.NORM.S.INV(RAND())</f>
        <v>-6.0237143120055389E-2</v>
      </c>
      <c r="D2176" s="5">
        <f ca="1">S0*EXP((μ-0.5*σ*σ)*T+σ*SQRT(T)*$C2176)</f>
        <v>0.66057113675627044</v>
      </c>
      <c r="E2176" s="5">
        <f ca="1">MAX(0,CP*(D2176-K))</f>
        <v>0</v>
      </c>
      <c r="F2176" s="4">
        <f ca="1">(CP*(D2176-K)&gt;0)*1</f>
        <v>0</v>
      </c>
      <c r="H2176" s="4">
        <v>2161</v>
      </c>
      <c r="I2176" s="3">
        <v>0.66775238520605018</v>
      </c>
      <c r="J2176" s="128">
        <v>1.377694161416008E-3</v>
      </c>
      <c r="K2176" s="128"/>
      <c r="L2176" s="128">
        <v>4.2000000000000003E-2</v>
      </c>
      <c r="O2176" s="2"/>
    </row>
    <row r="2177" spans="2:15" x14ac:dyDescent="0.2">
      <c r="B2177" s="1">
        <v>2162</v>
      </c>
      <c r="C2177" s="5">
        <f ca="1">_xlfn.NORM.S.INV(RAND())</f>
        <v>-0.27797127142144412</v>
      </c>
      <c r="D2177" s="5">
        <f ca="1">S0*EXP((μ-0.5*σ*σ)*T+σ*SQRT(T)*$C2177)</f>
        <v>0.64654251817142561</v>
      </c>
      <c r="E2177" s="5">
        <f ca="1">MAX(0,CP*(D2177-K))</f>
        <v>0</v>
      </c>
      <c r="F2177" s="4">
        <f ca="1">(CP*(D2177-K)&gt;0)*1</f>
        <v>0</v>
      </c>
      <c r="H2177" s="4">
        <v>2162</v>
      </c>
      <c r="I2177" s="3">
        <v>0.66778818163669995</v>
      </c>
      <c r="J2177" s="128">
        <v>1.4433709263748243E-3</v>
      </c>
      <c r="K2177" s="128"/>
      <c r="L2177" s="128">
        <v>4.3999999999999997E-2</v>
      </c>
      <c r="O2177" s="2"/>
    </row>
    <row r="2178" spans="2:15" x14ac:dyDescent="0.2">
      <c r="B2178" s="1">
        <v>2163</v>
      </c>
      <c r="C2178" s="5">
        <f ca="1">_xlfn.NORM.S.INV(RAND())</f>
        <v>0.93069704789771324</v>
      </c>
      <c r="D2178" s="5">
        <f ca="1">S0*EXP((μ-0.5*σ*σ)*T+σ*SQRT(T)*$C2178)</f>
        <v>0.7283622452792512</v>
      </c>
      <c r="E2178" s="5">
        <f ca="1">MAX(0,CP*(D2178-K))</f>
        <v>0</v>
      </c>
      <c r="F2178" s="4">
        <f ca="1">(CP*(D2178-K)&gt;0)*1</f>
        <v>0</v>
      </c>
      <c r="H2178" s="4">
        <v>2163</v>
      </c>
      <c r="I2178" s="3">
        <v>0.66791697817134221</v>
      </c>
      <c r="J2178" s="128">
        <v>1.5439287133104465E-3</v>
      </c>
      <c r="K2178" s="128"/>
      <c r="L2178" s="128">
        <v>4.3999999999999997E-2</v>
      </c>
      <c r="O2178" s="2"/>
    </row>
    <row r="2179" spans="2:15" x14ac:dyDescent="0.2">
      <c r="B2179" s="1">
        <v>2164</v>
      </c>
      <c r="C2179" s="5">
        <f ca="1">_xlfn.NORM.S.INV(RAND())</f>
        <v>-0.59679600394280985</v>
      </c>
      <c r="D2179" s="5">
        <f ca="1">S0*EXP((μ-0.5*σ*σ)*T+σ*SQRT(T)*$C2179)</f>
        <v>0.62653637861720746</v>
      </c>
      <c r="E2179" s="5">
        <f ca="1">MAX(0,CP*(D2179-K))</f>
        <v>0</v>
      </c>
      <c r="F2179" s="4">
        <f ca="1">(CP*(D2179-K)&gt;0)*1</f>
        <v>0</v>
      </c>
      <c r="H2179" s="4">
        <v>2164</v>
      </c>
      <c r="I2179" s="3">
        <v>0.66772808745263601</v>
      </c>
      <c r="J2179" s="128">
        <v>1.1956901798694972E-3</v>
      </c>
      <c r="K2179" s="128"/>
      <c r="L2179" s="128">
        <v>4.0800000000000003E-2</v>
      </c>
      <c r="O2179" s="2"/>
    </row>
    <row r="2180" spans="2:15" x14ac:dyDescent="0.2">
      <c r="B2180" s="1">
        <v>2165</v>
      </c>
      <c r="C2180" s="5">
        <f ca="1">_xlfn.NORM.S.INV(RAND())</f>
        <v>1.0810250359495015</v>
      </c>
      <c r="D2180" s="5">
        <f ca="1">S0*EXP((μ-0.5*σ*σ)*T+σ*SQRT(T)*$C2180)</f>
        <v>0.73923729339990207</v>
      </c>
      <c r="E2180" s="5">
        <f ca="1">MAX(0,CP*(D2180-K))</f>
        <v>0</v>
      </c>
      <c r="F2180" s="4">
        <f ca="1">(CP*(D2180-K)&gt;0)*1</f>
        <v>0</v>
      </c>
      <c r="H2180" s="4">
        <v>2165</v>
      </c>
      <c r="I2180" s="3">
        <v>0.66782255169487603</v>
      </c>
      <c r="J2180" s="128">
        <v>1.4035947334749895E-3</v>
      </c>
      <c r="K2180" s="128"/>
      <c r="L2180" s="128">
        <v>4.5400000000000003E-2</v>
      </c>
      <c r="O2180" s="2"/>
    </row>
    <row r="2181" spans="2:15" x14ac:dyDescent="0.2">
      <c r="B2181" s="1">
        <v>2166</v>
      </c>
      <c r="C2181" s="5">
        <f ca="1">_xlfn.NORM.S.INV(RAND())</f>
        <v>-1.2294566808001584</v>
      </c>
      <c r="D2181" s="5">
        <f ca="1">S0*EXP((μ-0.5*σ*σ)*T+σ*SQRT(T)*$C2181)</f>
        <v>0.58865155652040513</v>
      </c>
      <c r="E2181" s="5">
        <f ca="1">MAX(0,CP*(D2181-K))</f>
        <v>0</v>
      </c>
      <c r="F2181" s="4">
        <f ca="1">(CP*(D2181-K)&gt;0)*1</f>
        <v>0</v>
      </c>
      <c r="H2181" s="4">
        <v>2166</v>
      </c>
      <c r="I2181" s="3">
        <v>0.66779593639450063</v>
      </c>
      <c r="J2181" s="128">
        <v>1.4753206205078602E-3</v>
      </c>
      <c r="K2181" s="128"/>
      <c r="L2181" s="128">
        <v>4.2599999999999999E-2</v>
      </c>
      <c r="O2181" s="2"/>
    </row>
    <row r="2182" spans="2:15" x14ac:dyDescent="0.2">
      <c r="B2182" s="1">
        <v>2167</v>
      </c>
      <c r="C2182" s="5">
        <f ca="1">_xlfn.NORM.S.INV(RAND())</f>
        <v>0.35614832002769697</v>
      </c>
      <c r="D2182" s="5">
        <f ca="1">S0*EXP((μ-0.5*σ*σ)*T+σ*SQRT(T)*$C2182)</f>
        <v>0.68825210932558178</v>
      </c>
      <c r="E2182" s="5">
        <f ca="1">MAX(0,CP*(D2182-K))</f>
        <v>0</v>
      </c>
      <c r="F2182" s="4">
        <f ca="1">(CP*(D2182-K)&gt;0)*1</f>
        <v>0</v>
      </c>
      <c r="H2182" s="4">
        <v>2167</v>
      </c>
      <c r="I2182" s="3">
        <v>0.66770605502690572</v>
      </c>
      <c r="J2182" s="128">
        <v>1.3205794865679952E-3</v>
      </c>
      <c r="K2182" s="128"/>
      <c r="L2182" s="128">
        <v>4.0800000000000003E-2</v>
      </c>
      <c r="O2182" s="2"/>
    </row>
    <row r="2183" spans="2:15" x14ac:dyDescent="0.2">
      <c r="B2183" s="1">
        <v>2168</v>
      </c>
      <c r="C2183" s="5">
        <f ca="1">_xlfn.NORM.S.INV(RAND())</f>
        <v>-0.6192998783236201</v>
      </c>
      <c r="D2183" s="5">
        <f ca="1">S0*EXP((μ-0.5*σ*σ)*T+σ*SQRT(T)*$C2183)</f>
        <v>0.62514788581054803</v>
      </c>
      <c r="E2183" s="5">
        <f ca="1">MAX(0,CP*(D2183-K))</f>
        <v>0</v>
      </c>
      <c r="F2183" s="4">
        <f ca="1">(CP*(D2183-K)&gt;0)*1</f>
        <v>0</v>
      </c>
      <c r="H2183" s="4">
        <v>2168</v>
      </c>
      <c r="I2183" s="3">
        <v>0.6677538049473305</v>
      </c>
      <c r="J2183" s="128">
        <v>1.3626892211718335E-3</v>
      </c>
      <c r="K2183" s="128"/>
      <c r="L2183" s="128">
        <v>4.0599999999999997E-2</v>
      </c>
      <c r="O2183" s="2"/>
    </row>
    <row r="2184" spans="2:15" x14ac:dyDescent="0.2">
      <c r="B2184" s="1">
        <v>2169</v>
      </c>
      <c r="C2184" s="5">
        <f ca="1">_xlfn.NORM.S.INV(RAND())</f>
        <v>2.4977351869524336</v>
      </c>
      <c r="D2184" s="5">
        <f ca="1">S0*EXP((μ-0.5*σ*σ)*T+σ*SQRT(T)*$C2184)</f>
        <v>0.85004461745422732</v>
      </c>
      <c r="E2184" s="5">
        <f ca="1">MAX(0,CP*(D2184-K))</f>
        <v>6.1844617454227313E-2</v>
      </c>
      <c r="F2184" s="4">
        <f ca="1">(CP*(D2184-K)&gt;0)*1</f>
        <v>1</v>
      </c>
      <c r="H2184" s="4">
        <v>2169</v>
      </c>
      <c r="I2184" s="3">
        <v>0.66785312371100103</v>
      </c>
      <c r="J2184" s="128">
        <v>1.4809225857209255E-3</v>
      </c>
      <c r="K2184" s="128"/>
      <c r="L2184" s="128">
        <v>4.36E-2</v>
      </c>
      <c r="O2184" s="2"/>
    </row>
    <row r="2185" spans="2:15" x14ac:dyDescent="0.2">
      <c r="B2185" s="1">
        <v>2170</v>
      </c>
      <c r="C2185" s="5">
        <f ca="1">_xlfn.NORM.S.INV(RAND())</f>
        <v>-0.42916284918202374</v>
      </c>
      <c r="D2185" s="5">
        <f ca="1">S0*EXP((μ-0.5*σ*σ)*T+σ*SQRT(T)*$C2185)</f>
        <v>0.6369768850138281</v>
      </c>
      <c r="E2185" s="5">
        <f ca="1">MAX(0,CP*(D2185-K))</f>
        <v>0</v>
      </c>
      <c r="F2185" s="4">
        <f ca="1">(CP*(D2185-K)&gt;0)*1</f>
        <v>0</v>
      </c>
      <c r="H2185" s="4">
        <v>2170</v>
      </c>
      <c r="I2185" s="3">
        <v>0.66760418484729545</v>
      </c>
      <c r="J2185" s="128">
        <v>1.1732843909370582E-3</v>
      </c>
      <c r="K2185" s="128"/>
      <c r="L2185" s="128">
        <v>4.1200000000000001E-2</v>
      </c>
      <c r="O2185" s="2"/>
    </row>
    <row r="2186" spans="2:15" x14ac:dyDescent="0.2">
      <c r="B2186" s="1">
        <v>2171</v>
      </c>
      <c r="C2186" s="5">
        <f ca="1">_xlfn.NORM.S.INV(RAND())</f>
        <v>-0.71120942227567496</v>
      </c>
      <c r="D2186" s="5">
        <f ca="1">S0*EXP((μ-0.5*σ*σ)*T+σ*SQRT(T)*$C2186)</f>
        <v>0.61950892618653297</v>
      </c>
      <c r="E2186" s="5">
        <f ca="1">MAX(0,CP*(D2186-K))</f>
        <v>0</v>
      </c>
      <c r="F2186" s="4">
        <f ca="1">(CP*(D2186-K)&gt;0)*1</f>
        <v>0</v>
      </c>
      <c r="H2186" s="4">
        <v>2171</v>
      </c>
      <c r="I2186" s="3">
        <v>0.66768800495741543</v>
      </c>
      <c r="J2186" s="128">
        <v>1.3880326987057282E-3</v>
      </c>
      <c r="K2186" s="128"/>
      <c r="L2186" s="128">
        <v>4.0599999999999997E-2</v>
      </c>
      <c r="O2186" s="2"/>
    </row>
    <row r="2187" spans="2:15" x14ac:dyDescent="0.2">
      <c r="B2187" s="1">
        <v>2172</v>
      </c>
      <c r="C2187" s="5">
        <f ca="1">_xlfn.NORM.S.INV(RAND())</f>
        <v>0.48170265611291396</v>
      </c>
      <c r="D2187" s="5">
        <f ca="1">S0*EXP((μ-0.5*σ*σ)*T+σ*SQRT(T)*$C2187)</f>
        <v>0.69682429613671559</v>
      </c>
      <c r="E2187" s="5">
        <f ca="1">MAX(0,CP*(D2187-K))</f>
        <v>0</v>
      </c>
      <c r="F2187" s="4">
        <f ca="1">(CP*(D2187-K)&gt;0)*1</f>
        <v>0</v>
      </c>
      <c r="H2187" s="4">
        <v>2172</v>
      </c>
      <c r="I2187" s="3">
        <v>0.66766537540548465</v>
      </c>
      <c r="J2187" s="128">
        <v>1.3105370960615451E-3</v>
      </c>
      <c r="K2187" s="128"/>
      <c r="L2187" s="128">
        <v>3.9800000000000002E-2</v>
      </c>
      <c r="O2187" s="2"/>
    </row>
    <row r="2188" spans="2:15" x14ac:dyDescent="0.2">
      <c r="B2188" s="1">
        <v>2173</v>
      </c>
      <c r="C2188" s="5">
        <f ca="1">_xlfn.NORM.S.INV(RAND())</f>
        <v>0.82877835921819243</v>
      </c>
      <c r="D2188" s="5">
        <f ca="1">S0*EXP((μ-0.5*σ*σ)*T+σ*SQRT(T)*$C2188)</f>
        <v>0.72108037520616619</v>
      </c>
      <c r="E2188" s="5">
        <f ca="1">MAX(0,CP*(D2188-K))</f>
        <v>0</v>
      </c>
      <c r="F2188" s="4">
        <f ca="1">(CP*(D2188-K)&gt;0)*1</f>
        <v>0</v>
      </c>
      <c r="H2188" s="4">
        <v>2173</v>
      </c>
      <c r="I2188" s="3">
        <v>0.66758103293642579</v>
      </c>
      <c r="J2188" s="128">
        <v>1.0916993740000081E-3</v>
      </c>
      <c r="K2188" s="128"/>
      <c r="L2188" s="128">
        <v>3.6400000000000002E-2</v>
      </c>
      <c r="O2188" s="2"/>
    </row>
    <row r="2189" spans="2:15" x14ac:dyDescent="0.2">
      <c r="B2189" s="1">
        <v>2174</v>
      </c>
      <c r="C2189" s="5">
        <f ca="1">_xlfn.NORM.S.INV(RAND())</f>
        <v>0.70820566518402617</v>
      </c>
      <c r="D2189" s="5">
        <f ca="1">S0*EXP((μ-0.5*σ*σ)*T+σ*SQRT(T)*$C2189)</f>
        <v>0.71255966689561945</v>
      </c>
      <c r="E2189" s="5">
        <f ca="1">MAX(0,CP*(D2189-K))</f>
        <v>0</v>
      </c>
      <c r="F2189" s="4">
        <f ca="1">(CP*(D2189-K)&gt;0)*1</f>
        <v>0</v>
      </c>
      <c r="H2189" s="4">
        <v>2174</v>
      </c>
      <c r="I2189" s="3">
        <v>0.66761540725771407</v>
      </c>
      <c r="J2189" s="128">
        <v>1.237361904009469E-3</v>
      </c>
      <c r="K2189" s="128"/>
      <c r="L2189" s="128">
        <v>3.7999999999999999E-2</v>
      </c>
      <c r="O2189" s="2"/>
    </row>
    <row r="2190" spans="2:15" x14ac:dyDescent="0.2">
      <c r="B2190" s="1">
        <v>2175</v>
      </c>
      <c r="C2190" s="5">
        <f ca="1">_xlfn.NORM.S.INV(RAND())</f>
        <v>-0.65001359928651259</v>
      </c>
      <c r="D2190" s="5">
        <f ca="1">S0*EXP((μ-0.5*σ*σ)*T+σ*SQRT(T)*$C2190)</f>
        <v>0.62325780850137746</v>
      </c>
      <c r="E2190" s="5">
        <f ca="1">MAX(0,CP*(D2190-K))</f>
        <v>0</v>
      </c>
      <c r="F2190" s="4">
        <f ca="1">(CP*(D2190-K)&gt;0)*1</f>
        <v>0</v>
      </c>
      <c r="H2190" s="4">
        <v>2175</v>
      </c>
      <c r="I2190" s="3">
        <v>0.66772773768669036</v>
      </c>
      <c r="J2190" s="128">
        <v>1.2740519738161464E-3</v>
      </c>
      <c r="K2190" s="128"/>
      <c r="L2190" s="128">
        <v>3.78E-2</v>
      </c>
      <c r="O2190" s="2"/>
    </row>
    <row r="2191" spans="2:15" x14ac:dyDescent="0.2">
      <c r="B2191" s="1">
        <v>2176</v>
      </c>
      <c r="C2191" s="5">
        <f ca="1">_xlfn.NORM.S.INV(RAND())</f>
        <v>-1.1368138062814173</v>
      </c>
      <c r="D2191" s="5">
        <f ca="1">S0*EXP((μ-0.5*σ*σ)*T+σ*SQRT(T)*$C2191)</f>
        <v>0.59405258972232811</v>
      </c>
      <c r="E2191" s="5">
        <f ca="1">MAX(0,CP*(D2191-K))</f>
        <v>0</v>
      </c>
      <c r="F2191" s="4">
        <f ca="1">(CP*(D2191-K)&gt;0)*1</f>
        <v>0</v>
      </c>
      <c r="H2191" s="4">
        <v>2176</v>
      </c>
      <c r="I2191" s="3">
        <v>0.66766915189485976</v>
      </c>
      <c r="J2191" s="128">
        <v>1.4689633465414355E-3</v>
      </c>
      <c r="K2191" s="128"/>
      <c r="L2191" s="128">
        <v>4.1399999999999999E-2</v>
      </c>
      <c r="O2191" s="2"/>
    </row>
    <row r="2192" spans="2:15" x14ac:dyDescent="0.2">
      <c r="B2192" s="1">
        <v>2177</v>
      </c>
      <c r="C2192" s="5">
        <f ca="1">_xlfn.NORM.S.INV(RAND())</f>
        <v>-1.3650048751681327</v>
      </c>
      <c r="D2192" s="5">
        <f ca="1">S0*EXP((μ-0.5*σ*σ)*T+σ*SQRT(T)*$C2192)</f>
        <v>0.58083752479495143</v>
      </c>
      <c r="E2192" s="5">
        <f ca="1">MAX(0,CP*(D2192-K))</f>
        <v>0</v>
      </c>
      <c r="F2192" s="4">
        <f ca="1">(CP*(D2192-K)&gt;0)*1</f>
        <v>0</v>
      </c>
      <c r="H2192" s="4">
        <v>2177</v>
      </c>
      <c r="I2192" s="3">
        <v>0.66775653977432559</v>
      </c>
      <c r="J2192" s="128">
        <v>1.448976274138496E-3</v>
      </c>
      <c r="K2192" s="128"/>
      <c r="L2192" s="128">
        <v>4.3200000000000002E-2</v>
      </c>
      <c r="O2192" s="2"/>
    </row>
    <row r="2193" spans="2:15" x14ac:dyDescent="0.2">
      <c r="B2193" s="1">
        <v>2178</v>
      </c>
      <c r="C2193" s="5">
        <f ca="1">_xlfn.NORM.S.INV(RAND())</f>
        <v>0.26182242755931978</v>
      </c>
      <c r="D2193" s="5">
        <f ca="1">S0*EXP((μ-0.5*σ*σ)*T+σ*SQRT(T)*$C2193)</f>
        <v>0.68188147861211812</v>
      </c>
      <c r="E2193" s="5">
        <f ca="1">MAX(0,CP*(D2193-K))</f>
        <v>0</v>
      </c>
      <c r="F2193" s="4">
        <f ca="1">(CP*(D2193-K)&gt;0)*1</f>
        <v>0</v>
      </c>
      <c r="H2193" s="4">
        <v>2178</v>
      </c>
      <c r="I2193" s="3">
        <v>0.66790808148047365</v>
      </c>
      <c r="J2193" s="128">
        <v>1.5531739133218337E-3</v>
      </c>
      <c r="K2193" s="128"/>
      <c r="L2193" s="128">
        <v>4.4400000000000002E-2</v>
      </c>
      <c r="O2193" s="2"/>
    </row>
    <row r="2194" spans="2:15" x14ac:dyDescent="0.2">
      <c r="B2194" s="1">
        <v>2179</v>
      </c>
      <c r="C2194" s="5">
        <f ca="1">_xlfn.NORM.S.INV(RAND())</f>
        <v>2.3495631094384599</v>
      </c>
      <c r="D2194" s="5">
        <f ca="1">S0*EXP((μ-0.5*σ*σ)*T+σ*SQRT(T)*$C2194)</f>
        <v>0.83771749794386619</v>
      </c>
      <c r="E2194" s="5">
        <f ca="1">MAX(0,CP*(D2194-K))</f>
        <v>4.9517497943866173E-2</v>
      </c>
      <c r="F2194" s="4">
        <f ca="1">(CP*(D2194-K)&gt;0)*1</f>
        <v>1</v>
      </c>
      <c r="H2194" s="4">
        <v>2179</v>
      </c>
      <c r="I2194" s="3">
        <v>0.66779491226661214</v>
      </c>
      <c r="J2194" s="128">
        <v>1.4416347014818327E-3</v>
      </c>
      <c r="K2194" s="128"/>
      <c r="L2194" s="128">
        <v>4.0800000000000003E-2</v>
      </c>
      <c r="O2194" s="2"/>
    </row>
    <row r="2195" spans="2:15" x14ac:dyDescent="0.2">
      <c r="B2195" s="1">
        <v>2180</v>
      </c>
      <c r="C2195" s="5">
        <f ca="1">_xlfn.NORM.S.INV(RAND())</f>
        <v>-1.2233373088794863</v>
      </c>
      <c r="D2195" s="5">
        <f ca="1">S0*EXP((μ-0.5*σ*σ)*T+σ*SQRT(T)*$C2195)</f>
        <v>0.58900679326108085</v>
      </c>
      <c r="E2195" s="5">
        <f ca="1">MAX(0,CP*(D2195-K))</f>
        <v>0</v>
      </c>
      <c r="F2195" s="4">
        <f ca="1">(CP*(D2195-K)&gt;0)*1</f>
        <v>0</v>
      </c>
      <c r="H2195" s="4">
        <v>2180</v>
      </c>
      <c r="I2195" s="3">
        <v>0.66785168882487733</v>
      </c>
      <c r="J2195" s="128">
        <v>1.3319135601518549E-3</v>
      </c>
      <c r="K2195" s="128"/>
      <c r="L2195" s="128">
        <v>4.1799999999999997E-2</v>
      </c>
      <c r="O2195" s="2"/>
    </row>
    <row r="2196" spans="2:15" x14ac:dyDescent="0.2">
      <c r="B2196" s="1">
        <v>2181</v>
      </c>
      <c r="C2196" s="5">
        <f ca="1">_xlfn.NORM.S.INV(RAND())</f>
        <v>-0.80607262501586285</v>
      </c>
      <c r="D2196" s="5">
        <f ca="1">S0*EXP((μ-0.5*σ*σ)*T+σ*SQRT(T)*$C2196)</f>
        <v>0.61374208723111656</v>
      </c>
      <c r="E2196" s="5">
        <f ca="1">MAX(0,CP*(D2196-K))</f>
        <v>0</v>
      </c>
      <c r="F2196" s="4">
        <f ca="1">(CP*(D2196-K)&gt;0)*1</f>
        <v>0</v>
      </c>
      <c r="H2196" s="4">
        <v>2181</v>
      </c>
      <c r="I2196" s="3">
        <v>0.66772116369252399</v>
      </c>
      <c r="J2196" s="128">
        <v>1.3960423173927743E-3</v>
      </c>
      <c r="K2196" s="128"/>
      <c r="L2196" s="128">
        <v>4.3799999999999999E-2</v>
      </c>
      <c r="O2196" s="2"/>
    </row>
    <row r="2197" spans="2:15" x14ac:dyDescent="0.2">
      <c r="B2197" s="1">
        <v>2182</v>
      </c>
      <c r="C2197" s="5">
        <f ca="1">_xlfn.NORM.S.INV(RAND())</f>
        <v>-1.9325632085864861</v>
      </c>
      <c r="D2197" s="5">
        <f ca="1">S0*EXP((μ-0.5*σ*σ)*T+σ*SQRT(T)*$C2197)</f>
        <v>0.54922979837558628</v>
      </c>
      <c r="E2197" s="5">
        <f ca="1">MAX(0,CP*(D2197-K))</f>
        <v>0</v>
      </c>
      <c r="F2197" s="4">
        <f ca="1">(CP*(D2197-K)&gt;0)*1</f>
        <v>0</v>
      </c>
      <c r="H2197" s="4">
        <v>2182</v>
      </c>
      <c r="I2197" s="3">
        <v>0.66772699645645028</v>
      </c>
      <c r="J2197" s="128">
        <v>1.412840800693963E-3</v>
      </c>
      <c r="K2197" s="128"/>
      <c r="L2197" s="128">
        <v>4.2999999999999997E-2</v>
      </c>
      <c r="O2197" s="2"/>
    </row>
    <row r="2198" spans="2:15" x14ac:dyDescent="0.2">
      <c r="B2198" s="1">
        <v>2183</v>
      </c>
      <c r="C2198" s="5">
        <f ca="1">_xlfn.NORM.S.INV(RAND())</f>
        <v>6.322942779405924E-2</v>
      </c>
      <c r="D2198" s="5">
        <f ca="1">S0*EXP((μ-0.5*σ*σ)*T+σ*SQRT(T)*$C2198)</f>
        <v>0.66866091382148429</v>
      </c>
      <c r="E2198" s="5">
        <f ca="1">MAX(0,CP*(D2198-K))</f>
        <v>0</v>
      </c>
      <c r="F2198" s="4">
        <f ca="1">(CP*(D2198-K)&gt;0)*1</f>
        <v>0</v>
      </c>
      <c r="H2198" s="4">
        <v>2183</v>
      </c>
      <c r="I2198" s="3">
        <v>0.66765302932036608</v>
      </c>
      <c r="J2198" s="128">
        <v>1.3777710500008176E-3</v>
      </c>
      <c r="K2198" s="128"/>
      <c r="L2198" s="128">
        <v>3.7600000000000001E-2</v>
      </c>
      <c r="O2198" s="2"/>
    </row>
    <row r="2199" spans="2:15" x14ac:dyDescent="0.2">
      <c r="B2199" s="1">
        <v>2184</v>
      </c>
      <c r="C2199" s="5">
        <f ca="1">_xlfn.NORM.S.INV(RAND())</f>
        <v>1.3432078591246945</v>
      </c>
      <c r="D2199" s="5">
        <f ca="1">S0*EXP((μ-0.5*σ*σ)*T+σ*SQRT(T)*$C2199)</f>
        <v>0.75859414512880752</v>
      </c>
      <c r="E2199" s="5">
        <f ca="1">MAX(0,CP*(D2199-K))</f>
        <v>0</v>
      </c>
      <c r="F2199" s="4">
        <f ca="1">(CP*(D2199-K)&gt;0)*1</f>
        <v>0</v>
      </c>
      <c r="H2199" s="4">
        <v>2184</v>
      </c>
      <c r="I2199" s="3">
        <v>0.66786479539660981</v>
      </c>
      <c r="J2199" s="128">
        <v>1.5745471759662322E-3</v>
      </c>
      <c r="K2199" s="128"/>
      <c r="L2199" s="128">
        <v>4.2999999999999997E-2</v>
      </c>
      <c r="O2199" s="2"/>
    </row>
    <row r="2200" spans="2:15" x14ac:dyDescent="0.2">
      <c r="B2200" s="1">
        <v>2185</v>
      </c>
      <c r="C2200" s="5">
        <f ca="1">_xlfn.NORM.S.INV(RAND())</f>
        <v>0.77351935319427267</v>
      </c>
      <c r="D2200" s="5">
        <f ca="1">S0*EXP((μ-0.5*σ*σ)*T+σ*SQRT(T)*$C2200)</f>
        <v>0.71716272174299522</v>
      </c>
      <c r="E2200" s="5">
        <f ca="1">MAX(0,CP*(D2200-K))</f>
        <v>0</v>
      </c>
      <c r="F2200" s="4">
        <f ca="1">(CP*(D2200-K)&gt;0)*1</f>
        <v>0</v>
      </c>
      <c r="H2200" s="4">
        <v>2185</v>
      </c>
      <c r="I2200" s="3">
        <v>0.66787575700442725</v>
      </c>
      <c r="J2200" s="128">
        <v>1.3786630001624055E-3</v>
      </c>
      <c r="K2200" s="128"/>
      <c r="L2200" s="128">
        <v>4.48E-2</v>
      </c>
      <c r="O2200" s="2"/>
    </row>
    <row r="2201" spans="2:15" x14ac:dyDescent="0.2">
      <c r="B2201" s="1">
        <v>2186</v>
      </c>
      <c r="C2201" s="5">
        <f ca="1">_xlfn.NORM.S.INV(RAND())</f>
        <v>0.42817084758365681</v>
      </c>
      <c r="D2201" s="5">
        <f ca="1">S0*EXP((μ-0.5*σ*σ)*T+σ*SQRT(T)*$C2201)</f>
        <v>0.6931564474038201</v>
      </c>
      <c r="E2201" s="5">
        <f ca="1">MAX(0,CP*(D2201-K))</f>
        <v>0</v>
      </c>
      <c r="F2201" s="4">
        <f ca="1">(CP*(D2201-K)&gt;0)*1</f>
        <v>0</v>
      </c>
      <c r="H2201" s="4">
        <v>2186</v>
      </c>
      <c r="I2201" s="3">
        <v>0.66775092006057102</v>
      </c>
      <c r="J2201" s="128">
        <v>1.5150653019728724E-3</v>
      </c>
      <c r="K2201" s="128"/>
      <c r="L2201" s="128">
        <v>4.2999999999999997E-2</v>
      </c>
      <c r="O2201" s="2"/>
    </row>
    <row r="2202" spans="2:15" x14ac:dyDescent="0.2">
      <c r="B2202" s="1">
        <v>2187</v>
      </c>
      <c r="C2202" s="5">
        <f ca="1">_xlfn.NORM.S.INV(RAND())</f>
        <v>-1.0936155015861178</v>
      </c>
      <c r="D2202" s="5">
        <f ca="1">S0*EXP((μ-0.5*σ*σ)*T+σ*SQRT(T)*$C2202)</f>
        <v>0.5965879427202091</v>
      </c>
      <c r="E2202" s="5">
        <f ca="1">MAX(0,CP*(D2202-K))</f>
        <v>0</v>
      </c>
      <c r="F2202" s="4">
        <f ca="1">(CP*(D2202-K)&gt;0)*1</f>
        <v>0</v>
      </c>
      <c r="H2202" s="4">
        <v>2187</v>
      </c>
      <c r="I2202" s="3">
        <v>0.66770590871772451</v>
      </c>
      <c r="J2202" s="128">
        <v>1.314999501511665E-3</v>
      </c>
      <c r="K2202" s="128"/>
      <c r="L2202" s="128">
        <v>4.24E-2</v>
      </c>
      <c r="O2202" s="2"/>
    </row>
    <row r="2203" spans="2:15" x14ac:dyDescent="0.2">
      <c r="B2203" s="1">
        <v>2188</v>
      </c>
      <c r="C2203" s="5">
        <f ca="1">_xlfn.NORM.S.INV(RAND())</f>
        <v>1.0871962566976858</v>
      </c>
      <c r="D2203" s="5">
        <f ca="1">S0*EXP((μ-0.5*σ*σ)*T+σ*SQRT(T)*$C2203)</f>
        <v>0.73968718593863314</v>
      </c>
      <c r="E2203" s="5">
        <f ca="1">MAX(0,CP*(D2203-K))</f>
        <v>0</v>
      </c>
      <c r="F2203" s="4">
        <f ca="1">(CP*(D2203-K)&gt;0)*1</f>
        <v>0</v>
      </c>
      <c r="H2203" s="4">
        <v>2188</v>
      </c>
      <c r="I2203" s="3">
        <v>0.66786123462276059</v>
      </c>
      <c r="J2203" s="128">
        <v>1.3636544185816155E-3</v>
      </c>
      <c r="K2203" s="128"/>
      <c r="L2203" s="128">
        <v>4.5199999999999997E-2</v>
      </c>
      <c r="O2203" s="2"/>
    </row>
    <row r="2204" spans="2:15" x14ac:dyDescent="0.2">
      <c r="B2204" s="1">
        <v>2189</v>
      </c>
      <c r="C2204" s="5">
        <f ca="1">_xlfn.NORM.S.INV(RAND())</f>
        <v>-0.43216125409394579</v>
      </c>
      <c r="D2204" s="5">
        <f ca="1">S0*EXP((μ-0.5*σ*σ)*T+σ*SQRT(T)*$C2204)</f>
        <v>0.63678861919148233</v>
      </c>
      <c r="E2204" s="5">
        <f ca="1">MAX(0,CP*(D2204-K))</f>
        <v>0</v>
      </c>
      <c r="F2204" s="4">
        <f ca="1">(CP*(D2204-K)&gt;0)*1</f>
        <v>0</v>
      </c>
      <c r="H2204" s="4">
        <v>2189</v>
      </c>
      <c r="I2204" s="3">
        <v>0.6677519103083096</v>
      </c>
      <c r="J2204" s="128">
        <v>1.2863064771827324E-3</v>
      </c>
      <c r="K2204" s="128"/>
      <c r="L2204" s="128">
        <v>4.2799999999999998E-2</v>
      </c>
      <c r="O2204" s="2"/>
    </row>
    <row r="2205" spans="2:15" x14ac:dyDescent="0.2">
      <c r="B2205" s="1">
        <v>2190</v>
      </c>
      <c r="C2205" s="5">
        <f ca="1">_xlfn.NORM.S.INV(RAND())</f>
        <v>-0.42362497397160226</v>
      </c>
      <c r="D2205" s="5">
        <f ca="1">S0*EXP((μ-0.5*σ*σ)*T+σ*SQRT(T)*$C2205)</f>
        <v>0.63732474711722042</v>
      </c>
      <c r="E2205" s="5">
        <f ca="1">MAX(0,CP*(D2205-K))</f>
        <v>0</v>
      </c>
      <c r="F2205" s="4">
        <f ca="1">(CP*(D2205-K)&gt;0)*1</f>
        <v>0</v>
      </c>
      <c r="H2205" s="4">
        <v>2190</v>
      </c>
      <c r="I2205" s="3">
        <v>0.6677714096079429</v>
      </c>
      <c r="J2205" s="128">
        <v>1.2828184312604048E-3</v>
      </c>
      <c r="K2205" s="128"/>
      <c r="L2205" s="128">
        <v>4.2200000000000001E-2</v>
      </c>
      <c r="O2205" s="2"/>
    </row>
    <row r="2206" spans="2:15" x14ac:dyDescent="0.2">
      <c r="B2206" s="1">
        <v>2191</v>
      </c>
      <c r="C2206" s="5">
        <f ca="1">_xlfn.NORM.S.INV(RAND())</f>
        <v>-1.4259708904479431</v>
      </c>
      <c r="D2206" s="5">
        <f ca="1">S0*EXP((μ-0.5*σ*σ)*T+σ*SQRT(T)*$C2206)</f>
        <v>0.57735688011636088</v>
      </c>
      <c r="E2206" s="5">
        <f ca="1">MAX(0,CP*(D2206-K))</f>
        <v>0</v>
      </c>
      <c r="F2206" s="4">
        <f ca="1">(CP*(D2206-K)&gt;0)*1</f>
        <v>0</v>
      </c>
      <c r="H2206" s="4">
        <v>2191</v>
      </c>
      <c r="I2206" s="3">
        <v>0.66772782765435013</v>
      </c>
      <c r="J2206" s="128">
        <v>1.4542163021005001E-3</v>
      </c>
      <c r="K2206" s="128"/>
      <c r="L2206" s="128">
        <v>3.9600000000000003E-2</v>
      </c>
      <c r="O2206" s="2"/>
    </row>
    <row r="2207" spans="2:15" x14ac:dyDescent="0.2">
      <c r="B2207" s="1">
        <v>2192</v>
      </c>
      <c r="C2207" s="5">
        <f ca="1">_xlfn.NORM.S.INV(RAND())</f>
        <v>0.21546708816176466</v>
      </c>
      <c r="D2207" s="5">
        <f ca="1">S0*EXP((μ-0.5*σ*σ)*T+σ*SQRT(T)*$C2207)</f>
        <v>0.67877235218006404</v>
      </c>
      <c r="E2207" s="5">
        <f ca="1">MAX(0,CP*(D2207-K))</f>
        <v>0</v>
      </c>
      <c r="F2207" s="4">
        <f ca="1">(CP*(D2207-K)&gt;0)*1</f>
        <v>0</v>
      </c>
      <c r="H2207" s="4">
        <v>2192</v>
      </c>
      <c r="I2207" s="3">
        <v>0.66793328829652443</v>
      </c>
      <c r="J2207" s="128">
        <v>1.6275118100473212E-3</v>
      </c>
      <c r="K2207" s="128"/>
      <c r="L2207" s="128">
        <v>4.5999999999999999E-2</v>
      </c>
      <c r="O2207" s="2"/>
    </row>
    <row r="2208" spans="2:15" x14ac:dyDescent="0.2">
      <c r="B2208" s="1">
        <v>2193</v>
      </c>
      <c r="C2208" s="5">
        <f ca="1">_xlfn.NORM.S.INV(RAND())</f>
        <v>0.73801299777244611</v>
      </c>
      <c r="D2208" s="5">
        <f ca="1">S0*EXP((μ-0.5*σ*σ)*T+σ*SQRT(T)*$C2208)</f>
        <v>0.71465669543892785</v>
      </c>
      <c r="E2208" s="5">
        <f ca="1">MAX(0,CP*(D2208-K))</f>
        <v>0</v>
      </c>
      <c r="F2208" s="4">
        <f ca="1">(CP*(D2208-K)&gt;0)*1</f>
        <v>0</v>
      </c>
      <c r="H2208" s="4">
        <v>2193</v>
      </c>
      <c r="I2208" s="3">
        <v>0.66774831913224231</v>
      </c>
      <c r="J2208" s="128">
        <v>1.5146307423703461E-3</v>
      </c>
      <c r="K2208" s="128"/>
      <c r="L2208" s="128">
        <v>0.04</v>
      </c>
      <c r="O2208" s="2"/>
    </row>
    <row r="2209" spans="2:15" x14ac:dyDescent="0.2">
      <c r="B2209" s="1">
        <v>2194</v>
      </c>
      <c r="C2209" s="5">
        <f ca="1">_xlfn.NORM.S.INV(RAND())</f>
        <v>0.89019387414791562</v>
      </c>
      <c r="D2209" s="5">
        <f ca="1">S0*EXP((μ-0.5*σ*σ)*T+σ*SQRT(T)*$C2209)</f>
        <v>0.72545961715928919</v>
      </c>
      <c r="E2209" s="5">
        <f ca="1">MAX(0,CP*(D2209-K))</f>
        <v>0</v>
      </c>
      <c r="F2209" s="4">
        <f ca="1">(CP*(D2209-K)&gt;0)*1</f>
        <v>0</v>
      </c>
      <c r="H2209" s="4">
        <v>2194</v>
      </c>
      <c r="I2209" s="3">
        <v>0.66782705713780255</v>
      </c>
      <c r="J2209" s="128">
        <v>1.4654321267223362E-3</v>
      </c>
      <c r="K2209" s="128"/>
      <c r="L2209" s="128">
        <v>4.2799999999999998E-2</v>
      </c>
      <c r="O2209" s="2"/>
    </row>
    <row r="2210" spans="2:15" x14ac:dyDescent="0.2">
      <c r="B2210" s="1">
        <v>2195</v>
      </c>
      <c r="C2210" s="5">
        <f ca="1">_xlfn.NORM.S.INV(RAND())</f>
        <v>0.98510054184012308</v>
      </c>
      <c r="D2210" s="5">
        <f ca="1">S0*EXP((μ-0.5*σ*σ)*T+σ*SQRT(T)*$C2210)</f>
        <v>0.73227931344347652</v>
      </c>
      <c r="E2210" s="5">
        <f ca="1">MAX(0,CP*(D2210-K))</f>
        <v>0</v>
      </c>
      <c r="F2210" s="4">
        <f ca="1">(CP*(D2210-K)&gt;0)*1</f>
        <v>0</v>
      </c>
      <c r="H2210" s="4">
        <v>2195</v>
      </c>
      <c r="I2210" s="3">
        <v>0.66770041870081276</v>
      </c>
      <c r="J2210" s="128">
        <v>1.2755167892096102E-3</v>
      </c>
      <c r="K2210" s="128"/>
      <c r="L2210" s="128">
        <v>3.9600000000000003E-2</v>
      </c>
      <c r="O2210" s="2"/>
    </row>
    <row r="2211" spans="2:15" x14ac:dyDescent="0.2">
      <c r="B2211" s="1">
        <v>2196</v>
      </c>
      <c r="C2211" s="5">
        <f ca="1">_xlfn.NORM.S.INV(RAND())</f>
        <v>-2.7931825509064057</v>
      </c>
      <c r="D2211" s="5">
        <f ca="1">S0*EXP((μ-0.5*σ*σ)*T+σ*SQRT(T)*$C2211)</f>
        <v>0.50455186881899661</v>
      </c>
      <c r="E2211" s="5">
        <f ca="1">MAX(0,CP*(D2211-K))</f>
        <v>0</v>
      </c>
      <c r="F2211" s="4">
        <f ca="1">(CP*(D2211-K)&gt;0)*1</f>
        <v>0</v>
      </c>
      <c r="H2211" s="4">
        <v>2196</v>
      </c>
      <c r="I2211" s="3">
        <v>0.6677130900354763</v>
      </c>
      <c r="J2211" s="128">
        <v>1.2344167725051648E-3</v>
      </c>
      <c r="K2211" s="128"/>
      <c r="L2211" s="128">
        <v>4.02E-2</v>
      </c>
      <c r="O2211" s="2"/>
    </row>
    <row r="2212" spans="2:15" x14ac:dyDescent="0.2">
      <c r="B2212" s="1">
        <v>2197</v>
      </c>
      <c r="C2212" s="5">
        <f ca="1">_xlfn.NORM.S.INV(RAND())</f>
        <v>-1.3846373375279633</v>
      </c>
      <c r="D2212" s="5">
        <f ca="1">S0*EXP((μ-0.5*σ*σ)*T+σ*SQRT(T)*$C2212)</f>
        <v>0.57971439244603529</v>
      </c>
      <c r="E2212" s="5">
        <f ca="1">MAX(0,CP*(D2212-K))</f>
        <v>0</v>
      </c>
      <c r="F2212" s="4">
        <f ca="1">(CP*(D2212-K)&gt;0)*1</f>
        <v>0</v>
      </c>
      <c r="H2212" s="4">
        <v>2197</v>
      </c>
      <c r="I2212" s="3">
        <v>0.66762266764866762</v>
      </c>
      <c r="J2212" s="128">
        <v>1.3522756945939015E-3</v>
      </c>
      <c r="K2212" s="128"/>
      <c r="L2212" s="128">
        <v>4.0800000000000003E-2</v>
      </c>
      <c r="O2212" s="2"/>
    </row>
    <row r="2213" spans="2:15" x14ac:dyDescent="0.2">
      <c r="B2213" s="1">
        <v>2198</v>
      </c>
      <c r="C2213" s="5">
        <f ca="1">_xlfn.NORM.S.INV(RAND())</f>
        <v>-0.55769574806137634</v>
      </c>
      <c r="D2213" s="5">
        <f ca="1">S0*EXP((μ-0.5*σ*σ)*T+σ*SQRT(T)*$C2213)</f>
        <v>0.62895620907989769</v>
      </c>
      <c r="E2213" s="5">
        <f ca="1">MAX(0,CP*(D2213-K))</f>
        <v>0</v>
      </c>
      <c r="F2213" s="4">
        <f ca="1">(CP*(D2213-K)&gt;0)*1</f>
        <v>0</v>
      </c>
      <c r="H2213" s="4">
        <v>2198</v>
      </c>
      <c r="I2213" s="3">
        <v>0.66778852895811147</v>
      </c>
      <c r="J2213" s="128">
        <v>1.4539493279162945E-3</v>
      </c>
      <c r="K2213" s="128"/>
      <c r="L2213" s="128">
        <v>4.24E-2</v>
      </c>
      <c r="O2213" s="2"/>
    </row>
    <row r="2214" spans="2:15" x14ac:dyDescent="0.2">
      <c r="B2214" s="1">
        <v>2199</v>
      </c>
      <c r="C2214" s="5">
        <f ca="1">_xlfn.NORM.S.INV(RAND())</f>
        <v>1.1030551344320851</v>
      </c>
      <c r="D2214" s="5">
        <f ca="1">S0*EXP((μ-0.5*σ*σ)*T+σ*SQRT(T)*$C2214)</f>
        <v>0.74084458151382349</v>
      </c>
      <c r="E2214" s="5">
        <f ca="1">MAX(0,CP*(D2214-K))</f>
        <v>0</v>
      </c>
      <c r="F2214" s="4">
        <f ca="1">(CP*(D2214-K)&gt;0)*1</f>
        <v>0</v>
      </c>
      <c r="H2214" s="4">
        <v>2199</v>
      </c>
      <c r="I2214" s="3">
        <v>0.66782627416100071</v>
      </c>
      <c r="J2214" s="128">
        <v>1.3921617922510229E-3</v>
      </c>
      <c r="K2214" s="128"/>
      <c r="L2214" s="128">
        <v>4.5400000000000003E-2</v>
      </c>
      <c r="O2214" s="2"/>
    </row>
    <row r="2215" spans="2:15" x14ac:dyDescent="0.2">
      <c r="B2215" s="1">
        <v>2200</v>
      </c>
      <c r="C2215" s="5">
        <f ca="1">_xlfn.NORM.S.INV(RAND())</f>
        <v>-8.1134017268230579E-2</v>
      </c>
      <c r="D2215" s="5">
        <f ca="1">S0*EXP((μ-0.5*σ*σ)*T+σ*SQRT(T)*$C2215)</f>
        <v>0.6592116488208718</v>
      </c>
      <c r="E2215" s="5">
        <f ca="1">MAX(0,CP*(D2215-K))</f>
        <v>0</v>
      </c>
      <c r="F2215" s="4">
        <f ca="1">(CP*(D2215-K)&gt;0)*1</f>
        <v>0</v>
      </c>
      <c r="H2215" s="4">
        <v>2200</v>
      </c>
      <c r="I2215" s="3">
        <v>0.66757697383928105</v>
      </c>
      <c r="J2215" s="128">
        <v>1.1825339598530934E-3</v>
      </c>
      <c r="K2215" s="128"/>
      <c r="L2215" s="128">
        <v>0.04</v>
      </c>
      <c r="O2215" s="2"/>
    </row>
    <row r="2216" spans="2:15" x14ac:dyDescent="0.2">
      <c r="B2216" s="1">
        <v>2201</v>
      </c>
      <c r="C2216" s="5">
        <f ca="1">_xlfn.NORM.S.INV(RAND())</f>
        <v>0.39749791139710489</v>
      </c>
      <c r="D2216" s="5">
        <f ca="1">S0*EXP((μ-0.5*σ*σ)*T+σ*SQRT(T)*$C2216)</f>
        <v>0.69106353111437224</v>
      </c>
      <c r="E2216" s="5">
        <f ca="1">MAX(0,CP*(D2216-K))</f>
        <v>0</v>
      </c>
      <c r="F2216" s="4">
        <f ca="1">(CP*(D2216-K)&gt;0)*1</f>
        <v>0</v>
      </c>
      <c r="H2216" s="4">
        <v>2201</v>
      </c>
      <c r="I2216" s="3">
        <v>0.66771770224751825</v>
      </c>
      <c r="J2216" s="128">
        <v>1.315390632680208E-3</v>
      </c>
      <c r="K2216" s="128"/>
      <c r="L2216" s="128">
        <v>3.8600000000000002E-2</v>
      </c>
      <c r="O2216" s="2"/>
    </row>
    <row r="2217" spans="2:15" x14ac:dyDescent="0.2">
      <c r="B2217" s="1">
        <v>2202</v>
      </c>
      <c r="C2217" s="5">
        <f ca="1">_xlfn.NORM.S.INV(RAND())</f>
        <v>0.14067497266806966</v>
      </c>
      <c r="D2217" s="5">
        <f ca="1">S0*EXP((μ-0.5*σ*σ)*T+σ*SQRT(T)*$C2217)</f>
        <v>0.67378578680982693</v>
      </c>
      <c r="E2217" s="5">
        <f ca="1">MAX(0,CP*(D2217-K))</f>
        <v>0</v>
      </c>
      <c r="F2217" s="4">
        <f ca="1">(CP*(D2217-K)&gt;0)*1</f>
        <v>0</v>
      </c>
      <c r="H2217" s="4">
        <v>2202</v>
      </c>
      <c r="I2217" s="3">
        <v>0.66777083566302076</v>
      </c>
      <c r="J2217" s="128">
        <v>1.3584674431602747E-3</v>
      </c>
      <c r="K2217" s="128"/>
      <c r="L2217" s="128">
        <v>4.2799999999999998E-2</v>
      </c>
      <c r="O2217" s="2"/>
    </row>
    <row r="2218" spans="2:15" x14ac:dyDescent="0.2">
      <c r="B2218" s="1">
        <v>2203</v>
      </c>
      <c r="C2218" s="5">
        <f ca="1">_xlfn.NORM.S.INV(RAND())</f>
        <v>1.4400380052508195</v>
      </c>
      <c r="D2218" s="5">
        <f ca="1">S0*EXP((μ-0.5*σ*σ)*T+σ*SQRT(T)*$C2218)</f>
        <v>0.76587054207315253</v>
      </c>
      <c r="E2218" s="5">
        <f ca="1">MAX(0,CP*(D2218-K))</f>
        <v>0</v>
      </c>
      <c r="F2218" s="4">
        <f ca="1">(CP*(D2218-K)&gt;0)*1</f>
        <v>0</v>
      </c>
      <c r="H2218" s="4">
        <v>2203</v>
      </c>
      <c r="I2218" s="3">
        <v>0.66780171018975298</v>
      </c>
      <c r="J2218" s="128">
        <v>1.3665912528662023E-3</v>
      </c>
      <c r="K2218" s="128"/>
      <c r="L2218" s="128">
        <v>4.24E-2</v>
      </c>
      <c r="O2218" s="2"/>
    </row>
    <row r="2219" spans="2:15" x14ac:dyDescent="0.2">
      <c r="B2219" s="1">
        <v>2204</v>
      </c>
      <c r="C2219" s="5">
        <f ca="1">_xlfn.NORM.S.INV(RAND())</f>
        <v>0.96096241122812576</v>
      </c>
      <c r="D2219" s="5">
        <f ca="1">S0*EXP((μ-0.5*σ*σ)*T+σ*SQRT(T)*$C2219)</f>
        <v>0.73053876757531744</v>
      </c>
      <c r="E2219" s="5">
        <f ca="1">MAX(0,CP*(D2219-K))</f>
        <v>0</v>
      </c>
      <c r="F2219" s="4">
        <f ca="1">(CP*(D2219-K)&gt;0)*1</f>
        <v>0</v>
      </c>
      <c r="H2219" s="4">
        <v>2204</v>
      </c>
      <c r="I2219" s="3">
        <v>0.66765332105814512</v>
      </c>
      <c r="J2219" s="128">
        <v>1.1860499500507247E-3</v>
      </c>
      <c r="K2219" s="128"/>
      <c r="L2219" s="128">
        <v>4.1399999999999999E-2</v>
      </c>
      <c r="O2219" s="2"/>
    </row>
    <row r="2220" spans="2:15" x14ac:dyDescent="0.2">
      <c r="B2220" s="1">
        <v>2205</v>
      </c>
      <c r="C2220" s="5">
        <f ca="1">_xlfn.NORM.S.INV(RAND())</f>
        <v>-0.57168702478561784</v>
      </c>
      <c r="D2220" s="5">
        <f ca="1">S0*EXP((μ-0.5*σ*σ)*T+σ*SQRT(T)*$C2220)</f>
        <v>0.62808924723424819</v>
      </c>
      <c r="E2220" s="5">
        <f ca="1">MAX(0,CP*(D2220-K))</f>
        <v>0</v>
      </c>
      <c r="F2220" s="4">
        <f ca="1">(CP*(D2220-K)&gt;0)*1</f>
        <v>0</v>
      </c>
      <c r="H2220" s="4">
        <v>2205</v>
      </c>
      <c r="I2220" s="3">
        <v>0.66766605838138027</v>
      </c>
      <c r="J2220" s="128">
        <v>1.3087771507674041E-3</v>
      </c>
      <c r="K2220" s="128"/>
      <c r="L2220" s="128">
        <v>4.02E-2</v>
      </c>
      <c r="O2220" s="2"/>
    </row>
    <row r="2221" spans="2:15" x14ac:dyDescent="0.2">
      <c r="B2221" s="1">
        <v>2206</v>
      </c>
      <c r="C2221" s="5">
        <f ca="1">_xlfn.NORM.S.INV(RAND())</f>
        <v>-1.9209383587103115</v>
      </c>
      <c r="D2221" s="5">
        <f ca="1">S0*EXP((μ-0.5*σ*σ)*T+σ*SQRT(T)*$C2221)</f>
        <v>0.5498596120039031</v>
      </c>
      <c r="E2221" s="5">
        <f ca="1">MAX(0,CP*(D2221-K))</f>
        <v>0</v>
      </c>
      <c r="F2221" s="4">
        <f ca="1">(CP*(D2221-K)&gt;0)*1</f>
        <v>0</v>
      </c>
      <c r="H2221" s="4">
        <v>2206</v>
      </c>
      <c r="I2221" s="3">
        <v>0.66781655898133663</v>
      </c>
      <c r="J2221" s="128">
        <v>1.3118931214673279E-3</v>
      </c>
      <c r="K2221" s="128"/>
      <c r="L2221" s="128">
        <v>4.4200000000000003E-2</v>
      </c>
      <c r="O2221" s="2"/>
    </row>
    <row r="2222" spans="2:15" x14ac:dyDescent="0.2">
      <c r="B2222" s="1">
        <v>2207</v>
      </c>
      <c r="C2222" s="5">
        <f ca="1">_xlfn.NORM.S.INV(RAND())</f>
        <v>-0.10089433448130103</v>
      </c>
      <c r="D2222" s="5">
        <f ca="1">S0*EXP((μ-0.5*σ*σ)*T+σ*SQRT(T)*$C2222)</f>
        <v>0.65792867573589453</v>
      </c>
      <c r="E2222" s="5">
        <f ca="1">MAX(0,CP*(D2222-K))</f>
        <v>0</v>
      </c>
      <c r="F2222" s="4">
        <f ca="1">(CP*(D2222-K)&gt;0)*1</f>
        <v>0</v>
      </c>
      <c r="H2222" s="4">
        <v>2207</v>
      </c>
      <c r="I2222" s="3">
        <v>0.66776966894731427</v>
      </c>
      <c r="J2222" s="128">
        <v>1.4695002026161893E-3</v>
      </c>
      <c r="K2222" s="128"/>
      <c r="L2222" s="128">
        <v>4.3999999999999997E-2</v>
      </c>
      <c r="O2222" s="2"/>
    </row>
    <row r="2223" spans="2:15" x14ac:dyDescent="0.2">
      <c r="B2223" s="1">
        <v>2208</v>
      </c>
      <c r="C2223" s="5">
        <f ca="1">_xlfn.NORM.S.INV(RAND())</f>
        <v>-0.56579111676918925</v>
      </c>
      <c r="D2223" s="5">
        <f ca="1">S0*EXP((μ-0.5*σ*σ)*T+σ*SQRT(T)*$C2223)</f>
        <v>0.62845443818217483</v>
      </c>
      <c r="E2223" s="5">
        <f ca="1">MAX(0,CP*(D2223-K))</f>
        <v>0</v>
      </c>
      <c r="F2223" s="4">
        <f ca="1">(CP*(D2223-K)&gt;0)*1</f>
        <v>0</v>
      </c>
      <c r="H2223" s="4">
        <v>2208</v>
      </c>
      <c r="I2223" s="3">
        <v>0.66767302310113508</v>
      </c>
      <c r="J2223" s="128">
        <v>1.1647636675010896E-3</v>
      </c>
      <c r="K2223" s="128"/>
      <c r="L2223" s="128">
        <v>3.8399999999999997E-2</v>
      </c>
      <c r="O2223" s="2"/>
    </row>
    <row r="2224" spans="2:15" x14ac:dyDescent="0.2">
      <c r="B2224" s="1">
        <v>2209</v>
      </c>
      <c r="C2224" s="5">
        <f ca="1">_xlfn.NORM.S.INV(RAND())</f>
        <v>2.2490433778265038</v>
      </c>
      <c r="D2224" s="5">
        <f ca="1">S0*EXP((μ-0.5*σ*σ)*T+σ*SQRT(T)*$C2224)</f>
        <v>0.8294567289267919</v>
      </c>
      <c r="E2224" s="5">
        <f ca="1">MAX(0,CP*(D2224-K))</f>
        <v>4.1256728926791886E-2</v>
      </c>
      <c r="F2224" s="4">
        <f ca="1">(CP*(D2224-K)&gt;0)*1</f>
        <v>1</v>
      </c>
      <c r="H2224" s="4">
        <v>2209</v>
      </c>
      <c r="I2224" s="3">
        <v>0.66784759618452449</v>
      </c>
      <c r="J2224" s="128">
        <v>1.5339762749270122E-3</v>
      </c>
      <c r="K2224" s="128"/>
      <c r="L2224" s="128">
        <v>4.6399999999999997E-2</v>
      </c>
      <c r="O2224" s="2"/>
    </row>
    <row r="2225" spans="2:15" x14ac:dyDescent="0.2">
      <c r="B2225" s="1">
        <v>2210</v>
      </c>
      <c r="C2225" s="5">
        <f ca="1">_xlfn.NORM.S.INV(RAND())</f>
        <v>-0.62846005495927959</v>
      </c>
      <c r="D2225" s="5">
        <f ca="1">S0*EXP((μ-0.5*σ*σ)*T+σ*SQRT(T)*$C2225)</f>
        <v>0.62458358295324345</v>
      </c>
      <c r="E2225" s="5">
        <f ca="1">MAX(0,CP*(D2225-K))</f>
        <v>0</v>
      </c>
      <c r="F2225" s="4">
        <f ca="1">(CP*(D2225-K)&gt;0)*1</f>
        <v>0</v>
      </c>
      <c r="H2225" s="4">
        <v>2210</v>
      </c>
      <c r="I2225" s="3">
        <v>0.66781398943450243</v>
      </c>
      <c r="J2225" s="128">
        <v>1.3419181805591814E-3</v>
      </c>
      <c r="K2225" s="128"/>
      <c r="L2225" s="128">
        <v>4.3799999999999999E-2</v>
      </c>
      <c r="O2225" s="2"/>
    </row>
    <row r="2226" spans="2:15" x14ac:dyDescent="0.2">
      <c r="B2226" s="1">
        <v>2211</v>
      </c>
      <c r="C2226" s="5">
        <f ca="1">_xlfn.NORM.S.INV(RAND())</f>
        <v>0.32591652850812086</v>
      </c>
      <c r="D2226" s="5">
        <f ca="1">S0*EXP((μ-0.5*σ*σ)*T+σ*SQRT(T)*$C2226)</f>
        <v>0.68620384446583671</v>
      </c>
      <c r="E2226" s="5">
        <f ca="1">MAX(0,CP*(D2226-K))</f>
        <v>0</v>
      </c>
      <c r="F2226" s="4">
        <f ca="1">(CP*(D2226-K)&gt;0)*1</f>
        <v>0</v>
      </c>
      <c r="H2226" s="4">
        <v>2211</v>
      </c>
      <c r="I2226" s="3">
        <v>0.66764544224651001</v>
      </c>
      <c r="J2226" s="128">
        <v>1.3634371810178109E-3</v>
      </c>
      <c r="K2226" s="128"/>
      <c r="L2226" s="128">
        <v>3.9199999999999999E-2</v>
      </c>
      <c r="O2226" s="2"/>
    </row>
    <row r="2227" spans="2:15" x14ac:dyDescent="0.2">
      <c r="B2227" s="1">
        <v>2212</v>
      </c>
      <c r="C2227" s="5">
        <f ca="1">_xlfn.NORM.S.INV(RAND())</f>
        <v>-3.2276314725098461</v>
      </c>
      <c r="D2227" s="5">
        <f ca="1">S0*EXP((μ-0.5*σ*σ)*T+σ*SQRT(T)*$C2227)</f>
        <v>0.48339756301904102</v>
      </c>
      <c r="E2227" s="5">
        <f ca="1">MAX(0,CP*(D2227-K))</f>
        <v>0</v>
      </c>
      <c r="F2227" s="4">
        <f ca="1">(CP*(D2227-K)&gt;0)*1</f>
        <v>0</v>
      </c>
      <c r="H2227" s="4">
        <v>2212</v>
      </c>
      <c r="I2227" s="3">
        <v>0.66778294961891826</v>
      </c>
      <c r="J2227" s="128">
        <v>1.4181683612624198E-3</v>
      </c>
      <c r="K2227" s="128"/>
      <c r="L2227" s="128">
        <v>4.3400000000000001E-2</v>
      </c>
      <c r="O2227" s="2"/>
    </row>
    <row r="2228" spans="2:15" x14ac:dyDescent="0.2">
      <c r="B2228" s="1">
        <v>2213</v>
      </c>
      <c r="C2228" s="5">
        <f ca="1">_xlfn.NORM.S.INV(RAND())</f>
        <v>-1.6959012018520605</v>
      </c>
      <c r="D2228" s="5">
        <f ca="1">S0*EXP((μ-0.5*σ*σ)*T+σ*SQRT(T)*$C2228)</f>
        <v>0.56219504150941091</v>
      </c>
      <c r="E2228" s="5">
        <f ca="1">MAX(0,CP*(D2228-K))</f>
        <v>0</v>
      </c>
      <c r="F2228" s="4">
        <f ca="1">(CP*(D2228-K)&gt;0)*1</f>
        <v>0</v>
      </c>
      <c r="H2228" s="4">
        <v>2213</v>
      </c>
      <c r="I2228" s="3">
        <v>0.66771425650372263</v>
      </c>
      <c r="J2228" s="128">
        <v>1.297680796765196E-3</v>
      </c>
      <c r="K2228" s="128"/>
      <c r="L2228" s="128">
        <v>4.2000000000000003E-2</v>
      </c>
      <c r="O2228" s="2"/>
    </row>
    <row r="2229" spans="2:15" x14ac:dyDescent="0.2">
      <c r="B2229" s="1">
        <v>2214</v>
      </c>
      <c r="C2229" s="5">
        <f ca="1">_xlfn.NORM.S.INV(RAND())</f>
        <v>-0.18626729638223416</v>
      </c>
      <c r="D2229" s="5">
        <f ca="1">S0*EXP((μ-0.5*σ*σ)*T+σ*SQRT(T)*$C2229)</f>
        <v>0.65241432351234219</v>
      </c>
      <c r="E2229" s="5">
        <f ca="1">MAX(0,CP*(D2229-K))</f>
        <v>0</v>
      </c>
      <c r="F2229" s="4">
        <f ca="1">(CP*(D2229-K)&gt;0)*1</f>
        <v>0</v>
      </c>
      <c r="H2229" s="4">
        <v>2214</v>
      </c>
      <c r="I2229" s="3">
        <v>0.6677079635840375</v>
      </c>
      <c r="J2229" s="128">
        <v>1.3957957633350087E-3</v>
      </c>
      <c r="K2229" s="128"/>
      <c r="L2229" s="128">
        <v>4.3799999999999999E-2</v>
      </c>
      <c r="O2229" s="2"/>
    </row>
    <row r="2230" spans="2:15" x14ac:dyDescent="0.2">
      <c r="B2230" s="1">
        <v>2215</v>
      </c>
      <c r="C2230" s="5">
        <f ca="1">_xlfn.NORM.S.INV(RAND())</f>
        <v>-0.95871191889084206</v>
      </c>
      <c r="D2230" s="5">
        <f ca="1">S0*EXP((μ-0.5*σ*σ)*T+σ*SQRT(T)*$C2230)</f>
        <v>0.60457544310904388</v>
      </c>
      <c r="E2230" s="5">
        <f ca="1">MAX(0,CP*(D2230-K))</f>
        <v>0</v>
      </c>
      <c r="F2230" s="4">
        <f ca="1">(CP*(D2230-K)&gt;0)*1</f>
        <v>0</v>
      </c>
      <c r="H2230" s="4">
        <v>2215</v>
      </c>
      <c r="I2230" s="3">
        <v>0.66782696951984744</v>
      </c>
      <c r="J2230" s="128">
        <v>1.4866565331976367E-3</v>
      </c>
      <c r="K2230" s="128"/>
      <c r="L2230" s="128">
        <v>4.3999999999999997E-2</v>
      </c>
      <c r="O2230" s="2"/>
    </row>
    <row r="2231" spans="2:15" x14ac:dyDescent="0.2">
      <c r="B2231" s="1">
        <v>2216</v>
      </c>
      <c r="C2231" s="5">
        <f ca="1">_xlfn.NORM.S.INV(RAND())</f>
        <v>7.0535326389850259E-2</v>
      </c>
      <c r="D2231" s="5">
        <f ca="1">S0*EXP((μ-0.5*σ*σ)*T+σ*SQRT(T)*$C2231)</f>
        <v>0.66914270374443263</v>
      </c>
      <c r="E2231" s="5">
        <f ca="1">MAX(0,CP*(D2231-K))</f>
        <v>0</v>
      </c>
      <c r="F2231" s="4">
        <f ca="1">(CP*(D2231-K)&gt;0)*1</f>
        <v>0</v>
      </c>
      <c r="H2231" s="4">
        <v>2216</v>
      </c>
      <c r="I2231" s="3">
        <v>0.66770045731323346</v>
      </c>
      <c r="J2231" s="128">
        <v>1.3114211931515212E-3</v>
      </c>
      <c r="K2231" s="128"/>
      <c r="L2231" s="128">
        <v>4.0800000000000003E-2</v>
      </c>
      <c r="O2231" s="2"/>
    </row>
    <row r="2232" spans="2:15" x14ac:dyDescent="0.2">
      <c r="B2232" s="1">
        <v>2217</v>
      </c>
      <c r="C2232" s="5">
        <f ca="1">_xlfn.NORM.S.INV(RAND())</f>
        <v>1.1096910148371417</v>
      </c>
      <c r="D2232" s="5">
        <f ca="1">S0*EXP((μ-0.5*σ*σ)*T+σ*SQRT(T)*$C2232)</f>
        <v>0.74132941147297304</v>
      </c>
      <c r="E2232" s="5">
        <f ca="1">MAX(0,CP*(D2232-K))</f>
        <v>0</v>
      </c>
      <c r="F2232" s="4">
        <f ca="1">(CP*(D2232-K)&gt;0)*1</f>
        <v>0</v>
      </c>
      <c r="H2232" s="4">
        <v>2217</v>
      </c>
      <c r="I2232" s="3">
        <v>0.66773954589435935</v>
      </c>
      <c r="J2232" s="128">
        <v>1.4200963135354548E-3</v>
      </c>
      <c r="K2232" s="128"/>
      <c r="L2232" s="128">
        <v>4.2200000000000001E-2</v>
      </c>
      <c r="O2232" s="2"/>
    </row>
    <row r="2233" spans="2:15" x14ac:dyDescent="0.2">
      <c r="B2233" s="1">
        <v>2218</v>
      </c>
      <c r="C2233" s="5">
        <f ca="1">_xlfn.NORM.S.INV(RAND())</f>
        <v>0.55993283367414748</v>
      </c>
      <c r="D2233" s="5">
        <f ca="1">S0*EXP((μ-0.5*σ*σ)*T+σ*SQRT(T)*$C2233)</f>
        <v>0.70221934210096426</v>
      </c>
      <c r="E2233" s="5">
        <f ca="1">MAX(0,CP*(D2233-K))</f>
        <v>0</v>
      </c>
      <c r="F2233" s="4">
        <f ca="1">(CP*(D2233-K)&gt;0)*1</f>
        <v>0</v>
      </c>
      <c r="H2233" s="4">
        <v>2218</v>
      </c>
      <c r="I2233" s="3">
        <v>0.66775387400806896</v>
      </c>
      <c r="J2233" s="128">
        <v>1.3036412738185266E-3</v>
      </c>
      <c r="K2233" s="128"/>
      <c r="L2233" s="128">
        <v>4.0599999999999997E-2</v>
      </c>
      <c r="O2233" s="2"/>
    </row>
    <row r="2234" spans="2:15" x14ac:dyDescent="0.2">
      <c r="B2234" s="1">
        <v>2219</v>
      </c>
      <c r="C2234" s="5">
        <f ca="1">_xlfn.NORM.S.INV(RAND())</f>
        <v>-1.1577156426299389</v>
      </c>
      <c r="D2234" s="5">
        <f ca="1">S0*EXP((μ-0.5*σ*σ)*T+σ*SQRT(T)*$C2234)</f>
        <v>0.59282971021429443</v>
      </c>
      <c r="E2234" s="5">
        <f ca="1">MAX(0,CP*(D2234-K))</f>
        <v>0</v>
      </c>
      <c r="F2234" s="4">
        <f ca="1">(CP*(D2234-K)&gt;0)*1</f>
        <v>0</v>
      </c>
      <c r="H2234" s="4">
        <v>2219</v>
      </c>
      <c r="I2234" s="3">
        <v>0.6679036754385026</v>
      </c>
      <c r="J2234" s="128">
        <v>1.6156469038302351E-3</v>
      </c>
      <c r="K2234" s="128"/>
      <c r="L2234" s="128">
        <v>4.6800000000000001E-2</v>
      </c>
      <c r="O2234" s="2"/>
    </row>
    <row r="2235" spans="2:15" x14ac:dyDescent="0.2">
      <c r="B2235" s="1">
        <v>2220</v>
      </c>
      <c r="C2235" s="5">
        <f ca="1">_xlfn.NORM.S.INV(RAND())</f>
        <v>-1.272514146445173</v>
      </c>
      <c r="D2235" s="5">
        <f ca="1">S0*EXP((μ-0.5*σ*σ)*T+σ*SQRT(T)*$C2235)</f>
        <v>0.58615806995299047</v>
      </c>
      <c r="E2235" s="5">
        <f ca="1">MAX(0,CP*(D2235-K))</f>
        <v>0</v>
      </c>
      <c r="F2235" s="4">
        <f ca="1">(CP*(D2235-K)&gt;0)*1</f>
        <v>0</v>
      </c>
      <c r="H2235" s="4">
        <v>2220</v>
      </c>
      <c r="I2235" s="3">
        <v>0.66787497109068139</v>
      </c>
      <c r="J2235" s="128">
        <v>1.4025734812333742E-3</v>
      </c>
      <c r="K2235" s="128"/>
      <c r="L2235" s="128">
        <v>4.3799999999999999E-2</v>
      </c>
      <c r="O2235" s="2"/>
    </row>
    <row r="2236" spans="2:15" x14ac:dyDescent="0.2">
      <c r="B2236" s="1">
        <v>2221</v>
      </c>
      <c r="C2236" s="5">
        <f ca="1">_xlfn.NORM.S.INV(RAND())</f>
        <v>-0.13355425760546993</v>
      </c>
      <c r="D2236" s="5">
        <f ca="1">S0*EXP((μ-0.5*σ*σ)*T+σ*SQRT(T)*$C2236)</f>
        <v>0.65581364492567706</v>
      </c>
      <c r="E2236" s="5">
        <f ca="1">MAX(0,CP*(D2236-K))</f>
        <v>0</v>
      </c>
      <c r="F2236" s="4">
        <f ca="1">(CP*(D2236-K)&gt;0)*1</f>
        <v>0</v>
      </c>
      <c r="H2236" s="4">
        <v>2221</v>
      </c>
      <c r="I2236" s="3">
        <v>0.66765861976022745</v>
      </c>
      <c r="J2236" s="128">
        <v>1.2473538099219323E-3</v>
      </c>
      <c r="K2236" s="128"/>
      <c r="L2236" s="128">
        <v>3.9399999999999998E-2</v>
      </c>
      <c r="O2236" s="2"/>
    </row>
    <row r="2237" spans="2:15" x14ac:dyDescent="0.2">
      <c r="B2237" s="1">
        <v>2222</v>
      </c>
      <c r="C2237" s="5">
        <f ca="1">_xlfn.NORM.S.INV(RAND())</f>
        <v>-0.76660466693989138</v>
      </c>
      <c r="D2237" s="5">
        <f ca="1">S0*EXP((μ-0.5*σ*σ)*T+σ*SQRT(T)*$C2237)</f>
        <v>0.61613483813309078</v>
      </c>
      <c r="E2237" s="5">
        <f ca="1">MAX(0,CP*(D2237-K))</f>
        <v>0</v>
      </c>
      <c r="F2237" s="4">
        <f ca="1">(CP*(D2237-K)&gt;0)*1</f>
        <v>0</v>
      </c>
      <c r="H2237" s="4">
        <v>2222</v>
      </c>
      <c r="I2237" s="3">
        <v>0.6679716166809303</v>
      </c>
      <c r="J2237" s="128">
        <v>1.6933703912512333E-3</v>
      </c>
      <c r="K2237" s="128"/>
      <c r="L2237" s="128">
        <v>4.9200000000000001E-2</v>
      </c>
      <c r="O2237" s="2"/>
    </row>
    <row r="2238" spans="2:15" x14ac:dyDescent="0.2">
      <c r="B2238" s="1">
        <v>2223</v>
      </c>
      <c r="C2238" s="5">
        <f ca="1">_xlfn.NORM.S.INV(RAND())</f>
        <v>1.377085001324643</v>
      </c>
      <c r="D2238" s="5">
        <f ca="1">S0*EXP((μ-0.5*σ*σ)*T+σ*SQRT(T)*$C2238)</f>
        <v>0.76113198033423124</v>
      </c>
      <c r="E2238" s="5">
        <f ca="1">MAX(0,CP*(D2238-K))</f>
        <v>0</v>
      </c>
      <c r="F2238" s="4">
        <f ca="1">(CP*(D2238-K)&gt;0)*1</f>
        <v>0</v>
      </c>
      <c r="H2238" s="4">
        <v>2223</v>
      </c>
      <c r="I2238" s="3">
        <v>0.66768294216629853</v>
      </c>
      <c r="J2238" s="128">
        <v>1.2913609750935002E-3</v>
      </c>
      <c r="K2238" s="128"/>
      <c r="L2238" s="128">
        <v>3.9399999999999998E-2</v>
      </c>
      <c r="O2238" s="2"/>
    </row>
    <row r="2239" spans="2:15" x14ac:dyDescent="0.2">
      <c r="B2239" s="1">
        <v>2224</v>
      </c>
      <c r="C2239" s="5">
        <f ca="1">_xlfn.NORM.S.INV(RAND())</f>
        <v>1.4223945331215002</v>
      </c>
      <c r="D2239" s="5">
        <f ca="1">S0*EXP((μ-0.5*σ*σ)*T+σ*SQRT(T)*$C2239)</f>
        <v>0.76453952543270132</v>
      </c>
      <c r="E2239" s="5">
        <f ca="1">MAX(0,CP*(D2239-K))</f>
        <v>0</v>
      </c>
      <c r="F2239" s="4">
        <f ca="1">(CP*(D2239-K)&gt;0)*1</f>
        <v>0</v>
      </c>
      <c r="H2239" s="4">
        <v>2224</v>
      </c>
      <c r="I2239" s="3">
        <v>0.66778754983237676</v>
      </c>
      <c r="J2239" s="128">
        <v>1.3177150732100109E-3</v>
      </c>
      <c r="K2239" s="128"/>
      <c r="L2239" s="128">
        <v>4.4400000000000002E-2</v>
      </c>
      <c r="O2239" s="2"/>
    </row>
    <row r="2240" spans="2:15" x14ac:dyDescent="0.2">
      <c r="B2240" s="1">
        <v>2225</v>
      </c>
      <c r="C2240" s="5">
        <f ca="1">_xlfn.NORM.S.INV(RAND())</f>
        <v>-0.29667172704013894</v>
      </c>
      <c r="D2240" s="5">
        <f ca="1">S0*EXP((μ-0.5*σ*σ)*T+σ*SQRT(T)*$C2240)</f>
        <v>0.64535163071471158</v>
      </c>
      <c r="E2240" s="5">
        <f ca="1">MAX(0,CP*(D2240-K))</f>
        <v>0</v>
      </c>
      <c r="F2240" s="4">
        <f ca="1">(CP*(D2240-K)&gt;0)*1</f>
        <v>0</v>
      </c>
      <c r="H2240" s="4">
        <v>2225</v>
      </c>
      <c r="I2240" s="3">
        <v>0.66778711748966058</v>
      </c>
      <c r="J2240" s="128">
        <v>1.4823681132296591E-3</v>
      </c>
      <c r="K2240" s="128"/>
      <c r="L2240" s="128">
        <v>4.3200000000000002E-2</v>
      </c>
      <c r="O2240" s="2"/>
    </row>
    <row r="2241" spans="2:15" x14ac:dyDescent="0.2">
      <c r="B2241" s="1">
        <v>2226</v>
      </c>
      <c r="C2241" s="5">
        <f ca="1">_xlfn.NORM.S.INV(RAND())</f>
        <v>0.60463702279014653</v>
      </c>
      <c r="D2241" s="5">
        <f ca="1">S0*EXP((μ-0.5*σ*σ)*T+σ*SQRT(T)*$C2241)</f>
        <v>0.70532104437508381</v>
      </c>
      <c r="E2241" s="5">
        <f ca="1">MAX(0,CP*(D2241-K))</f>
        <v>0</v>
      </c>
      <c r="F2241" s="4">
        <f ca="1">(CP*(D2241-K)&gt;0)*1</f>
        <v>0</v>
      </c>
      <c r="H2241" s="4">
        <v>2226</v>
      </c>
      <c r="I2241" s="3">
        <v>0.6677836605642854</v>
      </c>
      <c r="J2241" s="128">
        <v>1.3491394656774296E-3</v>
      </c>
      <c r="K2241" s="128"/>
      <c r="L2241" s="128">
        <v>4.1799999999999997E-2</v>
      </c>
      <c r="O2241" s="2"/>
    </row>
    <row r="2242" spans="2:15" x14ac:dyDescent="0.2">
      <c r="B2242" s="1">
        <v>2227</v>
      </c>
      <c r="C2242" s="5">
        <f ca="1">_xlfn.NORM.S.INV(RAND())</f>
        <v>-2.6223257280543377</v>
      </c>
      <c r="D2242" s="5">
        <f ca="1">S0*EXP((μ-0.5*σ*σ)*T+σ*SQRT(T)*$C2242)</f>
        <v>0.51312269529525711</v>
      </c>
      <c r="E2242" s="5">
        <f ca="1">MAX(0,CP*(D2242-K))</f>
        <v>0</v>
      </c>
      <c r="F2242" s="4">
        <f ca="1">(CP*(D2242-K)&gt;0)*1</f>
        <v>0</v>
      </c>
      <c r="H2242" s="4">
        <v>2227</v>
      </c>
      <c r="I2242" s="3">
        <v>0.6676524374089513</v>
      </c>
      <c r="J2242" s="128">
        <v>1.2655669115275131E-3</v>
      </c>
      <c r="K2242" s="128"/>
      <c r="L2242" s="128">
        <v>4.0800000000000003E-2</v>
      </c>
      <c r="O2242" s="2"/>
    </row>
    <row r="2243" spans="2:15" x14ac:dyDescent="0.2">
      <c r="B2243" s="1">
        <v>2228</v>
      </c>
      <c r="C2243" s="5">
        <f ca="1">_xlfn.NORM.S.INV(RAND())</f>
        <v>-0.46411491954630607</v>
      </c>
      <c r="D2243" s="5">
        <f ca="1">S0*EXP((μ-0.5*σ*σ)*T+σ*SQRT(T)*$C2243)</f>
        <v>0.63478574434194279</v>
      </c>
      <c r="E2243" s="5">
        <f ca="1">MAX(0,CP*(D2243-K))</f>
        <v>0</v>
      </c>
      <c r="F2243" s="4">
        <f ca="1">(CP*(D2243-K)&gt;0)*1</f>
        <v>0</v>
      </c>
      <c r="H2243" s="4">
        <v>2228</v>
      </c>
      <c r="I2243" s="3">
        <v>0.66786375133693654</v>
      </c>
      <c r="J2243" s="128">
        <v>1.5284345639434874E-3</v>
      </c>
      <c r="K2243" s="128"/>
      <c r="L2243" s="128">
        <v>4.2599999999999999E-2</v>
      </c>
      <c r="O2243" s="2"/>
    </row>
    <row r="2244" spans="2:15" x14ac:dyDescent="0.2">
      <c r="B2244" s="1">
        <v>2229</v>
      </c>
      <c r="C2244" s="5">
        <f ca="1">_xlfn.NORM.S.INV(RAND())</f>
        <v>-0.3574440981944832</v>
      </c>
      <c r="D2244" s="5">
        <f ca="1">S0*EXP((μ-0.5*σ*σ)*T+σ*SQRT(T)*$C2244)</f>
        <v>0.64149663456422901</v>
      </c>
      <c r="E2244" s="5">
        <f ca="1">MAX(0,CP*(D2244-K))</f>
        <v>0</v>
      </c>
      <c r="F2244" s="4">
        <f ca="1">(CP*(D2244-K)&gt;0)*1</f>
        <v>0</v>
      </c>
      <c r="H2244" s="4">
        <v>2229</v>
      </c>
      <c r="I2244" s="3">
        <v>0.66766199368892121</v>
      </c>
      <c r="J2244" s="128">
        <v>1.1282252591104736E-3</v>
      </c>
      <c r="K2244" s="128"/>
      <c r="L2244" s="128">
        <v>3.78E-2</v>
      </c>
      <c r="O2244" s="2"/>
    </row>
    <row r="2245" spans="2:15" x14ac:dyDescent="0.2">
      <c r="B2245" s="1">
        <v>2230</v>
      </c>
      <c r="C2245" s="5">
        <f ca="1">_xlfn.NORM.S.INV(RAND())</f>
        <v>0.97147570048917087</v>
      </c>
      <c r="D2245" s="5">
        <f ca="1">S0*EXP((μ-0.5*σ*σ)*T+σ*SQRT(T)*$C2245)</f>
        <v>0.73129634790489872</v>
      </c>
      <c r="E2245" s="5">
        <f ca="1">MAX(0,CP*(D2245-K))</f>
        <v>0</v>
      </c>
      <c r="F2245" s="4">
        <f ca="1">(CP*(D2245-K)&gt;0)*1</f>
        <v>0</v>
      </c>
      <c r="H2245" s="4">
        <v>2230</v>
      </c>
      <c r="I2245" s="3">
        <v>0.66773545599584805</v>
      </c>
      <c r="J2245" s="128">
        <v>1.3332906269702856E-3</v>
      </c>
      <c r="K2245" s="128"/>
      <c r="L2245" s="128">
        <v>4.0800000000000003E-2</v>
      </c>
      <c r="O2245" s="2"/>
    </row>
    <row r="2246" spans="2:15" x14ac:dyDescent="0.2">
      <c r="B2246" s="1">
        <v>2231</v>
      </c>
      <c r="C2246" s="5">
        <f ca="1">_xlfn.NORM.S.INV(RAND())</f>
        <v>-0.38004180692478234</v>
      </c>
      <c r="D2246" s="5">
        <f ca="1">S0*EXP((μ-0.5*σ*σ)*T+σ*SQRT(T)*$C2246)</f>
        <v>0.64006906648796302</v>
      </c>
      <c r="E2246" s="5">
        <f ca="1">MAX(0,CP*(D2246-K))</f>
        <v>0</v>
      </c>
      <c r="F2246" s="4">
        <f ca="1">(CP*(D2246-K)&gt;0)*1</f>
        <v>0</v>
      </c>
      <c r="H2246" s="4">
        <v>2231</v>
      </c>
      <c r="I2246" s="3">
        <v>0.66776709818005264</v>
      </c>
      <c r="J2246" s="128">
        <v>1.4567737694512208E-3</v>
      </c>
      <c r="K2246" s="128"/>
      <c r="L2246" s="128">
        <v>4.2799999999999998E-2</v>
      </c>
      <c r="O2246" s="2"/>
    </row>
    <row r="2247" spans="2:15" x14ac:dyDescent="0.2">
      <c r="B2247" s="1">
        <v>2232</v>
      </c>
      <c r="C2247" s="5">
        <f ca="1">_xlfn.NORM.S.INV(RAND())</f>
        <v>0.81218956124507968</v>
      </c>
      <c r="D2247" s="5">
        <f ca="1">S0*EXP((μ-0.5*σ*σ)*T+σ*SQRT(T)*$C2247)</f>
        <v>0.719902049831323</v>
      </c>
      <c r="E2247" s="5">
        <f ca="1">MAX(0,CP*(D2247-K))</f>
        <v>0</v>
      </c>
      <c r="F2247" s="4">
        <f ca="1">(CP*(D2247-K)&gt;0)*1</f>
        <v>0</v>
      </c>
      <c r="H2247" s="4">
        <v>2232</v>
      </c>
      <c r="I2247" s="3">
        <v>0.66753502616697047</v>
      </c>
      <c r="J2247" s="128">
        <v>1.0972593186753653E-3</v>
      </c>
      <c r="K2247" s="128"/>
      <c r="L2247" s="128">
        <v>3.8399999999999997E-2</v>
      </c>
      <c r="O2247" s="2"/>
    </row>
    <row r="2248" spans="2:15" x14ac:dyDescent="0.2">
      <c r="B2248" s="1">
        <v>2233</v>
      </c>
      <c r="C2248" s="5">
        <f ca="1">_xlfn.NORM.S.INV(RAND())</f>
        <v>-0.33465497402771521</v>
      </c>
      <c r="D2248" s="5">
        <f ca="1">S0*EXP((μ-0.5*σ*σ)*T+σ*SQRT(T)*$C2248)</f>
        <v>0.64293951949707051</v>
      </c>
      <c r="E2248" s="5">
        <f ca="1">MAX(0,CP*(D2248-K))</f>
        <v>0</v>
      </c>
      <c r="F2248" s="4">
        <f ca="1">(CP*(D2248-K)&gt;0)*1</f>
        <v>0</v>
      </c>
      <c r="H2248" s="4">
        <v>2233</v>
      </c>
      <c r="I2248" s="3">
        <v>0.66771446846350102</v>
      </c>
      <c r="J2248" s="128">
        <v>1.2589699359851626E-3</v>
      </c>
      <c r="K2248" s="128"/>
      <c r="L2248" s="128">
        <v>4.36E-2</v>
      </c>
      <c r="O2248" s="2"/>
    </row>
    <row r="2249" spans="2:15" x14ac:dyDescent="0.2">
      <c r="B2249" s="1">
        <v>2234</v>
      </c>
      <c r="C2249" s="5">
        <f ca="1">_xlfn.NORM.S.INV(RAND())</f>
        <v>-0.42162114023172353</v>
      </c>
      <c r="D2249" s="5">
        <f ca="1">S0*EXP((μ-0.5*σ*σ)*T+σ*SQRT(T)*$C2249)</f>
        <v>0.63745066490541058</v>
      </c>
      <c r="E2249" s="5">
        <f ca="1">MAX(0,CP*(D2249-K))</f>
        <v>0</v>
      </c>
      <c r="F2249" s="4">
        <f ca="1">(CP*(D2249-K)&gt;0)*1</f>
        <v>0</v>
      </c>
      <c r="H2249" s="4">
        <v>2234</v>
      </c>
      <c r="I2249" s="3">
        <v>0.66773686846313041</v>
      </c>
      <c r="J2249" s="128">
        <v>1.3447813655552202E-3</v>
      </c>
      <c r="K2249" s="128"/>
      <c r="L2249" s="128">
        <v>4.0800000000000003E-2</v>
      </c>
      <c r="O2249" s="2"/>
    </row>
    <row r="2250" spans="2:15" x14ac:dyDescent="0.2">
      <c r="B2250" s="1">
        <v>2235</v>
      </c>
      <c r="C2250" s="5">
        <f ca="1">_xlfn.NORM.S.INV(RAND())</f>
        <v>-0.78007843288088741</v>
      </c>
      <c r="D2250" s="5">
        <f ca="1">S0*EXP((μ-0.5*σ*σ)*T+σ*SQRT(T)*$C2250)</f>
        <v>0.61531694215857924</v>
      </c>
      <c r="E2250" s="5">
        <f ca="1">MAX(0,CP*(D2250-K))</f>
        <v>0</v>
      </c>
      <c r="F2250" s="4">
        <f ca="1">(CP*(D2250-K)&gt;0)*1</f>
        <v>0</v>
      </c>
      <c r="H2250" s="4">
        <v>2235</v>
      </c>
      <c r="I2250" s="3">
        <v>0.66778390483288042</v>
      </c>
      <c r="J2250" s="128">
        <v>1.4417890457738684E-3</v>
      </c>
      <c r="K2250" s="128"/>
      <c r="L2250" s="128">
        <v>4.3200000000000002E-2</v>
      </c>
      <c r="O2250" s="2"/>
    </row>
    <row r="2251" spans="2:15" x14ac:dyDescent="0.2">
      <c r="B2251" s="1">
        <v>2236</v>
      </c>
      <c r="C2251" s="5">
        <f ca="1">_xlfn.NORM.S.INV(RAND())</f>
        <v>0.97578019827904405</v>
      </c>
      <c r="D2251" s="5">
        <f ca="1">S0*EXP((μ-0.5*σ*σ)*T+σ*SQRT(T)*$C2251)</f>
        <v>0.73160675366248773</v>
      </c>
      <c r="E2251" s="5">
        <f ca="1">MAX(0,CP*(D2251-K))</f>
        <v>0</v>
      </c>
      <c r="F2251" s="4">
        <f ca="1">(CP*(D2251-K)&gt;0)*1</f>
        <v>0</v>
      </c>
      <c r="H2251" s="4">
        <v>2236</v>
      </c>
      <c r="I2251" s="3">
        <v>0.66769809603882579</v>
      </c>
      <c r="J2251" s="128">
        <v>1.3876363506219252E-3</v>
      </c>
      <c r="K2251" s="128"/>
      <c r="L2251" s="128">
        <v>4.2799999999999998E-2</v>
      </c>
      <c r="O2251" s="2"/>
    </row>
    <row r="2252" spans="2:15" x14ac:dyDescent="0.2">
      <c r="B2252" s="1">
        <v>2237</v>
      </c>
      <c r="C2252" s="5">
        <f ca="1">_xlfn.NORM.S.INV(RAND())</f>
        <v>-0.23549345137343242</v>
      </c>
      <c r="D2252" s="5">
        <f ca="1">S0*EXP((μ-0.5*σ*σ)*T+σ*SQRT(T)*$C2252)</f>
        <v>0.64925577380920596</v>
      </c>
      <c r="E2252" s="5">
        <f ca="1">MAX(0,CP*(D2252-K))</f>
        <v>0</v>
      </c>
      <c r="F2252" s="4">
        <f ca="1">(CP*(D2252-K)&gt;0)*1</f>
        <v>0</v>
      </c>
      <c r="H2252" s="4">
        <v>2237</v>
      </c>
      <c r="I2252" s="3">
        <v>0.66780073133599693</v>
      </c>
      <c r="J2252" s="128">
        <v>1.5595764168524131E-3</v>
      </c>
      <c r="K2252" s="128"/>
      <c r="L2252" s="128">
        <v>4.3400000000000001E-2</v>
      </c>
      <c r="O2252" s="2"/>
    </row>
    <row r="2253" spans="2:15" x14ac:dyDescent="0.2">
      <c r="B2253" s="1">
        <v>2238</v>
      </c>
      <c r="C2253" s="5">
        <f ca="1">_xlfn.NORM.S.INV(RAND())</f>
        <v>-0.54088348894585625</v>
      </c>
      <c r="D2253" s="5">
        <f ca="1">S0*EXP((μ-0.5*σ*σ)*T+σ*SQRT(T)*$C2253)</f>
        <v>0.62999955463638213</v>
      </c>
      <c r="E2253" s="5">
        <f ca="1">MAX(0,CP*(D2253-K))</f>
        <v>0</v>
      </c>
      <c r="F2253" s="4">
        <f ca="1">(CP*(D2253-K)&gt;0)*1</f>
        <v>0</v>
      </c>
      <c r="H2253" s="4">
        <v>2238</v>
      </c>
      <c r="I2253" s="3">
        <v>0.66769425913090619</v>
      </c>
      <c r="J2253" s="128">
        <v>1.2021661453423371E-3</v>
      </c>
      <c r="K2253" s="128"/>
      <c r="L2253" s="128">
        <v>4.02E-2</v>
      </c>
      <c r="O2253" s="2"/>
    </row>
    <row r="2254" spans="2:15" x14ac:dyDescent="0.2">
      <c r="B2254" s="1">
        <v>2239</v>
      </c>
      <c r="C2254" s="5">
        <f ca="1">_xlfn.NORM.S.INV(RAND())</f>
        <v>-2.4693373247276158</v>
      </c>
      <c r="D2254" s="5">
        <f ca="1">S0*EXP((μ-0.5*σ*σ)*T+σ*SQRT(T)*$C2254)</f>
        <v>0.52092065071995952</v>
      </c>
      <c r="E2254" s="5">
        <f ca="1">MAX(0,CP*(D2254-K))</f>
        <v>0</v>
      </c>
      <c r="F2254" s="4">
        <f ca="1">(CP*(D2254-K)&gt;0)*1</f>
        <v>0</v>
      </c>
      <c r="H2254" s="4">
        <v>2239</v>
      </c>
      <c r="I2254" s="3">
        <v>0.66779285845912062</v>
      </c>
      <c r="J2254" s="128">
        <v>1.4620044882706947E-3</v>
      </c>
      <c r="K2254" s="128"/>
      <c r="L2254" s="128">
        <v>4.36E-2</v>
      </c>
      <c r="O2254" s="2"/>
    </row>
    <row r="2255" spans="2:15" x14ac:dyDescent="0.2">
      <c r="B2255" s="1">
        <v>2240</v>
      </c>
      <c r="C2255" s="5">
        <f ca="1">_xlfn.NORM.S.INV(RAND())</f>
        <v>-0.1891637344002749</v>
      </c>
      <c r="D2255" s="5">
        <f ca="1">S0*EXP((μ-0.5*σ*σ)*T+σ*SQRT(T)*$C2255)</f>
        <v>0.65222805157066022</v>
      </c>
      <c r="E2255" s="5">
        <f ca="1">MAX(0,CP*(D2255-K))</f>
        <v>0</v>
      </c>
      <c r="F2255" s="4">
        <f ca="1">(CP*(D2255-K)&gt;0)*1</f>
        <v>0</v>
      </c>
      <c r="H2255" s="4">
        <v>2240</v>
      </c>
      <c r="I2255" s="3">
        <v>0.66776519184298178</v>
      </c>
      <c r="J2255" s="128">
        <v>1.4072769636555823E-3</v>
      </c>
      <c r="K2255" s="128"/>
      <c r="L2255" s="128">
        <v>4.48E-2</v>
      </c>
      <c r="O2255" s="2"/>
    </row>
    <row r="2256" spans="2:15" x14ac:dyDescent="0.2">
      <c r="B2256" s="1">
        <v>2241</v>
      </c>
      <c r="C2256" s="5">
        <f ca="1">_xlfn.NORM.S.INV(RAND())</f>
        <v>-0.88850122540871745</v>
      </c>
      <c r="D2256" s="5">
        <f ca="1">S0*EXP((μ-0.5*σ*σ)*T+σ*SQRT(T)*$C2256)</f>
        <v>0.60877476748936932</v>
      </c>
      <c r="E2256" s="5">
        <f ca="1">MAX(0,CP*(D2256-K))</f>
        <v>0</v>
      </c>
      <c r="F2256" s="4">
        <f ca="1">(CP*(D2256-K)&gt;0)*1</f>
        <v>0</v>
      </c>
      <c r="H2256" s="4">
        <v>2241</v>
      </c>
      <c r="I2256" s="3">
        <v>0.66785185370878042</v>
      </c>
      <c r="J2256" s="128">
        <v>1.4827489083425788E-3</v>
      </c>
      <c r="K2256" s="128"/>
      <c r="L2256" s="128">
        <v>4.36E-2</v>
      </c>
      <c r="O2256" s="2"/>
    </row>
    <row r="2257" spans="2:15" x14ac:dyDescent="0.2">
      <c r="B2257" s="1">
        <v>2242</v>
      </c>
      <c r="C2257" s="5">
        <f ca="1">_xlfn.NORM.S.INV(RAND())</f>
        <v>-1.1774926079387387</v>
      </c>
      <c r="D2257" s="5">
        <f ca="1">S0*EXP((μ-0.5*σ*σ)*T+σ*SQRT(T)*$C2257)</f>
        <v>0.59167496009324116</v>
      </c>
      <c r="E2257" s="5">
        <f ca="1">MAX(0,CP*(D2257-K))</f>
        <v>0</v>
      </c>
      <c r="F2257" s="4">
        <f ca="1">(CP*(D2257-K)&gt;0)*1</f>
        <v>0</v>
      </c>
      <c r="H2257" s="4">
        <v>2242</v>
      </c>
      <c r="I2257" s="3">
        <v>0.66772080229934694</v>
      </c>
      <c r="J2257" s="128">
        <v>1.3369336445670928E-3</v>
      </c>
      <c r="K2257" s="128"/>
      <c r="L2257" s="128">
        <v>4.2799999999999998E-2</v>
      </c>
      <c r="O2257" s="2"/>
    </row>
    <row r="2258" spans="2:15" x14ac:dyDescent="0.2">
      <c r="B2258" s="1">
        <v>2243</v>
      </c>
      <c r="C2258" s="5">
        <f ca="1">_xlfn.NORM.S.INV(RAND())</f>
        <v>-1.8564606002205459E-2</v>
      </c>
      <c r="D2258" s="5">
        <f ca="1">S0*EXP((μ-0.5*σ*σ)*T+σ*SQRT(T)*$C2258)</f>
        <v>0.66329060309268273</v>
      </c>
      <c r="E2258" s="5">
        <f ca="1">MAX(0,CP*(D2258-K))</f>
        <v>0</v>
      </c>
      <c r="F2258" s="4">
        <f ca="1">(CP*(D2258-K)&gt;0)*1</f>
        <v>0</v>
      </c>
      <c r="H2258" s="4">
        <v>2243</v>
      </c>
      <c r="I2258" s="3">
        <v>0.66782192014483754</v>
      </c>
      <c r="J2258" s="128">
        <v>1.4805360046412294E-3</v>
      </c>
      <c r="K2258" s="128"/>
      <c r="L2258" s="128">
        <v>4.3200000000000002E-2</v>
      </c>
      <c r="O2258" s="2"/>
    </row>
    <row r="2259" spans="2:15" x14ac:dyDescent="0.2">
      <c r="B2259" s="1">
        <v>2244</v>
      </c>
      <c r="C2259" s="5">
        <f ca="1">_xlfn.NORM.S.INV(RAND())</f>
        <v>1.7659009141711144</v>
      </c>
      <c r="D2259" s="5">
        <f ca="1">S0*EXP((μ-0.5*σ*σ)*T+σ*SQRT(T)*$C2259)</f>
        <v>0.79087438512470831</v>
      </c>
      <c r="E2259" s="5">
        <f ca="1">MAX(0,CP*(D2259-K))</f>
        <v>2.6743851247083006E-3</v>
      </c>
      <c r="F2259" s="4">
        <f ca="1">(CP*(D2259-K)&gt;0)*1</f>
        <v>1</v>
      </c>
      <c r="H2259" s="4">
        <v>2244</v>
      </c>
      <c r="I2259" s="3">
        <v>0.66799050631444901</v>
      </c>
      <c r="J2259" s="128">
        <v>1.6932110694012816E-3</v>
      </c>
      <c r="K2259" s="128"/>
      <c r="L2259" s="128">
        <v>4.4999999999999998E-2</v>
      </c>
      <c r="O2259" s="2"/>
    </row>
    <row r="2260" spans="2:15" x14ac:dyDescent="0.2">
      <c r="B2260" s="1">
        <v>2245</v>
      </c>
      <c r="C2260" s="5">
        <f ca="1">_xlfn.NORM.S.INV(RAND())</f>
        <v>0.27477726529435553</v>
      </c>
      <c r="D2260" s="5">
        <f ca="1">S0*EXP((μ-0.5*σ*σ)*T+σ*SQRT(T)*$C2260)</f>
        <v>0.68275292356516948</v>
      </c>
      <c r="E2260" s="5">
        <f ca="1">MAX(0,CP*(D2260-K))</f>
        <v>0</v>
      </c>
      <c r="F2260" s="4">
        <f ca="1">(CP*(D2260-K)&gt;0)*1</f>
        <v>0</v>
      </c>
      <c r="H2260" s="4">
        <v>2245</v>
      </c>
      <c r="I2260" s="3">
        <v>0.66779689867511027</v>
      </c>
      <c r="J2260" s="128">
        <v>1.5549381853041844E-3</v>
      </c>
      <c r="K2260" s="128"/>
      <c r="L2260" s="128">
        <v>4.1399999999999999E-2</v>
      </c>
      <c r="O2260" s="2"/>
    </row>
    <row r="2261" spans="2:15" x14ac:dyDescent="0.2">
      <c r="B2261" s="1">
        <v>2246</v>
      </c>
      <c r="C2261" s="5">
        <f ca="1">_xlfn.NORM.S.INV(RAND())</f>
        <v>0.82534269866318799</v>
      </c>
      <c r="D2261" s="5">
        <f ca="1">S0*EXP((μ-0.5*σ*σ)*T+σ*SQRT(T)*$C2261)</f>
        <v>0.72083617720948423</v>
      </c>
      <c r="E2261" s="5">
        <f ca="1">MAX(0,CP*(D2261-K))</f>
        <v>0</v>
      </c>
      <c r="F2261" s="4">
        <f ca="1">(CP*(D2261-K)&gt;0)*1</f>
        <v>0</v>
      </c>
      <c r="H2261" s="4">
        <v>2246</v>
      </c>
      <c r="I2261" s="3">
        <v>0.66785007668289786</v>
      </c>
      <c r="J2261" s="128">
        <v>1.578593908995594E-3</v>
      </c>
      <c r="K2261" s="128"/>
      <c r="L2261" s="128">
        <v>4.4999999999999998E-2</v>
      </c>
      <c r="O2261" s="2"/>
    </row>
    <row r="2262" spans="2:15" x14ac:dyDescent="0.2">
      <c r="B2262" s="1">
        <v>2247</v>
      </c>
      <c r="C2262" s="5">
        <f ca="1">_xlfn.NORM.S.INV(RAND())</f>
        <v>1.3475448660117904</v>
      </c>
      <c r="D2262" s="5">
        <f ca="1">S0*EXP((μ-0.5*σ*σ)*T+σ*SQRT(T)*$C2262)</f>
        <v>0.75891857002082785</v>
      </c>
      <c r="E2262" s="5">
        <f ca="1">MAX(0,CP*(D2262-K))</f>
        <v>0</v>
      </c>
      <c r="F2262" s="4">
        <f ca="1">(CP*(D2262-K)&gt;0)*1</f>
        <v>0</v>
      </c>
      <c r="H2262" s="4">
        <v>2247</v>
      </c>
      <c r="I2262" s="3">
        <v>0.66775007863635505</v>
      </c>
      <c r="J2262" s="128">
        <v>1.448924716544481E-3</v>
      </c>
      <c r="K2262" s="128"/>
      <c r="L2262" s="128">
        <v>4.2999999999999997E-2</v>
      </c>
      <c r="O2262" s="2"/>
    </row>
    <row r="2263" spans="2:15" x14ac:dyDescent="0.2">
      <c r="B2263" s="1">
        <v>2248</v>
      </c>
      <c r="C2263" s="5">
        <f ca="1">_xlfn.NORM.S.INV(RAND())</f>
        <v>0.11638249018679225</v>
      </c>
      <c r="D2263" s="5">
        <f ca="1">S0*EXP((μ-0.5*σ*σ)*T+σ*SQRT(T)*$C2263)</f>
        <v>0.67217404484166088</v>
      </c>
      <c r="E2263" s="5">
        <f ca="1">MAX(0,CP*(D2263-K))</f>
        <v>0</v>
      </c>
      <c r="F2263" s="4">
        <f ca="1">(CP*(D2263-K)&gt;0)*1</f>
        <v>0</v>
      </c>
      <c r="H2263" s="4">
        <v>2248</v>
      </c>
      <c r="I2263" s="3">
        <v>0.66751647602966491</v>
      </c>
      <c r="J2263" s="128">
        <v>1.1193863443099768E-3</v>
      </c>
      <c r="K2263" s="128"/>
      <c r="L2263" s="128">
        <v>3.5400000000000001E-2</v>
      </c>
      <c r="O2263" s="2"/>
    </row>
    <row r="2264" spans="2:15" x14ac:dyDescent="0.2">
      <c r="B2264" s="1">
        <v>2249</v>
      </c>
      <c r="C2264" s="5">
        <f ca="1">_xlfn.NORM.S.INV(RAND())</f>
        <v>-1.3294398522903049E-3</v>
      </c>
      <c r="D2264" s="5">
        <f ca="1">S0*EXP((μ-0.5*σ*σ)*T+σ*SQRT(T)*$C2264)</f>
        <v>0.66441860559289723</v>
      </c>
      <c r="E2264" s="5">
        <f ca="1">MAX(0,CP*(D2264-K))</f>
        <v>0</v>
      </c>
      <c r="F2264" s="4">
        <f ca="1">(CP*(D2264-K)&gt;0)*1</f>
        <v>0</v>
      </c>
      <c r="H2264" s="4">
        <v>2249</v>
      </c>
      <c r="I2264" s="3">
        <v>0.66772672405973521</v>
      </c>
      <c r="J2264" s="128">
        <v>1.3228024320992111E-3</v>
      </c>
      <c r="K2264" s="128"/>
      <c r="L2264" s="128">
        <v>3.7999999999999999E-2</v>
      </c>
      <c r="O2264" s="2"/>
    </row>
    <row r="2265" spans="2:15" x14ac:dyDescent="0.2">
      <c r="B2265" s="1">
        <v>2250</v>
      </c>
      <c r="C2265" s="5">
        <f ca="1">_xlfn.NORM.S.INV(RAND())</f>
        <v>-0.56885949595092555</v>
      </c>
      <c r="D2265" s="5">
        <f ca="1">S0*EXP((μ-0.5*σ*σ)*T+σ*SQRT(T)*$C2265)</f>
        <v>0.62826435711593509</v>
      </c>
      <c r="E2265" s="5">
        <f ca="1">MAX(0,CP*(D2265-K))</f>
        <v>0</v>
      </c>
      <c r="F2265" s="4">
        <f ca="1">(CP*(D2265-K)&gt;0)*1</f>
        <v>0</v>
      </c>
      <c r="H2265" s="4">
        <v>2250</v>
      </c>
      <c r="I2265" s="3">
        <v>0.66759778983732432</v>
      </c>
      <c r="J2265" s="128">
        <v>1.1229113382219499E-3</v>
      </c>
      <c r="K2265" s="128"/>
      <c r="L2265" s="128">
        <v>3.5400000000000001E-2</v>
      </c>
      <c r="O2265" s="2"/>
    </row>
    <row r="2266" spans="2:15" x14ac:dyDescent="0.2">
      <c r="B2266" s="1">
        <v>2251</v>
      </c>
      <c r="C2266" s="5">
        <f ca="1">_xlfn.NORM.S.INV(RAND())</f>
        <v>-1.191286664005252</v>
      </c>
      <c r="D2266" s="5">
        <f ca="1">S0*EXP((μ-0.5*σ*σ)*T+σ*SQRT(T)*$C2266)</f>
        <v>0.59087087570906671</v>
      </c>
      <c r="E2266" s="5">
        <f ca="1">MAX(0,CP*(D2266-K))</f>
        <v>0</v>
      </c>
      <c r="F2266" s="4">
        <f ca="1">(CP*(D2266-K)&gt;0)*1</f>
        <v>0</v>
      </c>
      <c r="H2266" s="4">
        <v>2251</v>
      </c>
      <c r="I2266" s="3">
        <v>0.6676813222739687</v>
      </c>
      <c r="J2266" s="128">
        <v>1.2721498271903733E-3</v>
      </c>
      <c r="K2266" s="128"/>
      <c r="L2266" s="128">
        <v>4.0599999999999997E-2</v>
      </c>
      <c r="O2266" s="2"/>
    </row>
    <row r="2267" spans="2:15" x14ac:dyDescent="0.2">
      <c r="B2267" s="1">
        <v>2252</v>
      </c>
      <c r="C2267" s="5">
        <f ca="1">_xlfn.NORM.S.INV(RAND())</f>
        <v>0.84876712498809426</v>
      </c>
      <c r="D2267" s="5">
        <f ca="1">S0*EXP((μ-0.5*σ*σ)*T+σ*SQRT(T)*$C2267)</f>
        <v>0.72250276741642705</v>
      </c>
      <c r="E2267" s="5">
        <f ca="1">MAX(0,CP*(D2267-K))</f>
        <v>0</v>
      </c>
      <c r="F2267" s="4">
        <f ca="1">(CP*(D2267-K)&gt;0)*1</f>
        <v>0</v>
      </c>
      <c r="H2267" s="4">
        <v>2252</v>
      </c>
      <c r="I2267" s="3">
        <v>0.66770582656490596</v>
      </c>
      <c r="J2267" s="128">
        <v>1.3143276049321219E-3</v>
      </c>
      <c r="K2267" s="128"/>
      <c r="L2267" s="128">
        <v>4.1200000000000001E-2</v>
      </c>
      <c r="O2267" s="2"/>
    </row>
    <row r="2268" spans="2:15" x14ac:dyDescent="0.2">
      <c r="B2268" s="1">
        <v>2253</v>
      </c>
      <c r="C2268" s="5">
        <f ca="1">_xlfn.NORM.S.INV(RAND())</f>
        <v>1.9180790580654017</v>
      </c>
      <c r="D2268" s="5">
        <f ca="1">S0*EXP((μ-0.5*σ*σ)*T+σ*SQRT(T)*$C2268)</f>
        <v>0.80282921541844743</v>
      </c>
      <c r="E2268" s="5">
        <f ca="1">MAX(0,CP*(D2268-K))</f>
        <v>1.4629215418447417E-2</v>
      </c>
      <c r="F2268" s="4">
        <f ca="1">(CP*(D2268-K)&gt;0)*1</f>
        <v>1</v>
      </c>
      <c r="H2268" s="4">
        <v>2253</v>
      </c>
      <c r="I2268" s="3">
        <v>0.66785218770252242</v>
      </c>
      <c r="J2268" s="128">
        <v>1.5912310263527117E-3</v>
      </c>
      <c r="K2268" s="128"/>
      <c r="L2268" s="128">
        <v>4.4600000000000001E-2</v>
      </c>
      <c r="O2268" s="2"/>
    </row>
    <row r="2269" spans="2:15" x14ac:dyDescent="0.2">
      <c r="B2269" s="1">
        <v>2254</v>
      </c>
      <c r="C2269" s="5">
        <f ca="1">_xlfn.NORM.S.INV(RAND())</f>
        <v>0.69176751383892121</v>
      </c>
      <c r="D2269" s="5">
        <f ca="1">S0*EXP((μ-0.5*σ*σ)*T+σ*SQRT(T)*$C2269)</f>
        <v>0.71140583093234966</v>
      </c>
      <c r="E2269" s="5">
        <f ca="1">MAX(0,CP*(D2269-K))</f>
        <v>0</v>
      </c>
      <c r="F2269" s="4">
        <f ca="1">(CP*(D2269-K)&gt;0)*1</f>
        <v>0</v>
      </c>
      <c r="H2269" s="4">
        <v>2254</v>
      </c>
      <c r="I2269" s="3">
        <v>0.6677486302806156</v>
      </c>
      <c r="J2269" s="128">
        <v>1.3926127763869136E-3</v>
      </c>
      <c r="K2269" s="128"/>
      <c r="L2269" s="128">
        <v>0.04</v>
      </c>
      <c r="O2269" s="2"/>
    </row>
    <row r="2270" spans="2:15" x14ac:dyDescent="0.2">
      <c r="B2270" s="1">
        <v>2255</v>
      </c>
      <c r="C2270" s="5">
        <f ca="1">_xlfn.NORM.S.INV(RAND())</f>
        <v>-0.8153489110912715</v>
      </c>
      <c r="D2270" s="5">
        <f ca="1">S0*EXP((μ-0.5*σ*σ)*T+σ*SQRT(T)*$C2270)</f>
        <v>0.61318106097278025</v>
      </c>
      <c r="E2270" s="5">
        <f ca="1">MAX(0,CP*(D2270-K))</f>
        <v>0</v>
      </c>
      <c r="F2270" s="4">
        <f ca="1">(CP*(D2270-K)&gt;0)*1</f>
        <v>0</v>
      </c>
      <c r="H2270" s="4">
        <v>2255</v>
      </c>
      <c r="I2270" s="3">
        <v>0.6677742531906713</v>
      </c>
      <c r="J2270" s="128">
        <v>1.3447566361880939E-3</v>
      </c>
      <c r="K2270" s="128"/>
      <c r="L2270" s="128">
        <v>4.36E-2</v>
      </c>
      <c r="O2270" s="2"/>
    </row>
    <row r="2271" spans="2:15" x14ac:dyDescent="0.2">
      <c r="B2271" s="1">
        <v>2256</v>
      </c>
      <c r="C2271" s="5">
        <f ca="1">_xlfn.NORM.S.INV(RAND())</f>
        <v>-1.7062494179699197</v>
      </c>
      <c r="D2271" s="5">
        <f ca="1">S0*EXP((μ-0.5*σ*σ)*T+σ*SQRT(T)*$C2271)</f>
        <v>0.56162178010163777</v>
      </c>
      <c r="E2271" s="5">
        <f ca="1">MAX(0,CP*(D2271-K))</f>
        <v>0</v>
      </c>
      <c r="F2271" s="4">
        <f ca="1">(CP*(D2271-K)&gt;0)*1</f>
        <v>0</v>
      </c>
      <c r="H2271" s="4">
        <v>2256</v>
      </c>
      <c r="I2271" s="3">
        <v>0.66759122829608353</v>
      </c>
      <c r="J2271" s="128">
        <v>1.227302133279219E-3</v>
      </c>
      <c r="K2271" s="128"/>
      <c r="L2271" s="128">
        <v>3.6600000000000001E-2</v>
      </c>
      <c r="O2271" s="2"/>
    </row>
    <row r="2272" spans="2:15" x14ac:dyDescent="0.2">
      <c r="B2272" s="1">
        <v>2257</v>
      </c>
      <c r="C2272" s="5">
        <f ca="1">_xlfn.NORM.S.INV(RAND())</f>
        <v>-0.75167433657995808</v>
      </c>
      <c r="D2272" s="5">
        <f ca="1">S0*EXP((μ-0.5*σ*σ)*T+σ*SQRT(T)*$C2272)</f>
        <v>0.61704242159056877</v>
      </c>
      <c r="E2272" s="5">
        <f ca="1">MAX(0,CP*(D2272-K))</f>
        <v>0</v>
      </c>
      <c r="F2272" s="4">
        <f ca="1">(CP*(D2272-K)&gt;0)*1</f>
        <v>0</v>
      </c>
      <c r="H2272" s="4">
        <v>2257</v>
      </c>
      <c r="I2272" s="3">
        <v>0.66779710722564345</v>
      </c>
      <c r="J2272" s="128">
        <v>1.4136473374558038E-3</v>
      </c>
      <c r="K2272" s="128"/>
      <c r="L2272" s="128">
        <v>4.4999999999999998E-2</v>
      </c>
      <c r="O2272" s="2"/>
    </row>
    <row r="2273" spans="2:15" x14ac:dyDescent="0.2">
      <c r="B2273" s="1">
        <v>2258</v>
      </c>
      <c r="C2273" s="5">
        <f ca="1">_xlfn.NORM.S.INV(RAND())</f>
        <v>-1.1255602600024928</v>
      </c>
      <c r="D2273" s="5">
        <f ca="1">S0*EXP((μ-0.5*σ*σ)*T+σ*SQRT(T)*$C2273)</f>
        <v>0.5947120322529641</v>
      </c>
      <c r="E2273" s="5">
        <f ca="1">MAX(0,CP*(D2273-K))</f>
        <v>0</v>
      </c>
      <c r="F2273" s="4">
        <f ca="1">(CP*(D2273-K)&gt;0)*1</f>
        <v>0</v>
      </c>
      <c r="H2273" s="4">
        <v>2258</v>
      </c>
      <c r="I2273" s="3">
        <v>0.66777999957616085</v>
      </c>
      <c r="J2273" s="128">
        <v>1.5816063800567685E-3</v>
      </c>
      <c r="K2273" s="128"/>
      <c r="L2273" s="128">
        <v>4.02E-2</v>
      </c>
      <c r="O2273" s="2"/>
    </row>
    <row r="2274" spans="2:15" x14ac:dyDescent="0.2">
      <c r="B2274" s="1">
        <v>2259</v>
      </c>
      <c r="C2274" s="5">
        <f ca="1">_xlfn.NORM.S.INV(RAND())</f>
        <v>2.9513670276915178</v>
      </c>
      <c r="D2274" s="5">
        <f ca="1">S0*EXP((μ-0.5*σ*σ)*T+σ*SQRT(T)*$C2274)</f>
        <v>0.88892356625587687</v>
      </c>
      <c r="E2274" s="5">
        <f ca="1">MAX(0,CP*(D2274-K))</f>
        <v>0.10072356625587686</v>
      </c>
      <c r="F2274" s="4">
        <f ca="1">(CP*(D2274-K)&gt;0)*1</f>
        <v>1</v>
      </c>
      <c r="H2274" s="4">
        <v>2259</v>
      </c>
      <c r="I2274" s="3">
        <v>0.66778632620078493</v>
      </c>
      <c r="J2274" s="128">
        <v>1.482886494762933E-3</v>
      </c>
      <c r="K2274" s="128"/>
      <c r="L2274" s="128">
        <v>4.1799999999999997E-2</v>
      </c>
      <c r="O2274" s="2"/>
    </row>
    <row r="2275" spans="2:15" x14ac:dyDescent="0.2">
      <c r="B2275" s="1">
        <v>2260</v>
      </c>
      <c r="C2275" s="5">
        <f ca="1">_xlfn.NORM.S.INV(RAND())</f>
        <v>1.089157497893668</v>
      </c>
      <c r="D2275" s="5">
        <f ca="1">S0*EXP((μ-0.5*σ*σ)*T+σ*SQRT(T)*$C2275)</f>
        <v>0.73983022109982421</v>
      </c>
      <c r="E2275" s="5">
        <f ca="1">MAX(0,CP*(D2275-K))</f>
        <v>0</v>
      </c>
      <c r="F2275" s="4">
        <f ca="1">(CP*(D2275-K)&gt;0)*1</f>
        <v>0</v>
      </c>
      <c r="H2275" s="4">
        <v>2260</v>
      </c>
      <c r="I2275" s="3">
        <v>0.66763225345265065</v>
      </c>
      <c r="J2275" s="128">
        <v>1.2776869994284999E-3</v>
      </c>
      <c r="K2275" s="128"/>
      <c r="L2275" s="128">
        <v>4.2999999999999997E-2</v>
      </c>
      <c r="O2275" s="2"/>
    </row>
    <row r="2276" spans="2:15" x14ac:dyDescent="0.2">
      <c r="B2276" s="1">
        <v>2261</v>
      </c>
      <c r="C2276" s="5">
        <f ca="1">_xlfn.NORM.S.INV(RAND())</f>
        <v>-0.31857912420342177</v>
      </c>
      <c r="D2276" s="5">
        <f ca="1">S0*EXP((μ-0.5*σ*σ)*T+σ*SQRT(T)*$C2276)</f>
        <v>0.64395930769032472</v>
      </c>
      <c r="E2276" s="5">
        <f ca="1">MAX(0,CP*(D2276-K))</f>
        <v>0</v>
      </c>
      <c r="F2276" s="4">
        <f ca="1">(CP*(D2276-K)&gt;0)*1</f>
        <v>0</v>
      </c>
      <c r="H2276" s="4">
        <v>2261</v>
      </c>
      <c r="I2276" s="3">
        <v>0.66774804158656387</v>
      </c>
      <c r="J2276" s="128">
        <v>1.3484474087277407E-3</v>
      </c>
      <c r="K2276" s="128"/>
      <c r="L2276" s="128">
        <v>4.3799999999999999E-2</v>
      </c>
      <c r="O2276" s="2"/>
    </row>
    <row r="2277" spans="2:15" x14ac:dyDescent="0.2">
      <c r="B2277" s="1">
        <v>2262</v>
      </c>
      <c r="C2277" s="5">
        <f ca="1">_xlfn.NORM.S.INV(RAND())</f>
        <v>0.64381470999344625</v>
      </c>
      <c r="D2277" s="5">
        <f ca="1">S0*EXP((μ-0.5*σ*σ)*T+σ*SQRT(T)*$C2277)</f>
        <v>0.70805056476378492</v>
      </c>
      <c r="E2277" s="5">
        <f ca="1">MAX(0,CP*(D2277-K))</f>
        <v>0</v>
      </c>
      <c r="F2277" s="4">
        <f ca="1">(CP*(D2277-K)&gt;0)*1</f>
        <v>0</v>
      </c>
      <c r="H2277" s="4">
        <v>2262</v>
      </c>
      <c r="I2277" s="3">
        <v>0.66782759786787815</v>
      </c>
      <c r="J2277" s="128">
        <v>1.4979370458949261E-3</v>
      </c>
      <c r="K2277" s="128"/>
      <c r="L2277" s="128">
        <v>4.2599999999999999E-2</v>
      </c>
      <c r="O2277" s="2"/>
    </row>
    <row r="2278" spans="2:15" x14ac:dyDescent="0.2">
      <c r="B2278" s="1">
        <v>2263</v>
      </c>
      <c r="C2278" s="5">
        <f ca="1">_xlfn.NORM.S.INV(RAND())</f>
        <v>-1.3860416626645282</v>
      </c>
      <c r="D2278" s="5">
        <f ca="1">S0*EXP((μ-0.5*σ*σ)*T+σ*SQRT(T)*$C2278)</f>
        <v>0.57963413720391976</v>
      </c>
      <c r="E2278" s="5">
        <f ca="1">MAX(0,CP*(D2278-K))</f>
        <v>0</v>
      </c>
      <c r="F2278" s="4">
        <f ca="1">(CP*(D2278-K)&gt;0)*1</f>
        <v>0</v>
      </c>
      <c r="H2278" s="4">
        <v>2263</v>
      </c>
      <c r="I2278" s="3">
        <v>0.66783525437157909</v>
      </c>
      <c r="J2278" s="128">
        <v>1.4642877501165065E-3</v>
      </c>
      <c r="K2278" s="128"/>
      <c r="L2278" s="128">
        <v>4.36E-2</v>
      </c>
      <c r="O2278" s="2"/>
    </row>
    <row r="2279" spans="2:15" x14ac:dyDescent="0.2">
      <c r="B2279" s="1">
        <v>2264</v>
      </c>
      <c r="C2279" s="5">
        <f ca="1">_xlfn.NORM.S.INV(RAND())</f>
        <v>1.4089317253058273</v>
      </c>
      <c r="D2279" s="5">
        <f ca="1">S0*EXP((μ-0.5*σ*σ)*T+σ*SQRT(T)*$C2279)</f>
        <v>0.76352545264318272</v>
      </c>
      <c r="E2279" s="5">
        <f ca="1">MAX(0,CP*(D2279-K))</f>
        <v>0</v>
      </c>
      <c r="F2279" s="4">
        <f ca="1">(CP*(D2279-K)&gt;0)*1</f>
        <v>0</v>
      </c>
      <c r="H2279" s="4">
        <v>2264</v>
      </c>
      <c r="I2279" s="3">
        <v>0.66763795179663787</v>
      </c>
      <c r="J2279" s="128">
        <v>1.2176281256157358E-3</v>
      </c>
      <c r="K2279" s="128"/>
      <c r="L2279" s="128">
        <v>4.2200000000000001E-2</v>
      </c>
      <c r="O2279" s="2"/>
    </row>
    <row r="2280" spans="2:15" x14ac:dyDescent="0.2">
      <c r="B2280" s="1">
        <v>2265</v>
      </c>
      <c r="C2280" s="5">
        <f ca="1">_xlfn.NORM.S.INV(RAND())</f>
        <v>-0.40687194657964687</v>
      </c>
      <c r="D2280" s="5">
        <f ca="1">S0*EXP((μ-0.5*σ*σ)*T+σ*SQRT(T)*$C2280)</f>
        <v>0.63837824701930745</v>
      </c>
      <c r="E2280" s="5">
        <f ca="1">MAX(0,CP*(D2280-K))</f>
        <v>0</v>
      </c>
      <c r="F2280" s="4">
        <f ca="1">(CP*(D2280-K)&gt;0)*1</f>
        <v>0</v>
      </c>
      <c r="H2280" s="4">
        <v>2265</v>
      </c>
      <c r="I2280" s="3">
        <v>0.66764191488719715</v>
      </c>
      <c r="J2280" s="128">
        <v>1.2333549403720308E-3</v>
      </c>
      <c r="K2280" s="128"/>
      <c r="L2280" s="128">
        <v>3.8399999999999997E-2</v>
      </c>
      <c r="O2280" s="2"/>
    </row>
    <row r="2281" spans="2:15" x14ac:dyDescent="0.2">
      <c r="B2281" s="1">
        <v>2266</v>
      </c>
      <c r="C2281" s="5">
        <f ca="1">_xlfn.NORM.S.INV(RAND())</f>
        <v>-0.61278574773208172</v>
      </c>
      <c r="D2281" s="5">
        <f ca="1">S0*EXP((μ-0.5*σ*σ)*T+σ*SQRT(T)*$C2281)</f>
        <v>0.62554949201169852</v>
      </c>
      <c r="E2281" s="5">
        <f ca="1">MAX(0,CP*(D2281-K))</f>
        <v>0</v>
      </c>
      <c r="F2281" s="4">
        <f ca="1">(CP*(D2281-K)&gt;0)*1</f>
        <v>0</v>
      </c>
      <c r="H2281" s="4">
        <v>2266</v>
      </c>
      <c r="I2281" s="3">
        <v>0.66778151589238233</v>
      </c>
      <c r="J2281" s="128">
        <v>1.3990438294743121E-3</v>
      </c>
      <c r="K2281" s="128"/>
      <c r="L2281" s="128">
        <v>4.4999999999999998E-2</v>
      </c>
      <c r="O2281" s="2"/>
    </row>
    <row r="2282" spans="2:15" x14ac:dyDescent="0.2">
      <c r="B2282" s="1">
        <v>2267</v>
      </c>
      <c r="C2282" s="5">
        <f ca="1">_xlfn.NORM.S.INV(RAND())</f>
        <v>-1.4383136585190957</v>
      </c>
      <c r="D2282" s="5">
        <f ca="1">S0*EXP((μ-0.5*σ*σ)*T+σ*SQRT(T)*$C2282)</f>
        <v>0.57665475513190778</v>
      </c>
      <c r="E2282" s="5">
        <f ca="1">MAX(0,CP*(D2282-K))</f>
        <v>0</v>
      </c>
      <c r="F2282" s="4">
        <f ca="1">(CP*(D2282-K)&gt;0)*1</f>
        <v>0</v>
      </c>
      <c r="H2282" s="4">
        <v>2267</v>
      </c>
      <c r="I2282" s="3">
        <v>0.66782264501199828</v>
      </c>
      <c r="J2282" s="128">
        <v>1.3705140088791483E-3</v>
      </c>
      <c r="K2282" s="128"/>
      <c r="L2282" s="128">
        <v>4.3799999999999999E-2</v>
      </c>
      <c r="O2282" s="2"/>
    </row>
    <row r="2283" spans="2:15" x14ac:dyDescent="0.2">
      <c r="B2283" s="1">
        <v>2268</v>
      </c>
      <c r="C2283" s="5">
        <f ca="1">_xlfn.NORM.S.INV(RAND())</f>
        <v>0.23459283774061296</v>
      </c>
      <c r="D2283" s="5">
        <f ca="1">S0*EXP((μ-0.5*σ*σ)*T+σ*SQRT(T)*$C2283)</f>
        <v>0.68005342506259758</v>
      </c>
      <c r="E2283" s="5">
        <f ca="1">MAX(0,CP*(D2283-K))</f>
        <v>0</v>
      </c>
      <c r="F2283" s="4">
        <f ca="1">(CP*(D2283-K)&gt;0)*1</f>
        <v>0</v>
      </c>
      <c r="H2283" s="4">
        <v>2268</v>
      </c>
      <c r="I2283" s="3">
        <v>0.66766528586248519</v>
      </c>
      <c r="J2283" s="128">
        <v>1.2120245258949028E-3</v>
      </c>
      <c r="K2283" s="128"/>
      <c r="L2283" s="128">
        <v>4.2999999999999997E-2</v>
      </c>
      <c r="O2283" s="2"/>
    </row>
    <row r="2284" spans="2:15" x14ac:dyDescent="0.2">
      <c r="B2284" s="1">
        <v>2269</v>
      </c>
      <c r="C2284" s="5">
        <f ca="1">_xlfn.NORM.S.INV(RAND())</f>
        <v>0.1953805484452828</v>
      </c>
      <c r="D2284" s="5">
        <f ca="1">S0*EXP((μ-0.5*σ*σ)*T+σ*SQRT(T)*$C2284)</f>
        <v>0.67742952213115348</v>
      </c>
      <c r="E2284" s="5">
        <f ca="1">MAX(0,CP*(D2284-K))</f>
        <v>0</v>
      </c>
      <c r="F2284" s="4">
        <f ca="1">(CP*(D2284-K)&gt;0)*1</f>
        <v>0</v>
      </c>
      <c r="H2284" s="4">
        <v>2269</v>
      </c>
      <c r="I2284" s="3">
        <v>0.66774969350683866</v>
      </c>
      <c r="J2284" s="128">
        <v>1.3886402684224509E-3</v>
      </c>
      <c r="K2284" s="128"/>
      <c r="L2284" s="128">
        <v>4.2000000000000003E-2</v>
      </c>
      <c r="O2284" s="2"/>
    </row>
    <row r="2285" spans="2:15" x14ac:dyDescent="0.2">
      <c r="B2285" s="1">
        <v>2270</v>
      </c>
      <c r="C2285" s="5">
        <f ca="1">_xlfn.NORM.S.INV(RAND())</f>
        <v>0.65695214725371764</v>
      </c>
      <c r="D2285" s="5">
        <f ca="1">S0*EXP((μ-0.5*σ*σ)*T+σ*SQRT(T)*$C2285)</f>
        <v>0.70896821657398779</v>
      </c>
      <c r="E2285" s="5">
        <f ca="1">MAX(0,CP*(D2285-K))</f>
        <v>0</v>
      </c>
      <c r="F2285" s="4">
        <f ca="1">(CP*(D2285-K)&gt;0)*1</f>
        <v>0</v>
      </c>
      <c r="H2285" s="4">
        <v>2270</v>
      </c>
      <c r="I2285" s="3">
        <v>0.66774646643508573</v>
      </c>
      <c r="J2285" s="128">
        <v>1.4676159606586078E-3</v>
      </c>
      <c r="K2285" s="128"/>
      <c r="L2285" s="128">
        <v>4.2000000000000003E-2</v>
      </c>
      <c r="O2285" s="2"/>
    </row>
    <row r="2286" spans="2:15" x14ac:dyDescent="0.2">
      <c r="B2286" s="1">
        <v>2271</v>
      </c>
      <c r="C2286" s="5">
        <f ca="1">_xlfn.NORM.S.INV(RAND())</f>
        <v>-1.5425445323024922</v>
      </c>
      <c r="D2286" s="5">
        <f ca="1">S0*EXP((μ-0.5*σ*σ)*T+σ*SQRT(T)*$C2286)</f>
        <v>0.57075947409740291</v>
      </c>
      <c r="E2286" s="5">
        <f ca="1">MAX(0,CP*(D2286-K))</f>
        <v>0</v>
      </c>
      <c r="F2286" s="4">
        <f ca="1">(CP*(D2286-K)&gt;0)*1</f>
        <v>0</v>
      </c>
      <c r="H2286" s="4">
        <v>2271</v>
      </c>
      <c r="I2286" s="3">
        <v>0.66764574947692701</v>
      </c>
      <c r="J2286" s="128">
        <v>1.3142640972672334E-3</v>
      </c>
      <c r="K2286" s="128"/>
      <c r="L2286" s="128">
        <v>3.78E-2</v>
      </c>
      <c r="O2286" s="2"/>
    </row>
    <row r="2287" spans="2:15" x14ac:dyDescent="0.2">
      <c r="B2287" s="1">
        <v>2272</v>
      </c>
      <c r="C2287" s="5">
        <f ca="1">_xlfn.NORM.S.INV(RAND())</f>
        <v>1.6792577289486024</v>
      </c>
      <c r="D2287" s="5">
        <f ca="1">S0*EXP((μ-0.5*σ*σ)*T+σ*SQRT(T)*$C2287)</f>
        <v>0.78414756053095735</v>
      </c>
      <c r="E2287" s="5">
        <f ca="1">MAX(0,CP*(D2287-K))</f>
        <v>0</v>
      </c>
      <c r="F2287" s="4">
        <f ca="1">(CP*(D2287-K)&gt;0)*1</f>
        <v>0</v>
      </c>
      <c r="H2287" s="4">
        <v>2272</v>
      </c>
      <c r="I2287" s="3">
        <v>0.6678027531931765</v>
      </c>
      <c r="J2287" s="128">
        <v>1.5108638658261268E-3</v>
      </c>
      <c r="K2287" s="128"/>
      <c r="L2287" s="128">
        <v>4.1799999999999997E-2</v>
      </c>
      <c r="O2287" s="2"/>
    </row>
    <row r="2288" spans="2:15" x14ac:dyDescent="0.2">
      <c r="B2288" s="1">
        <v>2273</v>
      </c>
      <c r="C2288" s="5">
        <f ca="1">_xlfn.NORM.S.INV(RAND())</f>
        <v>0.8084423239493278</v>
      </c>
      <c r="D2288" s="5">
        <f ca="1">S0*EXP((μ-0.5*σ*σ)*T+σ*SQRT(T)*$C2288)</f>
        <v>0.7196361450734936</v>
      </c>
      <c r="E2288" s="5">
        <f ca="1">MAX(0,CP*(D2288-K))</f>
        <v>0</v>
      </c>
      <c r="F2288" s="4">
        <f ca="1">(CP*(D2288-K)&gt;0)*1</f>
        <v>0</v>
      </c>
      <c r="H2288" s="4">
        <v>2273</v>
      </c>
      <c r="I2288" s="3">
        <v>0.66772715796954474</v>
      </c>
      <c r="J2288" s="128">
        <v>1.4183567019309309E-3</v>
      </c>
      <c r="K2288" s="128"/>
      <c r="L2288" s="128">
        <v>4.0399999999999998E-2</v>
      </c>
      <c r="O2288" s="2"/>
    </row>
    <row r="2289" spans="2:15" x14ac:dyDescent="0.2">
      <c r="B2289" s="1">
        <v>2274</v>
      </c>
      <c r="C2289" s="5">
        <f ca="1">_xlfn.NORM.S.INV(RAND())</f>
        <v>-0.11754264255197006</v>
      </c>
      <c r="D2289" s="5">
        <f ca="1">S0*EXP((μ-0.5*σ*σ)*T+σ*SQRT(T)*$C2289)</f>
        <v>0.65684969353240885</v>
      </c>
      <c r="E2289" s="5">
        <f ca="1">MAX(0,CP*(D2289-K))</f>
        <v>0</v>
      </c>
      <c r="F2289" s="4">
        <f ca="1">(CP*(D2289-K)&gt;0)*1</f>
        <v>0</v>
      </c>
      <c r="H2289" s="4">
        <v>2274</v>
      </c>
      <c r="I2289" s="3">
        <v>0.66765409390049646</v>
      </c>
      <c r="J2289" s="128">
        <v>1.2108391940930166E-3</v>
      </c>
      <c r="K2289" s="128"/>
      <c r="L2289" s="128">
        <v>4.0399999999999998E-2</v>
      </c>
      <c r="O2289" s="2"/>
    </row>
    <row r="2290" spans="2:15" x14ac:dyDescent="0.2">
      <c r="B2290" s="1">
        <v>2275</v>
      </c>
      <c r="C2290" s="5">
        <f ca="1">_xlfn.NORM.S.INV(RAND())</f>
        <v>-0.84211568560023331</v>
      </c>
      <c r="D2290" s="5">
        <f ca="1">S0*EXP((μ-0.5*σ*σ)*T+σ*SQRT(T)*$C2290)</f>
        <v>0.61156508984748204</v>
      </c>
      <c r="E2290" s="5">
        <f ca="1">MAX(0,CP*(D2290-K))</f>
        <v>0</v>
      </c>
      <c r="F2290" s="4">
        <f ca="1">(CP*(D2290-K)&gt;0)*1</f>
        <v>0</v>
      </c>
      <c r="H2290" s="4">
        <v>2275</v>
      </c>
      <c r="I2290" s="3">
        <v>0.66768683822602515</v>
      </c>
      <c r="J2290" s="128">
        <v>1.2980825002713433E-3</v>
      </c>
      <c r="K2290" s="128"/>
      <c r="L2290" s="128">
        <v>4.2799999999999998E-2</v>
      </c>
      <c r="O2290" s="2"/>
    </row>
    <row r="2291" spans="2:15" x14ac:dyDescent="0.2">
      <c r="B2291" s="1">
        <v>2276</v>
      </c>
      <c r="C2291" s="5">
        <f ca="1">_xlfn.NORM.S.INV(RAND())</f>
        <v>-2.0917847003676315</v>
      </c>
      <c r="D2291" s="5">
        <f ca="1">S0*EXP((μ-0.5*σ*σ)*T+σ*SQRT(T)*$C2291)</f>
        <v>0.54067571760860345</v>
      </c>
      <c r="E2291" s="5">
        <f ca="1">MAX(0,CP*(D2291-K))</f>
        <v>0</v>
      </c>
      <c r="F2291" s="4">
        <f ca="1">(CP*(D2291-K)&gt;0)*1</f>
        <v>0</v>
      </c>
      <c r="H2291" s="4">
        <v>2276</v>
      </c>
      <c r="I2291" s="3">
        <v>0.66754877080670671</v>
      </c>
      <c r="J2291" s="128">
        <v>1.2300749915773767E-3</v>
      </c>
      <c r="K2291" s="128"/>
      <c r="L2291" s="128">
        <v>3.6600000000000001E-2</v>
      </c>
      <c r="O2291" s="2"/>
    </row>
    <row r="2292" spans="2:15" x14ac:dyDescent="0.2">
      <c r="B2292" s="1">
        <v>2277</v>
      </c>
      <c r="C2292" s="5">
        <f ca="1">_xlfn.NORM.S.INV(RAND())</f>
        <v>-5.1079818903410006E-2</v>
      </c>
      <c r="D2292" s="5">
        <f ca="1">S0*EXP((μ-0.5*σ*σ)*T+σ*SQRT(T)*$C2292)</f>
        <v>0.66116776795502319</v>
      </c>
      <c r="E2292" s="5">
        <f ca="1">MAX(0,CP*(D2292-K))</f>
        <v>0</v>
      </c>
      <c r="F2292" s="4">
        <f ca="1">(CP*(D2292-K)&gt;0)*1</f>
        <v>0</v>
      </c>
      <c r="H2292" s="4">
        <v>2277</v>
      </c>
      <c r="I2292" s="3">
        <v>0.66764779043617972</v>
      </c>
      <c r="J2292" s="128">
        <v>1.2541427569914775E-3</v>
      </c>
      <c r="K2292" s="128"/>
      <c r="L2292" s="128">
        <v>0.04</v>
      </c>
      <c r="O2292" s="2"/>
    </row>
    <row r="2293" spans="2:15" x14ac:dyDescent="0.2">
      <c r="B2293" s="1">
        <v>2278</v>
      </c>
      <c r="C2293" s="5">
        <f ca="1">_xlfn.NORM.S.INV(RAND())</f>
        <v>-0.52334670318313836</v>
      </c>
      <c r="D2293" s="5">
        <f ca="1">S0*EXP((μ-0.5*σ*σ)*T+σ*SQRT(T)*$C2293)</f>
        <v>0.63108970760310568</v>
      </c>
      <c r="E2293" s="5">
        <f ca="1">MAX(0,CP*(D2293-K))</f>
        <v>0</v>
      </c>
      <c r="F2293" s="4">
        <f ca="1">(CP*(D2293-K)&gt;0)*1</f>
        <v>0</v>
      </c>
      <c r="H2293" s="4">
        <v>2278</v>
      </c>
      <c r="I2293" s="3">
        <v>0.66766991896335104</v>
      </c>
      <c r="J2293" s="128">
        <v>1.3652561270464407E-3</v>
      </c>
      <c r="K2293" s="128"/>
      <c r="L2293" s="128">
        <v>3.9E-2</v>
      </c>
      <c r="O2293" s="2"/>
    </row>
    <row r="2294" spans="2:15" x14ac:dyDescent="0.2">
      <c r="B2294" s="1">
        <v>2279</v>
      </c>
      <c r="C2294" s="5">
        <f ca="1">_xlfn.NORM.S.INV(RAND())</f>
        <v>0.13843991110521539</v>
      </c>
      <c r="D2294" s="5">
        <f ca="1">S0*EXP((μ-0.5*σ*σ)*T+σ*SQRT(T)*$C2294)</f>
        <v>0.6736373350984296</v>
      </c>
      <c r="E2294" s="5">
        <f ca="1">MAX(0,CP*(D2294-K))</f>
        <v>0</v>
      </c>
      <c r="F2294" s="4">
        <f ca="1">(CP*(D2294-K)&gt;0)*1</f>
        <v>0</v>
      </c>
      <c r="H2294" s="4">
        <v>2279</v>
      </c>
      <c r="I2294" s="3">
        <v>0.66775598035536654</v>
      </c>
      <c r="J2294" s="128">
        <v>1.4223402961554361E-3</v>
      </c>
      <c r="K2294" s="128"/>
      <c r="L2294" s="128">
        <v>4.1399999999999999E-2</v>
      </c>
      <c r="O2294" s="2"/>
    </row>
    <row r="2295" spans="2:15" x14ac:dyDescent="0.2">
      <c r="B2295" s="1">
        <v>2280</v>
      </c>
      <c r="C2295" s="5">
        <f ca="1">_xlfn.NORM.S.INV(RAND())</f>
        <v>-0.59242887156817048</v>
      </c>
      <c r="D2295" s="5">
        <f ca="1">S0*EXP((μ-0.5*σ*σ)*T+σ*SQRT(T)*$C2295)</f>
        <v>0.6268061885068168</v>
      </c>
      <c r="E2295" s="5">
        <f ca="1">MAX(0,CP*(D2295-K))</f>
        <v>0</v>
      </c>
      <c r="F2295" s="4">
        <f ca="1">(CP*(D2295-K)&gt;0)*1</f>
        <v>0</v>
      </c>
      <c r="H2295" s="4">
        <v>2280</v>
      </c>
      <c r="I2295" s="3">
        <v>0.66774083657880579</v>
      </c>
      <c r="J2295" s="128">
        <v>1.4059901377964129E-3</v>
      </c>
      <c r="K2295" s="128"/>
      <c r="L2295" s="128">
        <v>4.2599999999999999E-2</v>
      </c>
      <c r="O2295" s="2"/>
    </row>
    <row r="2296" spans="2:15" x14ac:dyDescent="0.2">
      <c r="B2296" s="1">
        <v>2281</v>
      </c>
      <c r="C2296" s="5">
        <f ca="1">_xlfn.NORM.S.INV(RAND())</f>
        <v>-0.12014313006259474</v>
      </c>
      <c r="D2296" s="5">
        <f ca="1">S0*EXP((μ-0.5*σ*σ)*T+σ*SQRT(T)*$C2296)</f>
        <v>0.65668131495945625</v>
      </c>
      <c r="E2296" s="5">
        <f ca="1">MAX(0,CP*(D2296-K))</f>
        <v>0</v>
      </c>
      <c r="F2296" s="4">
        <f ca="1">(CP*(D2296-K)&gt;0)*1</f>
        <v>0</v>
      </c>
      <c r="H2296" s="4">
        <v>2281</v>
      </c>
      <c r="I2296" s="3">
        <v>0.6675112111331557</v>
      </c>
      <c r="J2296" s="128">
        <v>1.2125308973139366E-3</v>
      </c>
      <c r="K2296" s="128"/>
      <c r="L2296" s="128">
        <v>3.7400000000000003E-2</v>
      </c>
      <c r="O2296" s="2"/>
    </row>
    <row r="2297" spans="2:15" x14ac:dyDescent="0.2">
      <c r="B2297" s="1">
        <v>2282</v>
      </c>
      <c r="C2297" s="5">
        <f ca="1">_xlfn.NORM.S.INV(RAND())</f>
        <v>-0.59977314597964326</v>
      </c>
      <c r="D2297" s="5">
        <f ca="1">S0*EXP((μ-0.5*σ*σ)*T+σ*SQRT(T)*$C2297)</f>
        <v>0.62635251159823413</v>
      </c>
      <c r="E2297" s="5">
        <f ca="1">MAX(0,CP*(D2297-K))</f>
        <v>0</v>
      </c>
      <c r="F2297" s="4">
        <f ca="1">(CP*(D2297-K)&gt;0)*1</f>
        <v>0</v>
      </c>
      <c r="H2297" s="4">
        <v>2282</v>
      </c>
      <c r="I2297" s="3">
        <v>0.66776792757172476</v>
      </c>
      <c r="J2297" s="128">
        <v>1.3401257998354645E-3</v>
      </c>
      <c r="K2297" s="128"/>
      <c r="L2297" s="128">
        <v>4.3999999999999997E-2</v>
      </c>
      <c r="O2297" s="2"/>
    </row>
    <row r="2298" spans="2:15" x14ac:dyDescent="0.2">
      <c r="B2298" s="1">
        <v>2283</v>
      </c>
      <c r="C2298" s="5">
        <f ca="1">_xlfn.NORM.S.INV(RAND())</f>
        <v>2.6768842713264476E-2</v>
      </c>
      <c r="D2298" s="5">
        <f ca="1">S0*EXP((μ-0.5*σ*σ)*T+σ*SQRT(T)*$C2298)</f>
        <v>0.66626168882640857</v>
      </c>
      <c r="E2298" s="5">
        <f ca="1">MAX(0,CP*(D2298-K))</f>
        <v>0</v>
      </c>
      <c r="F2298" s="4">
        <f ca="1">(CP*(D2298-K)&gt;0)*1</f>
        <v>0</v>
      </c>
      <c r="H2298" s="4">
        <v>2283</v>
      </c>
      <c r="I2298" s="3">
        <v>0.66781862689956828</v>
      </c>
      <c r="J2298" s="128">
        <v>1.5321234009245596E-3</v>
      </c>
      <c r="K2298" s="128"/>
      <c r="L2298" s="128">
        <v>4.3999999999999997E-2</v>
      </c>
      <c r="O2298" s="2"/>
    </row>
    <row r="2299" spans="2:15" x14ac:dyDescent="0.2">
      <c r="B2299" s="1">
        <v>2284</v>
      </c>
      <c r="C2299" s="5">
        <f ca="1">_xlfn.NORM.S.INV(RAND())</f>
        <v>1.2990278853020392</v>
      </c>
      <c r="D2299" s="5">
        <f ca="1">S0*EXP((μ-0.5*σ*σ)*T+σ*SQRT(T)*$C2299)</f>
        <v>0.75529720394340072</v>
      </c>
      <c r="E2299" s="5">
        <f ca="1">MAX(0,CP*(D2299-K))</f>
        <v>0</v>
      </c>
      <c r="F2299" s="4">
        <f ca="1">(CP*(D2299-K)&gt;0)*1</f>
        <v>0</v>
      </c>
      <c r="H2299" s="4">
        <v>2284</v>
      </c>
      <c r="I2299" s="3">
        <v>0.66777965748119261</v>
      </c>
      <c r="J2299" s="128">
        <v>1.4816931700069348E-3</v>
      </c>
      <c r="K2299" s="128"/>
      <c r="L2299" s="128">
        <v>4.1599999999999998E-2</v>
      </c>
      <c r="O2299" s="2"/>
    </row>
    <row r="2300" spans="2:15" x14ac:dyDescent="0.2">
      <c r="B2300" s="1">
        <v>2285</v>
      </c>
      <c r="C2300" s="5">
        <f ca="1">_xlfn.NORM.S.INV(RAND())</f>
        <v>1.1815800769454716</v>
      </c>
      <c r="D2300" s="5">
        <f ca="1">S0*EXP((μ-0.5*σ*σ)*T+σ*SQRT(T)*$C2300)</f>
        <v>0.74660214324087537</v>
      </c>
      <c r="E2300" s="5">
        <f ca="1">MAX(0,CP*(D2300-K))</f>
        <v>0</v>
      </c>
      <c r="F2300" s="4">
        <f ca="1">(CP*(D2300-K)&gt;0)*1</f>
        <v>0</v>
      </c>
      <c r="H2300" s="4">
        <v>2285</v>
      </c>
      <c r="I2300" s="3">
        <v>0.66766813634680022</v>
      </c>
      <c r="J2300" s="128">
        <v>1.2417468223735657E-3</v>
      </c>
      <c r="K2300" s="128"/>
      <c r="L2300" s="128">
        <v>3.78E-2</v>
      </c>
      <c r="O2300" s="2"/>
    </row>
    <row r="2301" spans="2:15" x14ac:dyDescent="0.2">
      <c r="B2301" s="1">
        <v>2286</v>
      </c>
      <c r="C2301" s="5">
        <f ca="1">_xlfn.NORM.S.INV(RAND())</f>
        <v>0.34991123583863881</v>
      </c>
      <c r="D2301" s="5">
        <f ca="1">S0*EXP((μ-0.5*σ*σ)*T+σ*SQRT(T)*$C2301)</f>
        <v>0.68782903432740727</v>
      </c>
      <c r="E2301" s="5">
        <f ca="1">MAX(0,CP*(D2301-K))</f>
        <v>0</v>
      </c>
      <c r="F2301" s="4">
        <f ca="1">(CP*(D2301-K)&gt;0)*1</f>
        <v>0</v>
      </c>
      <c r="H2301" s="4">
        <v>2286</v>
      </c>
      <c r="I2301" s="3">
        <v>0.66772726960400397</v>
      </c>
      <c r="J2301" s="128">
        <v>1.3490328873924096E-3</v>
      </c>
      <c r="K2301" s="128"/>
      <c r="L2301" s="128">
        <v>4.0800000000000003E-2</v>
      </c>
      <c r="O2301" s="2"/>
    </row>
    <row r="2302" spans="2:15" x14ac:dyDescent="0.2">
      <c r="B2302" s="1">
        <v>2287</v>
      </c>
      <c r="C2302" s="5">
        <f ca="1">_xlfn.NORM.S.INV(RAND())</f>
        <v>1.9469388929731655</v>
      </c>
      <c r="D2302" s="5">
        <f ca="1">S0*EXP((μ-0.5*σ*σ)*T+σ*SQRT(T)*$C2302)</f>
        <v>0.80511669227610705</v>
      </c>
      <c r="E2302" s="5">
        <f ca="1">MAX(0,CP*(D2302-K))</f>
        <v>1.6916692276107037E-2</v>
      </c>
      <c r="F2302" s="4">
        <f ca="1">(CP*(D2302-K)&gt;0)*1</f>
        <v>1</v>
      </c>
      <c r="H2302" s="4">
        <v>2287</v>
      </c>
      <c r="I2302" s="3">
        <v>0.66782791436258793</v>
      </c>
      <c r="J2302" s="128">
        <v>1.5342870058420695E-3</v>
      </c>
      <c r="K2302" s="128"/>
      <c r="L2302" s="128">
        <v>4.5400000000000003E-2</v>
      </c>
      <c r="O2302" s="2"/>
    </row>
    <row r="2303" spans="2:15" x14ac:dyDescent="0.2">
      <c r="B2303" s="1">
        <v>2288</v>
      </c>
      <c r="C2303" s="5">
        <f ca="1">_xlfn.NORM.S.INV(RAND())</f>
        <v>-0.56718912977851266</v>
      </c>
      <c r="D2303" s="5">
        <f ca="1">S0*EXP((μ-0.5*σ*σ)*T+σ*SQRT(T)*$C2303)</f>
        <v>0.62836782643437661</v>
      </c>
      <c r="E2303" s="5">
        <f ca="1">MAX(0,CP*(D2303-K))</f>
        <v>0</v>
      </c>
      <c r="F2303" s="4">
        <f ca="1">(CP*(D2303-K)&gt;0)*1</f>
        <v>0</v>
      </c>
      <c r="H2303" s="4">
        <v>2288</v>
      </c>
      <c r="I2303" s="3">
        <v>0.66770443022449522</v>
      </c>
      <c r="J2303" s="128">
        <v>1.2978671669398834E-3</v>
      </c>
      <c r="K2303" s="128"/>
      <c r="L2303" s="128">
        <v>4.1200000000000001E-2</v>
      </c>
      <c r="O2303" s="2"/>
    </row>
    <row r="2304" spans="2:15" x14ac:dyDescent="0.2">
      <c r="B2304" s="1">
        <v>2289</v>
      </c>
      <c r="C2304" s="5">
        <f ca="1">_xlfn.NORM.S.INV(RAND())</f>
        <v>0.40809938805781049</v>
      </c>
      <c r="D2304" s="5">
        <f ca="1">S0*EXP((μ-0.5*σ*σ)*T+σ*SQRT(T)*$C2304)</f>
        <v>0.691786189477822</v>
      </c>
      <c r="E2304" s="5">
        <f ca="1">MAX(0,CP*(D2304-K))</f>
        <v>0</v>
      </c>
      <c r="F2304" s="4">
        <f ca="1">(CP*(D2304-K)&gt;0)*1</f>
        <v>0</v>
      </c>
      <c r="H2304" s="4">
        <v>2289</v>
      </c>
      <c r="I2304" s="3">
        <v>0.66779744758588933</v>
      </c>
      <c r="J2304" s="128">
        <v>1.4127365948376548E-3</v>
      </c>
      <c r="K2304" s="128"/>
      <c r="L2304" s="128">
        <v>4.3799999999999999E-2</v>
      </c>
      <c r="O2304" s="2"/>
    </row>
    <row r="2305" spans="2:15" x14ac:dyDescent="0.2">
      <c r="B2305" s="1">
        <v>2290</v>
      </c>
      <c r="C2305" s="5">
        <f ca="1">_xlfn.NORM.S.INV(RAND())</f>
        <v>-1.1185851558035917</v>
      </c>
      <c r="D2305" s="5">
        <f ca="1">S0*EXP((μ-0.5*σ*σ)*T+σ*SQRT(T)*$C2305)</f>
        <v>0.59512113130877486</v>
      </c>
      <c r="E2305" s="5">
        <f ca="1">MAX(0,CP*(D2305-K))</f>
        <v>0</v>
      </c>
      <c r="F2305" s="4">
        <f ca="1">(CP*(D2305-K)&gt;0)*1</f>
        <v>0</v>
      </c>
      <c r="H2305" s="4">
        <v>2290</v>
      </c>
      <c r="I2305" s="3">
        <v>0.66780682412838677</v>
      </c>
      <c r="J2305" s="128">
        <v>1.4381552376604666E-3</v>
      </c>
      <c r="K2305" s="128"/>
      <c r="L2305" s="128">
        <v>4.1399999999999999E-2</v>
      </c>
      <c r="O2305" s="2"/>
    </row>
    <row r="2306" spans="2:15" x14ac:dyDescent="0.2">
      <c r="B2306" s="1">
        <v>2291</v>
      </c>
      <c r="C2306" s="5">
        <f ca="1">_xlfn.NORM.S.INV(RAND())</f>
        <v>0.43876431614228562</v>
      </c>
      <c r="D2306" s="5">
        <f ca="1">S0*EXP((μ-0.5*σ*σ)*T+σ*SQRT(T)*$C2306)</f>
        <v>0.6938807465518585</v>
      </c>
      <c r="E2306" s="5">
        <f ca="1">MAX(0,CP*(D2306-K))</f>
        <v>0</v>
      </c>
      <c r="F2306" s="4">
        <f ca="1">(CP*(D2306-K)&gt;0)*1</f>
        <v>0</v>
      </c>
      <c r="H2306" s="4">
        <v>2291</v>
      </c>
      <c r="I2306" s="3">
        <v>0.66782047628669683</v>
      </c>
      <c r="J2306" s="128">
        <v>1.5551575091309153E-3</v>
      </c>
      <c r="K2306" s="128"/>
      <c r="L2306" s="128">
        <v>4.3999999999999997E-2</v>
      </c>
      <c r="O2306" s="2"/>
    </row>
    <row r="2307" spans="2:15" x14ac:dyDescent="0.2">
      <c r="B2307" s="1">
        <v>2292</v>
      </c>
      <c r="C2307" s="5">
        <f ca="1">_xlfn.NORM.S.INV(RAND())</f>
        <v>1.2587846937958662</v>
      </c>
      <c r="D2307" s="5">
        <f ca="1">S0*EXP((μ-0.5*σ*σ)*T+σ*SQRT(T)*$C2307)</f>
        <v>0.75230651826097461</v>
      </c>
      <c r="E2307" s="5">
        <f ca="1">MAX(0,CP*(D2307-K))</f>
        <v>0</v>
      </c>
      <c r="F2307" s="4">
        <f ca="1">(CP*(D2307-K)&gt;0)*1</f>
        <v>0</v>
      </c>
      <c r="H2307" s="4">
        <v>2292</v>
      </c>
      <c r="I2307" s="3">
        <v>0.66777528919038998</v>
      </c>
      <c r="J2307" s="128">
        <v>1.4313665897363588E-3</v>
      </c>
      <c r="K2307" s="128"/>
      <c r="L2307" s="128">
        <v>4.24E-2</v>
      </c>
      <c r="O2307" s="2"/>
    </row>
    <row r="2308" spans="2:15" x14ac:dyDescent="0.2">
      <c r="B2308" s="1">
        <v>2293</v>
      </c>
      <c r="C2308" s="5">
        <f ca="1">_xlfn.NORM.S.INV(RAND())</f>
        <v>-7.1047080636810506E-2</v>
      </c>
      <c r="D2308" s="5">
        <f ca="1">S0*EXP((μ-0.5*σ*σ)*T+σ*SQRT(T)*$C2308)</f>
        <v>0.65986752498062506</v>
      </c>
      <c r="E2308" s="5">
        <f ca="1">MAX(0,CP*(D2308-K))</f>
        <v>0</v>
      </c>
      <c r="F2308" s="4">
        <f ca="1">(CP*(D2308-K)&gt;0)*1</f>
        <v>0</v>
      </c>
      <c r="H2308" s="4">
        <v>2293</v>
      </c>
      <c r="I2308" s="3">
        <v>0.66771283949897309</v>
      </c>
      <c r="J2308" s="128">
        <v>1.2704329659034722E-3</v>
      </c>
      <c r="K2308" s="128"/>
      <c r="L2308" s="128">
        <v>4.2000000000000003E-2</v>
      </c>
      <c r="O2308" s="2"/>
    </row>
    <row r="2309" spans="2:15" x14ac:dyDescent="0.2">
      <c r="B2309" s="1">
        <v>2294</v>
      </c>
      <c r="C2309" s="5">
        <f ca="1">_xlfn.NORM.S.INV(RAND())</f>
        <v>0.85703929235789977</v>
      </c>
      <c r="D2309" s="5">
        <f ca="1">S0*EXP((μ-0.5*σ*σ)*T+σ*SQRT(T)*$C2309)</f>
        <v>0.72309223191059357</v>
      </c>
      <c r="E2309" s="5">
        <f ca="1">MAX(0,CP*(D2309-K))</f>
        <v>0</v>
      </c>
      <c r="F2309" s="4">
        <f ca="1">(CP*(D2309-K)&gt;0)*1</f>
        <v>0</v>
      </c>
      <c r="H2309" s="4">
        <v>2294</v>
      </c>
      <c r="I2309" s="3">
        <v>0.66776672391517866</v>
      </c>
      <c r="J2309" s="128">
        <v>1.4501033619435709E-3</v>
      </c>
      <c r="K2309" s="128"/>
      <c r="L2309" s="128">
        <v>4.1200000000000001E-2</v>
      </c>
      <c r="O2309" s="2"/>
    </row>
    <row r="2310" spans="2:15" x14ac:dyDescent="0.2">
      <c r="B2310" s="1">
        <v>2295</v>
      </c>
      <c r="C2310" s="5">
        <f ca="1">_xlfn.NORM.S.INV(RAND())</f>
        <v>-1.3949261698783062</v>
      </c>
      <c r="D2310" s="5">
        <f ca="1">S0*EXP((μ-0.5*σ*σ)*T+σ*SQRT(T)*$C2310)</f>
        <v>0.57912665731712809</v>
      </c>
      <c r="E2310" s="5">
        <f ca="1">MAX(0,CP*(D2310-K))</f>
        <v>0</v>
      </c>
      <c r="F2310" s="4">
        <f ca="1">(CP*(D2310-K)&gt;0)*1</f>
        <v>0</v>
      </c>
      <c r="H2310" s="4">
        <v>2295</v>
      </c>
      <c r="I2310" s="3">
        <v>0.66785087028287482</v>
      </c>
      <c r="J2310" s="128">
        <v>1.4206572113703456E-3</v>
      </c>
      <c r="K2310" s="128"/>
      <c r="L2310" s="128">
        <v>4.58E-2</v>
      </c>
      <c r="O2310" s="2"/>
    </row>
    <row r="2311" spans="2:15" x14ac:dyDescent="0.2">
      <c r="B2311" s="1">
        <v>2296</v>
      </c>
      <c r="C2311" s="5">
        <f ca="1">_xlfn.NORM.S.INV(RAND())</f>
        <v>-0.31142862113100872</v>
      </c>
      <c r="D2311" s="5">
        <f ca="1">S0*EXP((μ-0.5*σ*σ)*T+σ*SQRT(T)*$C2311)</f>
        <v>0.64441342685454006</v>
      </c>
      <c r="E2311" s="5">
        <f ca="1">MAX(0,CP*(D2311-K))</f>
        <v>0</v>
      </c>
      <c r="F2311" s="4">
        <f ca="1">(CP*(D2311-K)&gt;0)*1</f>
        <v>0</v>
      </c>
      <c r="H2311" s="4">
        <v>2296</v>
      </c>
      <c r="I2311" s="3">
        <v>0.66790167069172923</v>
      </c>
      <c r="J2311" s="128">
        <v>1.2797881999804066E-3</v>
      </c>
      <c r="K2311" s="128"/>
      <c r="L2311" s="128">
        <v>4.4600000000000001E-2</v>
      </c>
      <c r="O2311" s="2"/>
    </row>
    <row r="2312" spans="2:15" x14ac:dyDescent="0.2">
      <c r="B2312" s="1">
        <v>2297</v>
      </c>
      <c r="C2312" s="5">
        <f ca="1">_xlfn.NORM.S.INV(RAND())</f>
        <v>0.88700611072125446</v>
      </c>
      <c r="D2312" s="5">
        <f ca="1">S0*EXP((μ-0.5*σ*σ)*T+σ*SQRT(T)*$C2312)</f>
        <v>0.72523166022655228</v>
      </c>
      <c r="E2312" s="5">
        <f ca="1">MAX(0,CP*(D2312-K))</f>
        <v>0</v>
      </c>
      <c r="F2312" s="4">
        <f ca="1">(CP*(D2312-K)&gt;0)*1</f>
        <v>0</v>
      </c>
      <c r="H2312" s="4">
        <v>2297</v>
      </c>
      <c r="I2312" s="3">
        <v>0.66762997523439471</v>
      </c>
      <c r="J2312" s="128">
        <v>1.2200815014089554E-3</v>
      </c>
      <c r="K2312" s="128"/>
      <c r="L2312" s="128">
        <v>3.9600000000000003E-2</v>
      </c>
      <c r="O2312" s="2"/>
    </row>
    <row r="2313" spans="2:15" x14ac:dyDescent="0.2">
      <c r="B2313" s="1">
        <v>2298</v>
      </c>
      <c r="C2313" s="5">
        <f ca="1">_xlfn.NORM.S.INV(RAND())</f>
        <v>-1.8341730610881068</v>
      </c>
      <c r="D2313" s="5">
        <f ca="1">S0*EXP((μ-0.5*σ*σ)*T+σ*SQRT(T)*$C2313)</f>
        <v>0.55458326947601644</v>
      </c>
      <c r="E2313" s="5">
        <f ca="1">MAX(0,CP*(D2313-K))</f>
        <v>0</v>
      </c>
      <c r="F2313" s="4">
        <f ca="1">(CP*(D2313-K)&gt;0)*1</f>
        <v>0</v>
      </c>
      <c r="H2313" s="4">
        <v>2298</v>
      </c>
      <c r="I2313" s="3">
        <v>0.66784988669444978</v>
      </c>
      <c r="J2313" s="128">
        <v>1.5747724339433688E-3</v>
      </c>
      <c r="K2313" s="128"/>
      <c r="L2313" s="128">
        <v>4.7600000000000003E-2</v>
      </c>
      <c r="O2313" s="2"/>
    </row>
    <row r="2314" spans="2:15" x14ac:dyDescent="0.2">
      <c r="B2314" s="1">
        <v>2299</v>
      </c>
      <c r="C2314" s="5">
        <f ca="1">_xlfn.NORM.S.INV(RAND())</f>
        <v>1.4866162376556191</v>
      </c>
      <c r="D2314" s="5">
        <f ca="1">S0*EXP((μ-0.5*σ*σ)*T+σ*SQRT(T)*$C2314)</f>
        <v>0.76939552986890503</v>
      </c>
      <c r="E2314" s="5">
        <f ca="1">MAX(0,CP*(D2314-K))</f>
        <v>0</v>
      </c>
      <c r="F2314" s="4">
        <f ca="1">(CP*(D2314-K)&gt;0)*1</f>
        <v>0</v>
      </c>
      <c r="H2314" s="4">
        <v>2299</v>
      </c>
      <c r="I2314" s="3">
        <v>0.6678558262347849</v>
      </c>
      <c r="J2314" s="128">
        <v>1.369425086927042E-3</v>
      </c>
      <c r="K2314" s="128"/>
      <c r="L2314" s="128">
        <v>4.4999999999999998E-2</v>
      </c>
      <c r="O2314" s="2"/>
    </row>
    <row r="2315" spans="2:15" x14ac:dyDescent="0.2">
      <c r="B2315" s="1">
        <v>2300</v>
      </c>
      <c r="C2315" s="5">
        <f ca="1">_xlfn.NORM.S.INV(RAND())</f>
        <v>1.3190087067822422</v>
      </c>
      <c r="D2315" s="5">
        <f ca="1">S0*EXP((μ-0.5*σ*σ)*T+σ*SQRT(T)*$C2315)</f>
        <v>0.75678649902996931</v>
      </c>
      <c r="E2315" s="5">
        <f ca="1">MAX(0,CP*(D2315-K))</f>
        <v>0</v>
      </c>
      <c r="F2315" s="4">
        <f ca="1">(CP*(D2315-K)&gt;0)*1</f>
        <v>0</v>
      </c>
      <c r="H2315" s="4">
        <v>2300</v>
      </c>
      <c r="I2315" s="3">
        <v>0.66779406732117408</v>
      </c>
      <c r="J2315" s="128">
        <v>1.4215938248754321E-3</v>
      </c>
      <c r="K2315" s="128"/>
      <c r="L2315" s="128">
        <v>4.1000000000000002E-2</v>
      </c>
      <c r="O2315" s="2"/>
    </row>
    <row r="2316" spans="2:15" x14ac:dyDescent="0.2">
      <c r="B2316" s="1">
        <v>2301</v>
      </c>
      <c r="C2316" s="5">
        <f ca="1">_xlfn.NORM.S.INV(RAND())</f>
        <v>-0.26043351760650457</v>
      </c>
      <c r="D2316" s="5">
        <f ca="1">S0*EXP((μ-0.5*σ*σ)*T+σ*SQRT(T)*$C2316)</f>
        <v>0.64766135893925625</v>
      </c>
      <c r="E2316" s="5">
        <f ca="1">MAX(0,CP*(D2316-K))</f>
        <v>0</v>
      </c>
      <c r="F2316" s="4">
        <f ca="1">(CP*(D2316-K)&gt;0)*1</f>
        <v>0</v>
      </c>
      <c r="H2316" s="4">
        <v>2301</v>
      </c>
      <c r="I2316" s="3">
        <v>0.6676614072379532</v>
      </c>
      <c r="J2316" s="128">
        <v>1.2802033284400854E-3</v>
      </c>
      <c r="K2316" s="128"/>
      <c r="L2316" s="128">
        <v>3.8600000000000002E-2</v>
      </c>
      <c r="O2316" s="2"/>
    </row>
    <row r="2317" spans="2:15" x14ac:dyDescent="0.2">
      <c r="B2317" s="1">
        <v>2302</v>
      </c>
      <c r="C2317" s="5">
        <f ca="1">_xlfn.NORM.S.INV(RAND())</f>
        <v>-8.7922186385048895E-2</v>
      </c>
      <c r="D2317" s="5">
        <f ca="1">S0*EXP((μ-0.5*σ*σ)*T+σ*SQRT(T)*$C2317)</f>
        <v>0.65877063323893015</v>
      </c>
      <c r="E2317" s="5">
        <f ca="1">MAX(0,CP*(D2317-K))</f>
        <v>0</v>
      </c>
      <c r="F2317" s="4">
        <f ca="1">(CP*(D2317-K)&gt;0)*1</f>
        <v>0</v>
      </c>
      <c r="H2317" s="4">
        <v>2302</v>
      </c>
      <c r="I2317" s="3">
        <v>0.66762836871328135</v>
      </c>
      <c r="J2317" s="128">
        <v>1.1991961995377687E-3</v>
      </c>
      <c r="K2317" s="128"/>
      <c r="L2317" s="128">
        <v>3.9399999999999998E-2</v>
      </c>
      <c r="O2317" s="2"/>
    </row>
    <row r="2318" spans="2:15" x14ac:dyDescent="0.2">
      <c r="B2318" s="1">
        <v>2303</v>
      </c>
      <c r="C2318" s="5">
        <f ca="1">_xlfn.NORM.S.INV(RAND())</f>
        <v>-1.8865233185018908</v>
      </c>
      <c r="D2318" s="5">
        <f ca="1">S0*EXP((μ-0.5*σ*σ)*T+σ*SQRT(T)*$C2318)</f>
        <v>0.55172839463284629</v>
      </c>
      <c r="E2318" s="5">
        <f ca="1">MAX(0,CP*(D2318-K))</f>
        <v>0</v>
      </c>
      <c r="F2318" s="4">
        <f ca="1">(CP*(D2318-K)&gt;0)*1</f>
        <v>0</v>
      </c>
      <c r="H2318" s="4">
        <v>2303</v>
      </c>
      <c r="I2318" s="3">
        <v>0.66765305202351288</v>
      </c>
      <c r="J2318" s="128">
        <v>1.3452145743128761E-3</v>
      </c>
      <c r="K2318" s="128"/>
      <c r="L2318" s="128">
        <v>4.1399999999999999E-2</v>
      </c>
      <c r="O2318" s="2"/>
    </row>
    <row r="2319" spans="2:15" x14ac:dyDescent="0.2">
      <c r="B2319" s="1">
        <v>2304</v>
      </c>
      <c r="C2319" s="5">
        <f ca="1">_xlfn.NORM.S.INV(RAND())</f>
        <v>1.0664168611121978</v>
      </c>
      <c r="D2319" s="5">
        <f ca="1">S0*EXP((μ-0.5*σ*σ)*T+σ*SQRT(T)*$C2319)</f>
        <v>0.73817342268898301</v>
      </c>
      <c r="E2319" s="5">
        <f ca="1">MAX(0,CP*(D2319-K))</f>
        <v>0</v>
      </c>
      <c r="F2319" s="4">
        <f ca="1">(CP*(D2319-K)&gt;0)*1</f>
        <v>0</v>
      </c>
      <c r="H2319" s="4">
        <v>2304</v>
      </c>
      <c r="I2319" s="3">
        <v>0.6676984695058501</v>
      </c>
      <c r="J2319" s="128">
        <v>1.1411966847788032E-3</v>
      </c>
      <c r="K2319" s="128"/>
      <c r="L2319" s="128">
        <v>3.6999999999999998E-2</v>
      </c>
      <c r="O2319" s="2"/>
    </row>
    <row r="2320" spans="2:15" x14ac:dyDescent="0.2">
      <c r="B2320" s="1">
        <v>2305</v>
      </c>
      <c r="C2320" s="5">
        <f ca="1">_xlfn.NORM.S.INV(RAND())</f>
        <v>0.18590237581920069</v>
      </c>
      <c r="D2320" s="5">
        <f ca="1">S0*EXP((μ-0.5*σ*σ)*T+σ*SQRT(T)*$C2320)</f>
        <v>0.67679680796090103</v>
      </c>
      <c r="E2320" s="5">
        <f ca="1">MAX(0,CP*(D2320-K))</f>
        <v>0</v>
      </c>
      <c r="F2320" s="4">
        <f ca="1">(CP*(D2320-K)&gt;0)*1</f>
        <v>0</v>
      </c>
      <c r="H2320" s="4">
        <v>2305</v>
      </c>
      <c r="I2320" s="3">
        <v>0.66781972895703434</v>
      </c>
      <c r="J2320" s="128">
        <v>1.4729640918147945E-3</v>
      </c>
      <c r="K2320" s="128"/>
      <c r="L2320" s="128">
        <v>4.1799999999999997E-2</v>
      </c>
      <c r="O2320" s="2"/>
    </row>
    <row r="2321" spans="2:15" x14ac:dyDescent="0.2">
      <c r="B2321" s="1">
        <v>2306</v>
      </c>
      <c r="C2321" s="5">
        <f ca="1">_xlfn.NORM.S.INV(RAND())</f>
        <v>0.54664169168708265</v>
      </c>
      <c r="D2321" s="5">
        <f ca="1">S0*EXP((μ-0.5*σ*σ)*T+σ*SQRT(T)*$C2321)</f>
        <v>0.70129979855609859</v>
      </c>
      <c r="E2321" s="5">
        <f ca="1">MAX(0,CP*(D2321-K))</f>
        <v>0</v>
      </c>
      <c r="F2321" s="4">
        <f ca="1">(CP*(D2321-K)&gt;0)*1</f>
        <v>0</v>
      </c>
      <c r="H2321" s="4">
        <v>2306</v>
      </c>
      <c r="I2321" s="3">
        <v>0.66774548435472236</v>
      </c>
      <c r="J2321" s="128">
        <v>1.3073037762075779E-3</v>
      </c>
      <c r="K2321" s="128"/>
      <c r="L2321" s="128">
        <v>4.2200000000000001E-2</v>
      </c>
      <c r="O2321" s="2"/>
    </row>
    <row r="2322" spans="2:15" x14ac:dyDescent="0.2">
      <c r="B2322" s="1">
        <v>2307</v>
      </c>
      <c r="C2322" s="5">
        <f ca="1">_xlfn.NORM.S.INV(RAND())</f>
        <v>-9.2998904654423412E-2</v>
      </c>
      <c r="D2322" s="5">
        <f ca="1">S0*EXP((μ-0.5*σ*σ)*T+σ*SQRT(T)*$C2322)</f>
        <v>0.65844100050180343</v>
      </c>
      <c r="E2322" s="5">
        <f ca="1">MAX(0,CP*(D2322-K))</f>
        <v>0</v>
      </c>
      <c r="F2322" s="4">
        <f ca="1">(CP*(D2322-K)&gt;0)*1</f>
        <v>0</v>
      </c>
      <c r="H2322" s="4">
        <v>2307</v>
      </c>
      <c r="I2322" s="3">
        <v>0.66762841829406905</v>
      </c>
      <c r="J2322" s="128">
        <v>1.1641581551501809E-3</v>
      </c>
      <c r="K2322" s="128"/>
      <c r="L2322" s="128">
        <v>3.5000000000000003E-2</v>
      </c>
      <c r="O2322" s="2"/>
    </row>
    <row r="2323" spans="2:15" x14ac:dyDescent="0.2">
      <c r="B2323" s="1">
        <v>2308</v>
      </c>
      <c r="C2323" s="5">
        <f ca="1">_xlfn.NORM.S.INV(RAND())</f>
        <v>1.0838282283147889</v>
      </c>
      <c r="D2323" s="5">
        <f ca="1">S0*EXP((μ-0.5*σ*σ)*T+σ*SQRT(T)*$C2323)</f>
        <v>0.73944161698612221</v>
      </c>
      <c r="E2323" s="5">
        <f ca="1">MAX(0,CP*(D2323-K))</f>
        <v>0</v>
      </c>
      <c r="F2323" s="4">
        <f ca="1">(CP*(D2323-K)&gt;0)*1</f>
        <v>0</v>
      </c>
      <c r="H2323" s="4">
        <v>2308</v>
      </c>
      <c r="I2323" s="3">
        <v>0.66765157842971445</v>
      </c>
      <c r="J2323" s="128">
        <v>1.311181926253617E-3</v>
      </c>
      <c r="K2323" s="128"/>
      <c r="L2323" s="128">
        <v>4.2200000000000001E-2</v>
      </c>
      <c r="O2323" s="2"/>
    </row>
    <row r="2324" spans="2:15" x14ac:dyDescent="0.2">
      <c r="B2324" s="1">
        <v>2309</v>
      </c>
      <c r="C2324" s="5">
        <f ca="1">_xlfn.NORM.S.INV(RAND())</f>
        <v>0.12879077889552265</v>
      </c>
      <c r="D2324" s="5">
        <f ca="1">S0*EXP((μ-0.5*σ*σ)*T+σ*SQRT(T)*$C2324)</f>
        <v>0.67299681970068992</v>
      </c>
      <c r="E2324" s="5">
        <f ca="1">MAX(0,CP*(D2324-K))</f>
        <v>0</v>
      </c>
      <c r="F2324" s="4">
        <f ca="1">(CP*(D2324-K)&gt;0)*1</f>
        <v>0</v>
      </c>
      <c r="H2324" s="4">
        <v>2309</v>
      </c>
      <c r="I2324" s="3">
        <v>0.66774460289502513</v>
      </c>
      <c r="J2324" s="128">
        <v>1.3939481514703385E-3</v>
      </c>
      <c r="K2324" s="128"/>
      <c r="L2324" s="128">
        <v>4.5199999999999997E-2</v>
      </c>
      <c r="O2324" s="2"/>
    </row>
    <row r="2325" spans="2:15" x14ac:dyDescent="0.2">
      <c r="B2325" s="1">
        <v>2310</v>
      </c>
      <c r="C2325" s="5">
        <f ca="1">_xlfn.NORM.S.INV(RAND())</f>
        <v>-1.6215994720971774</v>
      </c>
      <c r="D2325" s="5">
        <f ca="1">S0*EXP((μ-0.5*σ*σ)*T+σ*SQRT(T)*$C2325)</f>
        <v>0.56632836387386365</v>
      </c>
      <c r="E2325" s="5">
        <f ca="1">MAX(0,CP*(D2325-K))</f>
        <v>0</v>
      </c>
      <c r="F2325" s="4">
        <f ca="1">(CP*(D2325-K)&gt;0)*1</f>
        <v>0</v>
      </c>
      <c r="H2325" s="4">
        <v>2310</v>
      </c>
      <c r="I2325" s="3">
        <v>0.6676769522428323</v>
      </c>
      <c r="J2325" s="128">
        <v>1.2548295272557448E-3</v>
      </c>
      <c r="K2325" s="128"/>
      <c r="L2325" s="128">
        <v>3.8399999999999997E-2</v>
      </c>
      <c r="O2325" s="2"/>
    </row>
    <row r="2326" spans="2:15" x14ac:dyDescent="0.2">
      <c r="B2326" s="1">
        <v>2311</v>
      </c>
      <c r="C2326" s="5">
        <f ca="1">_xlfn.NORM.S.INV(RAND())</f>
        <v>-0.35128230140155381</v>
      </c>
      <c r="D2326" s="5">
        <f ca="1">S0*EXP((μ-0.5*σ*σ)*T+σ*SQRT(T)*$C2326)</f>
        <v>0.6418864467336387</v>
      </c>
      <c r="E2326" s="5">
        <f ca="1">MAX(0,CP*(D2326-K))</f>
        <v>0</v>
      </c>
      <c r="F2326" s="4">
        <f ca="1">(CP*(D2326-K)&gt;0)*1</f>
        <v>0</v>
      </c>
      <c r="H2326" s="4">
        <v>2311</v>
      </c>
      <c r="I2326" s="3">
        <v>0.66766306936598641</v>
      </c>
      <c r="J2326" s="128">
        <v>1.3157050314899072E-3</v>
      </c>
      <c r="K2326" s="128"/>
      <c r="L2326" s="128">
        <v>3.9199999999999999E-2</v>
      </c>
      <c r="O2326" s="2"/>
    </row>
    <row r="2327" spans="2:15" x14ac:dyDescent="0.2">
      <c r="B2327" s="1">
        <v>2312</v>
      </c>
      <c r="C2327" s="5">
        <f ca="1">_xlfn.NORM.S.INV(RAND())</f>
        <v>0.54576924683847894</v>
      </c>
      <c r="D2327" s="5">
        <f ca="1">S0*EXP((μ-0.5*σ*σ)*T+σ*SQRT(T)*$C2327)</f>
        <v>0.70123948086064014</v>
      </c>
      <c r="E2327" s="5">
        <f ca="1">MAX(0,CP*(D2327-K))</f>
        <v>0</v>
      </c>
      <c r="F2327" s="4">
        <f ca="1">(CP*(D2327-K)&gt;0)*1</f>
        <v>0</v>
      </c>
      <c r="H2327" s="4">
        <v>2312</v>
      </c>
      <c r="I2327" s="3">
        <v>0.66768335765169795</v>
      </c>
      <c r="J2327" s="128">
        <v>1.3251746594465305E-3</v>
      </c>
      <c r="K2327" s="128"/>
      <c r="L2327" s="128">
        <v>3.8399999999999997E-2</v>
      </c>
      <c r="O2327" s="2"/>
    </row>
    <row r="2328" spans="2:15" x14ac:dyDescent="0.2">
      <c r="B2328" s="1">
        <v>2313</v>
      </c>
      <c r="C2328" s="5">
        <f ca="1">_xlfn.NORM.S.INV(RAND())</f>
        <v>0.74161678529635278</v>
      </c>
      <c r="D2328" s="5">
        <f ca="1">S0*EXP((μ-0.5*σ*σ)*T+σ*SQRT(T)*$C2328)</f>
        <v>0.71491064970748741</v>
      </c>
      <c r="E2328" s="5">
        <f ca="1">MAX(0,CP*(D2328-K))</f>
        <v>0</v>
      </c>
      <c r="F2328" s="4">
        <f ca="1">(CP*(D2328-K)&gt;0)*1</f>
        <v>0</v>
      </c>
      <c r="H2328" s="4">
        <v>2313</v>
      </c>
      <c r="I2328" s="3">
        <v>0.66762473189527349</v>
      </c>
      <c r="J2328" s="128">
        <v>1.1791185162184953E-3</v>
      </c>
      <c r="K2328" s="128"/>
      <c r="L2328" s="128">
        <v>4.0399999999999998E-2</v>
      </c>
      <c r="O2328" s="2"/>
    </row>
    <row r="2329" spans="2:15" x14ac:dyDescent="0.2">
      <c r="B2329" s="1">
        <v>2314</v>
      </c>
      <c r="C2329" s="5">
        <f ca="1">_xlfn.NORM.S.INV(RAND())</f>
        <v>-0.84208123166780602</v>
      </c>
      <c r="D2329" s="5">
        <f ca="1">S0*EXP((μ-0.5*σ*σ)*T+σ*SQRT(T)*$C2329)</f>
        <v>0.6115671671700641</v>
      </c>
      <c r="E2329" s="5">
        <f ca="1">MAX(0,CP*(D2329-K))</f>
        <v>0</v>
      </c>
      <c r="F2329" s="4">
        <f ca="1">(CP*(D2329-K)&gt;0)*1</f>
        <v>0</v>
      </c>
      <c r="H2329" s="4">
        <v>2314</v>
      </c>
      <c r="I2329" s="3">
        <v>0.66764741322290688</v>
      </c>
      <c r="J2329" s="128">
        <v>1.2806474486292286E-3</v>
      </c>
      <c r="K2329" s="128"/>
      <c r="L2329" s="128">
        <v>4.1799999999999997E-2</v>
      </c>
      <c r="O2329" s="2"/>
    </row>
    <row r="2330" spans="2:15" x14ac:dyDescent="0.2">
      <c r="B2330" s="1">
        <v>2315</v>
      </c>
      <c r="C2330" s="5">
        <f ca="1">_xlfn.NORM.S.INV(RAND())</f>
        <v>-1.9933442078744128</v>
      </c>
      <c r="D2330" s="5">
        <f ca="1">S0*EXP((μ-0.5*σ*σ)*T+σ*SQRT(T)*$C2330)</f>
        <v>0.54594851983258341</v>
      </c>
      <c r="E2330" s="5">
        <f ca="1">MAX(0,CP*(D2330-K))</f>
        <v>0</v>
      </c>
      <c r="F2330" s="4">
        <f ca="1">(CP*(D2330-K)&gt;0)*1</f>
        <v>0</v>
      </c>
      <c r="H2330" s="4">
        <v>2315</v>
      </c>
      <c r="I2330" s="3">
        <v>0.66769588740498942</v>
      </c>
      <c r="J2330" s="128">
        <v>1.3689671377550281E-3</v>
      </c>
      <c r="K2330" s="128"/>
      <c r="L2330" s="128">
        <v>4.3799999999999999E-2</v>
      </c>
      <c r="O2330" s="2"/>
    </row>
    <row r="2331" spans="2:15" x14ac:dyDescent="0.2">
      <c r="B2331" s="1">
        <v>2316</v>
      </c>
      <c r="C2331" s="5">
        <f ca="1">_xlfn.NORM.S.INV(RAND())</f>
        <v>0.93269963093261787</v>
      </c>
      <c r="D2331" s="5">
        <f ca="1">S0*EXP((μ-0.5*σ*σ)*T+σ*SQRT(T)*$C2331)</f>
        <v>0.72850605973803273</v>
      </c>
      <c r="E2331" s="5">
        <f ca="1">MAX(0,CP*(D2331-K))</f>
        <v>0</v>
      </c>
      <c r="F2331" s="4">
        <f ca="1">(CP*(D2331-K)&gt;0)*1</f>
        <v>0</v>
      </c>
      <c r="H2331" s="4">
        <v>2316</v>
      </c>
      <c r="I2331" s="3">
        <v>0.66778952548884229</v>
      </c>
      <c r="J2331" s="128">
        <v>1.3290570859814633E-3</v>
      </c>
      <c r="K2331" s="128"/>
      <c r="L2331" s="128">
        <v>4.1799999999999997E-2</v>
      </c>
      <c r="O2331" s="2"/>
    </row>
    <row r="2332" spans="2:15" x14ac:dyDescent="0.2">
      <c r="B2332" s="1">
        <v>2317</v>
      </c>
      <c r="C2332" s="5">
        <f ca="1">_xlfn.NORM.S.INV(RAND())</f>
        <v>0.3310562316223552</v>
      </c>
      <c r="D2332" s="5">
        <f ca="1">S0*EXP((μ-0.5*σ*σ)*T+σ*SQRT(T)*$C2332)</f>
        <v>0.68655163914719886</v>
      </c>
      <c r="E2332" s="5">
        <f ca="1">MAX(0,CP*(D2332-K))</f>
        <v>0</v>
      </c>
      <c r="F2332" s="4">
        <f ca="1">(CP*(D2332-K)&gt;0)*1</f>
        <v>0</v>
      </c>
      <c r="H2332" s="4">
        <v>2317</v>
      </c>
      <c r="I2332" s="3">
        <v>0.66781908256069744</v>
      </c>
      <c r="J2332" s="128">
        <v>1.5440111598289061E-3</v>
      </c>
      <c r="K2332" s="128"/>
      <c r="L2332" s="128">
        <v>4.2599999999999999E-2</v>
      </c>
      <c r="O2332" s="2"/>
    </row>
    <row r="2333" spans="2:15" x14ac:dyDescent="0.2">
      <c r="B2333" s="1">
        <v>2318</v>
      </c>
      <c r="C2333" s="5">
        <f ca="1">_xlfn.NORM.S.INV(RAND())</f>
        <v>-0.91266990968483752</v>
      </c>
      <c r="D2333" s="5">
        <f ca="1">S0*EXP((μ-0.5*σ*σ)*T+σ*SQRT(T)*$C2333)</f>
        <v>0.60732594869180756</v>
      </c>
      <c r="E2333" s="5">
        <f ca="1">MAX(0,CP*(D2333-K))</f>
        <v>0</v>
      </c>
      <c r="F2333" s="4">
        <f ca="1">(CP*(D2333-K)&gt;0)*1</f>
        <v>0</v>
      </c>
      <c r="H2333" s="4">
        <v>2318</v>
      </c>
      <c r="I2333" s="3">
        <v>0.66766957614284128</v>
      </c>
      <c r="J2333" s="128">
        <v>1.2435626349761898E-3</v>
      </c>
      <c r="K2333" s="128"/>
      <c r="L2333" s="128">
        <v>4.2000000000000003E-2</v>
      </c>
      <c r="O2333" s="2"/>
    </row>
    <row r="2334" spans="2:15" x14ac:dyDescent="0.2">
      <c r="B2334" s="1">
        <v>2319</v>
      </c>
      <c r="C2334" s="5">
        <f ca="1">_xlfn.NORM.S.INV(RAND())</f>
        <v>1.0626115691696945</v>
      </c>
      <c r="D2334" s="5">
        <f ca="1">S0*EXP((μ-0.5*σ*σ)*T+σ*SQRT(T)*$C2334)</f>
        <v>0.7378965458388077</v>
      </c>
      <c r="E2334" s="5">
        <f ca="1">MAX(0,CP*(D2334-K))</f>
        <v>0</v>
      </c>
      <c r="F2334" s="4">
        <f ca="1">(CP*(D2334-K)&gt;0)*1</f>
        <v>0</v>
      </c>
      <c r="H2334" s="4">
        <v>2319</v>
      </c>
      <c r="I2334" s="3">
        <v>0.66771160728083456</v>
      </c>
      <c r="J2334" s="128">
        <v>1.2599089353306234E-3</v>
      </c>
      <c r="K2334" s="128"/>
      <c r="L2334" s="128">
        <v>4.1599999999999998E-2</v>
      </c>
      <c r="O2334" s="2"/>
    </row>
    <row r="2335" spans="2:15" x14ac:dyDescent="0.2">
      <c r="B2335" s="1">
        <v>2320</v>
      </c>
      <c r="C2335" s="5">
        <f ca="1">_xlfn.NORM.S.INV(RAND())</f>
        <v>0.22385813556214673</v>
      </c>
      <c r="D2335" s="5">
        <f ca="1">S0*EXP((μ-0.5*σ*σ)*T+σ*SQRT(T)*$C2335)</f>
        <v>0.67933410037700248</v>
      </c>
      <c r="E2335" s="5">
        <f ca="1">MAX(0,CP*(D2335-K))</f>
        <v>0</v>
      </c>
      <c r="F2335" s="4">
        <f ca="1">(CP*(D2335-K)&gt;0)*1</f>
        <v>0</v>
      </c>
      <c r="H2335" s="4">
        <v>2320</v>
      </c>
      <c r="I2335" s="3">
        <v>0.66778060577448606</v>
      </c>
      <c r="J2335" s="128">
        <v>1.4773770159891824E-3</v>
      </c>
      <c r="K2335" s="128"/>
      <c r="L2335" s="128">
        <v>4.4600000000000001E-2</v>
      </c>
      <c r="O2335" s="2"/>
    </row>
    <row r="2336" spans="2:15" x14ac:dyDescent="0.2">
      <c r="B2336" s="1">
        <v>2321</v>
      </c>
      <c r="C2336" s="5">
        <f ca="1">_xlfn.NORM.S.INV(RAND())</f>
        <v>0.65110759084990966</v>
      </c>
      <c r="D2336" s="5">
        <f ca="1">S0*EXP((μ-0.5*σ*σ)*T+σ*SQRT(T)*$C2336)</f>
        <v>0.70855982673643203</v>
      </c>
      <c r="E2336" s="5">
        <f ca="1">MAX(0,CP*(D2336-K))</f>
        <v>0</v>
      </c>
      <c r="F2336" s="4">
        <f ca="1">(CP*(D2336-K)&gt;0)*1</f>
        <v>0</v>
      </c>
      <c r="H2336" s="4">
        <v>2321</v>
      </c>
      <c r="I2336" s="3">
        <v>0.66770091558612898</v>
      </c>
      <c r="J2336" s="128">
        <v>1.2820710114863434E-3</v>
      </c>
      <c r="K2336" s="128"/>
      <c r="L2336" s="128">
        <v>3.9399999999999998E-2</v>
      </c>
      <c r="O2336" s="2"/>
    </row>
    <row r="2337" spans="2:15" x14ac:dyDescent="0.2">
      <c r="B2337" s="1">
        <v>2322</v>
      </c>
      <c r="C2337" s="5">
        <f ca="1">_xlfn.NORM.S.INV(RAND())</f>
        <v>0.58558688258758107</v>
      </c>
      <c r="D2337" s="5">
        <f ca="1">S0*EXP((μ-0.5*σ*σ)*T+σ*SQRT(T)*$C2337)</f>
        <v>0.70399762046344139</v>
      </c>
      <c r="E2337" s="5">
        <f ca="1">MAX(0,CP*(D2337-K))</f>
        <v>0</v>
      </c>
      <c r="F2337" s="4">
        <f ca="1">(CP*(D2337-K)&gt;0)*1</f>
        <v>0</v>
      </c>
      <c r="H2337" s="4">
        <v>2322</v>
      </c>
      <c r="I2337" s="3">
        <v>0.6676329886964274</v>
      </c>
      <c r="J2337" s="128">
        <v>1.1995980291652183E-3</v>
      </c>
      <c r="K2337" s="128"/>
      <c r="L2337" s="128">
        <v>3.8800000000000001E-2</v>
      </c>
      <c r="O2337" s="2"/>
    </row>
    <row r="2338" spans="2:15" x14ac:dyDescent="0.2">
      <c r="B2338" s="1">
        <v>2323</v>
      </c>
      <c r="C2338" s="5">
        <f ca="1">_xlfn.NORM.S.INV(RAND())</f>
        <v>-5.7950151842797705E-2</v>
      </c>
      <c r="D2338" s="5">
        <f ca="1">S0*EXP((μ-0.5*σ*σ)*T+σ*SQRT(T)*$C2338)</f>
        <v>0.6607200916524345</v>
      </c>
      <c r="E2338" s="5">
        <f ca="1">MAX(0,CP*(D2338-K))</f>
        <v>0</v>
      </c>
      <c r="F2338" s="4">
        <f ca="1">(CP*(D2338-K)&gt;0)*1</f>
        <v>0</v>
      </c>
      <c r="H2338" s="4">
        <v>2323</v>
      </c>
      <c r="I2338" s="3">
        <v>0.66781345734392394</v>
      </c>
      <c r="J2338" s="128">
        <v>1.379212041544864E-3</v>
      </c>
      <c r="K2338" s="128"/>
      <c r="L2338" s="128">
        <v>4.02E-2</v>
      </c>
      <c r="O2338" s="2"/>
    </row>
    <row r="2339" spans="2:15" x14ac:dyDescent="0.2">
      <c r="B2339" s="1">
        <v>2324</v>
      </c>
      <c r="C2339" s="5">
        <f ca="1">_xlfn.NORM.S.INV(RAND())</f>
        <v>0.3979459835151819</v>
      </c>
      <c r="D2339" s="5">
        <f ca="1">S0*EXP((μ-0.5*σ*σ)*T+σ*SQRT(T)*$C2339)</f>
        <v>0.69109405903388532</v>
      </c>
      <c r="E2339" s="5">
        <f ca="1">MAX(0,CP*(D2339-K))</f>
        <v>0</v>
      </c>
      <c r="F2339" s="4">
        <f ca="1">(CP*(D2339-K)&gt;0)*1</f>
        <v>0</v>
      </c>
      <c r="H2339" s="4">
        <v>2324</v>
      </c>
      <c r="I2339" s="3">
        <v>0.66781025011295347</v>
      </c>
      <c r="J2339" s="128">
        <v>1.4526874852545751E-3</v>
      </c>
      <c r="K2339" s="128"/>
      <c r="L2339" s="128">
        <v>4.24E-2</v>
      </c>
      <c r="O2339" s="2"/>
    </row>
    <row r="2340" spans="2:15" x14ac:dyDescent="0.2">
      <c r="B2340" s="1">
        <v>2325</v>
      </c>
      <c r="C2340" s="5">
        <f ca="1">_xlfn.NORM.S.INV(RAND())</f>
        <v>0.1199041161857634</v>
      </c>
      <c r="D2340" s="5">
        <f ca="1">S0*EXP((μ-0.5*σ*σ)*T+σ*SQRT(T)*$C2340)</f>
        <v>0.67240745625260268</v>
      </c>
      <c r="E2340" s="5">
        <f ca="1">MAX(0,CP*(D2340-K))</f>
        <v>0</v>
      </c>
      <c r="F2340" s="4">
        <f ca="1">(CP*(D2340-K)&gt;0)*1</f>
        <v>0</v>
      </c>
      <c r="H2340" s="4">
        <v>2325</v>
      </c>
      <c r="I2340" s="3">
        <v>0.66793436057948563</v>
      </c>
      <c r="J2340" s="128">
        <v>1.5220951324443287E-3</v>
      </c>
      <c r="K2340" s="128"/>
      <c r="L2340" s="128">
        <v>4.2999999999999997E-2</v>
      </c>
      <c r="O2340" s="2"/>
    </row>
    <row r="2341" spans="2:15" x14ac:dyDescent="0.2">
      <c r="B2341" s="1">
        <v>2326</v>
      </c>
      <c r="C2341" s="5">
        <f ca="1">_xlfn.NORM.S.INV(RAND())</f>
        <v>0.81140660621111527</v>
      </c>
      <c r="D2341" s="5">
        <f ca="1">S0*EXP((μ-0.5*σ*σ)*T+σ*SQRT(T)*$C2341)</f>
        <v>0.71984648305654886</v>
      </c>
      <c r="E2341" s="5">
        <f ca="1">MAX(0,CP*(D2341-K))</f>
        <v>0</v>
      </c>
      <c r="F2341" s="4">
        <f ca="1">(CP*(D2341-K)&gt;0)*1</f>
        <v>0</v>
      </c>
      <c r="H2341" s="4">
        <v>2326</v>
      </c>
      <c r="I2341" s="3">
        <v>0.66765430905609646</v>
      </c>
      <c r="J2341" s="128">
        <v>1.3386816020165865E-3</v>
      </c>
      <c r="K2341" s="128"/>
      <c r="L2341" s="128">
        <v>4.0399999999999998E-2</v>
      </c>
      <c r="O2341" s="2"/>
    </row>
    <row r="2342" spans="2:15" x14ac:dyDescent="0.2">
      <c r="B2342" s="1">
        <v>2327</v>
      </c>
      <c r="C2342" s="5">
        <f ca="1">_xlfn.NORM.S.INV(RAND())</f>
        <v>-0.25617408561495947</v>
      </c>
      <c r="D2342" s="5">
        <f ca="1">S0*EXP((μ-0.5*σ*σ)*T+σ*SQRT(T)*$C2342)</f>
        <v>0.6479333862980643</v>
      </c>
      <c r="E2342" s="5">
        <f ca="1">MAX(0,CP*(D2342-K))</f>
        <v>0</v>
      </c>
      <c r="F2342" s="4">
        <f ca="1">(CP*(D2342-K)&gt;0)*1</f>
        <v>0</v>
      </c>
      <c r="H2342" s="4">
        <v>2327</v>
      </c>
      <c r="I2342" s="3">
        <v>0.66780485901327225</v>
      </c>
      <c r="J2342" s="128">
        <v>1.3857815826376439E-3</v>
      </c>
      <c r="K2342" s="128"/>
      <c r="L2342" s="128">
        <v>4.1000000000000002E-2</v>
      </c>
      <c r="O2342" s="2"/>
    </row>
    <row r="2343" spans="2:15" x14ac:dyDescent="0.2">
      <c r="B2343" s="1">
        <v>2328</v>
      </c>
      <c r="C2343" s="5">
        <f ca="1">_xlfn.NORM.S.INV(RAND())</f>
        <v>1.8863867367273899</v>
      </c>
      <c r="D2343" s="5">
        <f ca="1">S0*EXP((μ-0.5*σ*σ)*T+σ*SQRT(T)*$C2343)</f>
        <v>0.80032471766114455</v>
      </c>
      <c r="E2343" s="5">
        <f ca="1">MAX(0,CP*(D2343-K))</f>
        <v>1.2124717661144535E-2</v>
      </c>
      <c r="F2343" s="4">
        <f ca="1">(CP*(D2343-K)&gt;0)*1</f>
        <v>1</v>
      </c>
      <c r="H2343" s="4">
        <v>2328</v>
      </c>
      <c r="I2343" s="3">
        <v>0.66767059840954024</v>
      </c>
      <c r="J2343" s="128">
        <v>1.3670023269847236E-3</v>
      </c>
      <c r="K2343" s="128"/>
      <c r="L2343" s="128">
        <v>3.9800000000000002E-2</v>
      </c>
      <c r="O2343" s="2"/>
    </row>
    <row r="2344" spans="2:15" x14ac:dyDescent="0.2">
      <c r="B2344" s="1">
        <v>2329</v>
      </c>
      <c r="C2344" s="5">
        <f ca="1">_xlfn.NORM.S.INV(RAND())</f>
        <v>0.75968840775032043</v>
      </c>
      <c r="D2344" s="5">
        <f ca="1">S0*EXP((μ-0.5*σ*σ)*T+σ*SQRT(T)*$C2344)</f>
        <v>0.71618549524095965</v>
      </c>
      <c r="E2344" s="5">
        <f ca="1">MAX(0,CP*(D2344-K))</f>
        <v>0</v>
      </c>
      <c r="F2344" s="4">
        <f ca="1">(CP*(D2344-K)&gt;0)*1</f>
        <v>0</v>
      </c>
      <c r="H2344" s="4">
        <v>2329</v>
      </c>
      <c r="I2344" s="3">
        <v>0.6677369157530042</v>
      </c>
      <c r="J2344" s="128">
        <v>1.2653938159338559E-3</v>
      </c>
      <c r="K2344" s="128"/>
      <c r="L2344" s="128">
        <v>4.02E-2</v>
      </c>
      <c r="O2344" s="2"/>
    </row>
    <row r="2345" spans="2:15" x14ac:dyDescent="0.2">
      <c r="B2345" s="1">
        <v>2330</v>
      </c>
      <c r="C2345" s="5">
        <f ca="1">_xlfn.NORM.S.INV(RAND())</f>
        <v>-1.5396088489842477</v>
      </c>
      <c r="D2345" s="5">
        <f ca="1">S0*EXP((μ-0.5*σ*σ)*T+σ*SQRT(T)*$C2345)</f>
        <v>0.57092468811918107</v>
      </c>
      <c r="E2345" s="5">
        <f ca="1">MAX(0,CP*(D2345-K))</f>
        <v>0</v>
      </c>
      <c r="F2345" s="4">
        <f ca="1">(CP*(D2345-K)&gt;0)*1</f>
        <v>0</v>
      </c>
      <c r="H2345" s="4">
        <v>2330</v>
      </c>
      <c r="I2345" s="3">
        <v>0.66775809597781399</v>
      </c>
      <c r="J2345" s="128">
        <v>1.3005041609990338E-3</v>
      </c>
      <c r="K2345" s="128"/>
      <c r="L2345" s="128">
        <v>4.0399999999999998E-2</v>
      </c>
      <c r="O2345" s="2"/>
    </row>
    <row r="2346" spans="2:15" x14ac:dyDescent="0.2">
      <c r="B2346" s="1">
        <v>2331</v>
      </c>
      <c r="C2346" s="5">
        <f ca="1">_xlfn.NORM.S.INV(RAND())</f>
        <v>-3.464443210640953E-2</v>
      </c>
      <c r="D2346" s="5">
        <f ca="1">S0*EXP((μ-0.5*σ*σ)*T+σ*SQRT(T)*$C2346)</f>
        <v>0.66223994182710344</v>
      </c>
      <c r="E2346" s="5">
        <f ca="1">MAX(0,CP*(D2346-K))</f>
        <v>0</v>
      </c>
      <c r="F2346" s="4">
        <f ca="1">(CP*(D2346-K)&gt;0)*1</f>
        <v>0</v>
      </c>
      <c r="H2346" s="4">
        <v>2331</v>
      </c>
      <c r="I2346" s="3">
        <v>0.66766691527579924</v>
      </c>
      <c r="J2346" s="128">
        <v>1.3222879222588679E-3</v>
      </c>
      <c r="K2346" s="128"/>
      <c r="L2346" s="128">
        <v>4.2000000000000003E-2</v>
      </c>
      <c r="O2346" s="2"/>
    </row>
    <row r="2347" spans="2:15" x14ac:dyDescent="0.2">
      <c r="B2347" s="1">
        <v>2332</v>
      </c>
      <c r="C2347" s="5">
        <f ca="1">_xlfn.NORM.S.INV(RAND())</f>
        <v>-1.182047703098305</v>
      </c>
      <c r="D2347" s="5">
        <f ca="1">S0*EXP((μ-0.5*σ*σ)*T+σ*SQRT(T)*$C2347)</f>
        <v>0.59140931313156431</v>
      </c>
      <c r="E2347" s="5">
        <f ca="1">MAX(0,CP*(D2347-K))</f>
        <v>0</v>
      </c>
      <c r="F2347" s="4">
        <f ca="1">(CP*(D2347-K)&gt;0)*1</f>
        <v>0</v>
      </c>
      <c r="H2347" s="4">
        <v>2332</v>
      </c>
      <c r="I2347" s="3">
        <v>0.66782613261266877</v>
      </c>
      <c r="J2347" s="128">
        <v>1.4694145634875371E-3</v>
      </c>
      <c r="K2347" s="128"/>
      <c r="L2347" s="128">
        <v>4.2799999999999998E-2</v>
      </c>
      <c r="O2347" s="2"/>
    </row>
    <row r="2348" spans="2:15" x14ac:dyDescent="0.2">
      <c r="B2348" s="1">
        <v>2333</v>
      </c>
      <c r="C2348" s="5">
        <f ca="1">_xlfn.NORM.S.INV(RAND())</f>
        <v>1.244866797445068</v>
      </c>
      <c r="D2348" s="5">
        <f ca="1">S0*EXP((μ-0.5*σ*σ)*T+σ*SQRT(T)*$C2348)</f>
        <v>0.75127496365407131</v>
      </c>
      <c r="E2348" s="5">
        <f ca="1">MAX(0,CP*(D2348-K))</f>
        <v>0</v>
      </c>
      <c r="F2348" s="4">
        <f ca="1">(CP*(D2348-K)&gt;0)*1</f>
        <v>0</v>
      </c>
      <c r="H2348" s="4">
        <v>2333</v>
      </c>
      <c r="I2348" s="3">
        <v>0.66783775253502542</v>
      </c>
      <c r="J2348" s="128">
        <v>1.4939578955451558E-3</v>
      </c>
      <c r="K2348" s="128"/>
      <c r="L2348" s="128">
        <v>4.5600000000000002E-2</v>
      </c>
      <c r="O2348" s="2"/>
    </row>
    <row r="2349" spans="2:15" x14ac:dyDescent="0.2">
      <c r="B2349" s="1">
        <v>2334</v>
      </c>
      <c r="C2349" s="5">
        <f ca="1">_xlfn.NORM.S.INV(RAND())</f>
        <v>-1.2305360288607257</v>
      </c>
      <c r="D2349" s="5">
        <f ca="1">S0*EXP((μ-0.5*σ*σ)*T+σ*SQRT(T)*$C2349)</f>
        <v>0.5885889213264931</v>
      </c>
      <c r="E2349" s="5">
        <f ca="1">MAX(0,CP*(D2349-K))</f>
        <v>0</v>
      </c>
      <c r="F2349" s="4">
        <f ca="1">(CP*(D2349-K)&gt;0)*1</f>
        <v>0</v>
      </c>
      <c r="H2349" s="4">
        <v>2334</v>
      </c>
      <c r="I2349" s="3">
        <v>0.66776595964826135</v>
      </c>
      <c r="J2349" s="128">
        <v>1.4639137122323699E-3</v>
      </c>
      <c r="K2349" s="128"/>
      <c r="L2349" s="128">
        <v>4.36E-2</v>
      </c>
      <c r="O2349" s="2"/>
    </row>
    <row r="2350" spans="2:15" x14ac:dyDescent="0.2">
      <c r="B2350" s="1">
        <v>2335</v>
      </c>
      <c r="C2350" s="5">
        <f ca="1">_xlfn.NORM.S.INV(RAND())</f>
        <v>-1.3480435621027334</v>
      </c>
      <c r="D2350" s="5">
        <f ca="1">S0*EXP((μ-0.5*σ*σ)*T+σ*SQRT(T)*$C2350)</f>
        <v>0.5818095980964858</v>
      </c>
      <c r="E2350" s="5">
        <f ca="1">MAX(0,CP*(D2350-K))</f>
        <v>0</v>
      </c>
      <c r="F2350" s="4">
        <f ca="1">(CP*(D2350-K)&gt;0)*1</f>
        <v>0</v>
      </c>
      <c r="H2350" s="4">
        <v>2335</v>
      </c>
      <c r="I2350" s="3">
        <v>0.66786455365504271</v>
      </c>
      <c r="J2350" s="128">
        <v>1.5836088647479829E-3</v>
      </c>
      <c r="K2350" s="128"/>
      <c r="L2350" s="128">
        <v>4.5600000000000002E-2</v>
      </c>
      <c r="O2350" s="2"/>
    </row>
    <row r="2351" spans="2:15" x14ac:dyDescent="0.2">
      <c r="B2351" s="1">
        <v>2336</v>
      </c>
      <c r="C2351" s="5">
        <f ca="1">_xlfn.NORM.S.INV(RAND())</f>
        <v>-0.63380625385273637</v>
      </c>
      <c r="D2351" s="5">
        <f ca="1">S0*EXP((μ-0.5*σ*σ)*T+σ*SQRT(T)*$C2351)</f>
        <v>0.62425447153460956</v>
      </c>
      <c r="E2351" s="5">
        <f ca="1">MAX(0,CP*(D2351-K))</f>
        <v>0</v>
      </c>
      <c r="F2351" s="4">
        <f ca="1">(CP*(D2351-K)&gt;0)*1</f>
        <v>0</v>
      </c>
      <c r="H2351" s="4">
        <v>2336</v>
      </c>
      <c r="I2351" s="3">
        <v>0.6677852460610062</v>
      </c>
      <c r="J2351" s="128">
        <v>1.3725911624168413E-3</v>
      </c>
      <c r="K2351" s="128"/>
      <c r="L2351" s="128">
        <v>4.1200000000000001E-2</v>
      </c>
      <c r="O2351" s="2"/>
    </row>
    <row r="2352" spans="2:15" x14ac:dyDescent="0.2">
      <c r="B2352" s="1">
        <v>2337</v>
      </c>
      <c r="C2352" s="5">
        <f ca="1">_xlfn.NORM.S.INV(RAND())</f>
        <v>0.50265415775068778</v>
      </c>
      <c r="D2352" s="5">
        <f ca="1">S0*EXP((μ-0.5*σ*σ)*T+σ*SQRT(T)*$C2352)</f>
        <v>0.6982651129489722</v>
      </c>
      <c r="E2352" s="5">
        <f ca="1">MAX(0,CP*(D2352-K))</f>
        <v>0</v>
      </c>
      <c r="F2352" s="4">
        <f ca="1">(CP*(D2352-K)&gt;0)*1</f>
        <v>0</v>
      </c>
      <c r="H2352" s="4">
        <v>2337</v>
      </c>
      <c r="I2352" s="3">
        <v>0.66769854591640743</v>
      </c>
      <c r="J2352" s="128">
        <v>1.3615146471491308E-3</v>
      </c>
      <c r="K2352" s="128"/>
      <c r="L2352" s="128">
        <v>4.1200000000000001E-2</v>
      </c>
      <c r="O2352" s="2"/>
    </row>
    <row r="2353" spans="2:15" x14ac:dyDescent="0.2">
      <c r="B2353" s="1">
        <v>2338</v>
      </c>
      <c r="C2353" s="5">
        <f ca="1">_xlfn.NORM.S.INV(RAND())</f>
        <v>0.88152057204420231</v>
      </c>
      <c r="D2353" s="5">
        <f ca="1">S0*EXP((μ-0.5*σ*σ)*T+σ*SQRT(T)*$C2353)</f>
        <v>0.7248395570794558</v>
      </c>
      <c r="E2353" s="5">
        <f ca="1">MAX(0,CP*(D2353-K))</f>
        <v>0</v>
      </c>
      <c r="F2353" s="4">
        <f ca="1">(CP*(D2353-K)&gt;0)*1</f>
        <v>0</v>
      </c>
      <c r="H2353" s="4">
        <v>2338</v>
      </c>
      <c r="I2353" s="3">
        <v>0.66766522929658645</v>
      </c>
      <c r="J2353" s="128">
        <v>1.2932862733166168E-3</v>
      </c>
      <c r="K2353" s="128"/>
      <c r="L2353" s="128">
        <v>3.8399999999999997E-2</v>
      </c>
      <c r="O2353" s="2"/>
    </row>
    <row r="2354" spans="2:15" x14ac:dyDescent="0.2">
      <c r="B2354" s="1">
        <v>2339</v>
      </c>
      <c r="C2354" s="5">
        <f ca="1">_xlfn.NORM.S.INV(RAND())</f>
        <v>-0.59875567643644001</v>
      </c>
      <c r="D2354" s="5">
        <f ca="1">S0*EXP((μ-0.5*σ*σ)*T+σ*SQRT(T)*$C2354)</f>
        <v>0.6264153440120086</v>
      </c>
      <c r="E2354" s="5">
        <f ca="1">MAX(0,CP*(D2354-K))</f>
        <v>0</v>
      </c>
      <c r="F2354" s="4">
        <f ca="1">(CP*(D2354-K)&gt;0)*1</f>
        <v>0</v>
      </c>
      <c r="H2354" s="4">
        <v>2339</v>
      </c>
      <c r="I2354" s="3">
        <v>0.66786680424235678</v>
      </c>
      <c r="J2354" s="128">
        <v>1.6093105502026691E-3</v>
      </c>
      <c r="K2354" s="128"/>
      <c r="L2354" s="128">
        <v>4.4999999999999998E-2</v>
      </c>
      <c r="O2354" s="2"/>
    </row>
    <row r="2355" spans="2:15" x14ac:dyDescent="0.2">
      <c r="B2355" s="1">
        <v>2340</v>
      </c>
      <c r="C2355" s="5">
        <f ca="1">_xlfn.NORM.S.INV(RAND())</f>
        <v>-0.22670913979748186</v>
      </c>
      <c r="D2355" s="5">
        <f ca="1">S0*EXP((μ-0.5*σ*σ)*T+σ*SQRT(T)*$C2355)</f>
        <v>0.64981828781566964</v>
      </c>
      <c r="E2355" s="5">
        <f ca="1">MAX(0,CP*(D2355-K))</f>
        <v>0</v>
      </c>
      <c r="F2355" s="4">
        <f ca="1">(CP*(D2355-K)&gt;0)*1</f>
        <v>0</v>
      </c>
      <c r="H2355" s="4">
        <v>2340</v>
      </c>
      <c r="I2355" s="3">
        <v>0.66780617901878025</v>
      </c>
      <c r="J2355" s="128">
        <v>1.4068954105932422E-3</v>
      </c>
      <c r="K2355" s="128"/>
      <c r="L2355" s="128">
        <v>4.2599999999999999E-2</v>
      </c>
      <c r="O2355" s="2"/>
    </row>
    <row r="2356" spans="2:15" x14ac:dyDescent="0.2">
      <c r="B2356" s="1">
        <v>2341</v>
      </c>
      <c r="C2356" s="5">
        <f ca="1">_xlfn.NORM.S.INV(RAND())</f>
        <v>8.466374543841558E-2</v>
      </c>
      <c r="D2356" s="5">
        <f ca="1">S0*EXP((μ-0.5*σ*σ)*T+σ*SQRT(T)*$C2356)</f>
        <v>0.67007539204954658</v>
      </c>
      <c r="E2356" s="5">
        <f ca="1">MAX(0,CP*(D2356-K))</f>
        <v>0</v>
      </c>
      <c r="F2356" s="4">
        <f ca="1">(CP*(D2356-K)&gt;0)*1</f>
        <v>0</v>
      </c>
      <c r="H2356" s="4">
        <v>2341</v>
      </c>
      <c r="I2356" s="3">
        <v>0.66772212146647292</v>
      </c>
      <c r="J2356" s="128">
        <v>1.363014605060167E-3</v>
      </c>
      <c r="K2356" s="128"/>
      <c r="L2356" s="128">
        <v>4.1000000000000002E-2</v>
      </c>
      <c r="O2356" s="2"/>
    </row>
    <row r="2357" spans="2:15" x14ac:dyDescent="0.2">
      <c r="B2357" s="1">
        <v>2342</v>
      </c>
      <c r="C2357" s="5">
        <f ca="1">_xlfn.NORM.S.INV(RAND())</f>
        <v>-0.52648954710672868</v>
      </c>
      <c r="D2357" s="5">
        <f ca="1">S0*EXP((μ-0.5*σ*σ)*T+σ*SQRT(T)*$C2357)</f>
        <v>0.63089419788400103</v>
      </c>
      <c r="E2357" s="5">
        <f ca="1">MAX(0,CP*(D2357-K))</f>
        <v>0</v>
      </c>
      <c r="F2357" s="4">
        <f ca="1">(CP*(D2357-K)&gt;0)*1</f>
        <v>0</v>
      </c>
      <c r="H2357" s="4">
        <v>2342</v>
      </c>
      <c r="I2357" s="3">
        <v>0.66777235950712976</v>
      </c>
      <c r="J2357" s="128">
        <v>1.3700591683571519E-3</v>
      </c>
      <c r="K2357" s="128"/>
      <c r="L2357" s="128">
        <v>3.8800000000000001E-2</v>
      </c>
      <c r="O2357" s="2"/>
    </row>
    <row r="2358" spans="2:15" x14ac:dyDescent="0.2">
      <c r="B2358" s="1">
        <v>2343</v>
      </c>
      <c r="C2358" s="5">
        <f ca="1">_xlfn.NORM.S.INV(RAND())</f>
        <v>0.6368000475994624</v>
      </c>
      <c r="D2358" s="5">
        <f ca="1">S0*EXP((μ-0.5*σ*σ)*T+σ*SQRT(T)*$C2358)</f>
        <v>0.70756107613558028</v>
      </c>
      <c r="E2358" s="5">
        <f ca="1">MAX(0,CP*(D2358-K))</f>
        <v>0</v>
      </c>
      <c r="F2358" s="4">
        <f ca="1">(CP*(D2358-K)&gt;0)*1</f>
        <v>0</v>
      </c>
      <c r="H2358" s="4">
        <v>2343</v>
      </c>
      <c r="I2358" s="3">
        <v>0.66764531316076314</v>
      </c>
      <c r="J2358" s="128">
        <v>1.2194742116660314E-3</v>
      </c>
      <c r="K2358" s="128"/>
      <c r="L2358" s="128">
        <v>3.7199999999999997E-2</v>
      </c>
      <c r="O2358" s="2"/>
    </row>
    <row r="2359" spans="2:15" x14ac:dyDescent="0.2">
      <c r="B2359" s="1">
        <v>2344</v>
      </c>
      <c r="C2359" s="5">
        <f ca="1">_xlfn.NORM.S.INV(RAND())</f>
        <v>-0.25393014201474384</v>
      </c>
      <c r="D2359" s="5">
        <f ca="1">S0*EXP((μ-0.5*σ*σ)*T+σ*SQRT(T)*$C2359)</f>
        <v>0.64807674103740875</v>
      </c>
      <c r="E2359" s="5">
        <f ca="1">MAX(0,CP*(D2359-K))</f>
        <v>0</v>
      </c>
      <c r="F2359" s="4">
        <f ca="1">(CP*(D2359-K)&gt;0)*1</f>
        <v>0</v>
      </c>
      <c r="H2359" s="4">
        <v>2344</v>
      </c>
      <c r="I2359" s="3">
        <v>0.66780742664500026</v>
      </c>
      <c r="J2359" s="128">
        <v>1.440307220160403E-3</v>
      </c>
      <c r="K2359" s="128"/>
      <c r="L2359" s="128">
        <v>4.4200000000000003E-2</v>
      </c>
      <c r="O2359" s="2"/>
    </row>
    <row r="2360" spans="2:15" x14ac:dyDescent="0.2">
      <c r="B2360" s="1">
        <v>2345</v>
      </c>
      <c r="C2360" s="5">
        <f ca="1">_xlfn.NORM.S.INV(RAND())</f>
        <v>0.38475010620661254</v>
      </c>
      <c r="D2360" s="5">
        <f ca="1">S0*EXP((μ-0.5*σ*σ)*T+σ*SQRT(T)*$C2360)</f>
        <v>0.69019556606603649</v>
      </c>
      <c r="E2360" s="5">
        <f ca="1">MAX(0,CP*(D2360-K))</f>
        <v>0</v>
      </c>
      <c r="F2360" s="4">
        <f ca="1">(CP*(D2360-K)&gt;0)*1</f>
        <v>0</v>
      </c>
      <c r="H2360" s="4">
        <v>2345</v>
      </c>
      <c r="I2360" s="3">
        <v>0.66781464735440987</v>
      </c>
      <c r="J2360" s="128">
        <v>1.3928247057198384E-3</v>
      </c>
      <c r="K2360" s="128"/>
      <c r="L2360" s="128">
        <v>4.2999999999999997E-2</v>
      </c>
      <c r="O2360" s="2"/>
    </row>
    <row r="2361" spans="2:15" x14ac:dyDescent="0.2">
      <c r="B2361" s="1">
        <v>2346</v>
      </c>
      <c r="C2361" s="5">
        <f ca="1">_xlfn.NORM.S.INV(RAND())</f>
        <v>-1.0143003028184754</v>
      </c>
      <c r="D2361" s="5">
        <f ca="1">S0*EXP((μ-0.5*σ*σ)*T+σ*SQRT(T)*$C2361)</f>
        <v>0.60127123966698937</v>
      </c>
      <c r="E2361" s="5">
        <f ca="1">MAX(0,CP*(D2361-K))</f>
        <v>0</v>
      </c>
      <c r="F2361" s="4">
        <f ca="1">(CP*(D2361-K)&gt;0)*1</f>
        <v>0</v>
      </c>
      <c r="H2361" s="4">
        <v>2346</v>
      </c>
      <c r="I2361" s="3">
        <v>0.66769468580712898</v>
      </c>
      <c r="J2361" s="128">
        <v>1.2493297799281862E-3</v>
      </c>
      <c r="K2361" s="128"/>
      <c r="L2361" s="128">
        <v>3.9E-2</v>
      </c>
      <c r="O2361" s="2"/>
    </row>
    <row r="2362" spans="2:15" x14ac:dyDescent="0.2">
      <c r="B2362" s="1">
        <v>2347</v>
      </c>
      <c r="C2362" s="5">
        <f ca="1">_xlfn.NORM.S.INV(RAND())</f>
        <v>-1.6500850112902932</v>
      </c>
      <c r="D2362" s="5">
        <f ca="1">S0*EXP((μ-0.5*σ*σ)*T+σ*SQRT(T)*$C2362)</f>
        <v>0.56474016529639703</v>
      </c>
      <c r="E2362" s="5">
        <f ca="1">MAX(0,CP*(D2362-K))</f>
        <v>0</v>
      </c>
      <c r="F2362" s="4">
        <f ca="1">(CP*(D2362-K)&gt;0)*1</f>
        <v>0</v>
      </c>
      <c r="H2362" s="4">
        <v>2347</v>
      </c>
      <c r="I2362" s="3">
        <v>0.66766433284071658</v>
      </c>
      <c r="J2362" s="128">
        <v>1.3224342421641741E-3</v>
      </c>
      <c r="K2362" s="128"/>
      <c r="L2362" s="128">
        <v>0.04</v>
      </c>
      <c r="O2362" s="2"/>
    </row>
    <row r="2363" spans="2:15" x14ac:dyDescent="0.2">
      <c r="B2363" s="1">
        <v>2348</v>
      </c>
      <c r="C2363" s="5">
        <f ca="1">_xlfn.NORM.S.INV(RAND())</f>
        <v>0.94558671713379761</v>
      </c>
      <c r="D2363" s="5">
        <f ca="1">S0*EXP((μ-0.5*σ*σ)*T+σ*SQRT(T)*$C2363)</f>
        <v>0.72943221871073405</v>
      </c>
      <c r="E2363" s="5">
        <f ca="1">MAX(0,CP*(D2363-K))</f>
        <v>0</v>
      </c>
      <c r="F2363" s="4">
        <f ca="1">(CP*(D2363-K)&gt;0)*1</f>
        <v>0</v>
      </c>
      <c r="H2363" s="4">
        <v>2348</v>
      </c>
      <c r="I2363" s="3">
        <v>0.66774358957590252</v>
      </c>
      <c r="J2363" s="128">
        <v>1.4266409159543964E-3</v>
      </c>
      <c r="K2363" s="128"/>
      <c r="L2363" s="128">
        <v>4.2599999999999999E-2</v>
      </c>
      <c r="O2363" s="2"/>
    </row>
    <row r="2364" spans="2:15" x14ac:dyDescent="0.2">
      <c r="B2364" s="1">
        <v>2349</v>
      </c>
      <c r="C2364" s="5">
        <f ca="1">_xlfn.NORM.S.INV(RAND())</f>
        <v>1.2929904247791011</v>
      </c>
      <c r="D2364" s="5">
        <f ca="1">S0*EXP((μ-0.5*σ*σ)*T+σ*SQRT(T)*$C2364)</f>
        <v>0.75484777125349434</v>
      </c>
      <c r="E2364" s="5">
        <f ca="1">MAX(0,CP*(D2364-K))</f>
        <v>0</v>
      </c>
      <c r="F2364" s="4">
        <f ca="1">(CP*(D2364-K)&gt;0)*1</f>
        <v>0</v>
      </c>
      <c r="H2364" s="4">
        <v>2349</v>
      </c>
      <c r="I2364" s="3">
        <v>0.66769736925574463</v>
      </c>
      <c r="J2364" s="128">
        <v>1.361508728858703E-3</v>
      </c>
      <c r="K2364" s="128"/>
      <c r="L2364" s="128">
        <v>0.04</v>
      </c>
      <c r="O2364" s="2"/>
    </row>
    <row r="2365" spans="2:15" x14ac:dyDescent="0.2">
      <c r="B2365" s="1">
        <v>2350</v>
      </c>
      <c r="C2365" s="5">
        <f ca="1">_xlfn.NORM.S.INV(RAND())</f>
        <v>-2.3299768080733365</v>
      </c>
      <c r="D2365" s="5">
        <f ca="1">S0*EXP((μ-0.5*σ*σ)*T+σ*SQRT(T)*$C2365)</f>
        <v>0.5281270760004797</v>
      </c>
      <c r="E2365" s="5">
        <f ca="1">MAX(0,CP*(D2365-K))</f>
        <v>0</v>
      </c>
      <c r="F2365" s="4">
        <f ca="1">(CP*(D2365-K)&gt;0)*1</f>
        <v>0</v>
      </c>
      <c r="H2365" s="4">
        <v>2350</v>
      </c>
      <c r="I2365" s="3">
        <v>0.66769954136354892</v>
      </c>
      <c r="J2365" s="128">
        <v>1.2642687020278398E-3</v>
      </c>
      <c r="K2365" s="128"/>
      <c r="L2365" s="128">
        <v>3.7199999999999997E-2</v>
      </c>
      <c r="O2365" s="2"/>
    </row>
    <row r="2366" spans="2:15" x14ac:dyDescent="0.2">
      <c r="B2366" s="1">
        <v>2351</v>
      </c>
      <c r="C2366" s="5">
        <f ca="1">_xlfn.NORM.S.INV(RAND())</f>
        <v>-1.4520893053704453</v>
      </c>
      <c r="D2366" s="5">
        <f ca="1">S0*EXP((μ-0.5*σ*σ)*T+σ*SQRT(T)*$C2366)</f>
        <v>0.57587212831809309</v>
      </c>
      <c r="E2366" s="5">
        <f ca="1">MAX(0,CP*(D2366-K))</f>
        <v>0</v>
      </c>
      <c r="F2366" s="4">
        <f ca="1">(CP*(D2366-K)&gt;0)*1</f>
        <v>0</v>
      </c>
      <c r="H2366" s="4">
        <v>2351</v>
      </c>
      <c r="I2366" s="3">
        <v>0.66788832021889888</v>
      </c>
      <c r="J2366" s="128">
        <v>1.5700319404476841E-3</v>
      </c>
      <c r="K2366" s="128"/>
      <c r="L2366" s="128">
        <v>4.48E-2</v>
      </c>
      <c r="O2366" s="2"/>
    </row>
    <row r="2367" spans="2:15" x14ac:dyDescent="0.2">
      <c r="B2367" s="1">
        <v>2352</v>
      </c>
      <c r="C2367" s="5">
        <f ca="1">_xlfn.NORM.S.INV(RAND())</f>
        <v>0.78392898667956556</v>
      </c>
      <c r="D2367" s="5">
        <f ca="1">S0*EXP((μ-0.5*σ*σ)*T+σ*SQRT(T)*$C2367)</f>
        <v>0.71789909453648149</v>
      </c>
      <c r="E2367" s="5">
        <f ca="1">MAX(0,CP*(D2367-K))</f>
        <v>0</v>
      </c>
      <c r="F2367" s="4">
        <f ca="1">(CP*(D2367-K)&gt;0)*1</f>
        <v>0</v>
      </c>
      <c r="H2367" s="4">
        <v>2352</v>
      </c>
      <c r="I2367" s="3">
        <v>0.66773553927409612</v>
      </c>
      <c r="J2367" s="128">
        <v>1.2265115186863667E-3</v>
      </c>
      <c r="K2367" s="128"/>
      <c r="L2367" s="128">
        <v>4.24E-2</v>
      </c>
      <c r="O2367" s="2"/>
    </row>
    <row r="2368" spans="2:15" x14ac:dyDescent="0.2">
      <c r="B2368" s="1">
        <v>2353</v>
      </c>
      <c r="C2368" s="5">
        <f ca="1">_xlfn.NORM.S.INV(RAND())</f>
        <v>0.28487274354698716</v>
      </c>
      <c r="D2368" s="5">
        <f ca="1">S0*EXP((μ-0.5*σ*σ)*T+σ*SQRT(T)*$C2368)</f>
        <v>0.68343279740151397</v>
      </c>
      <c r="E2368" s="5">
        <f ca="1">MAX(0,CP*(D2368-K))</f>
        <v>0</v>
      </c>
      <c r="F2368" s="4">
        <f ca="1">(CP*(D2368-K)&gt;0)*1</f>
        <v>0</v>
      </c>
      <c r="H2368" s="4">
        <v>2353</v>
      </c>
      <c r="I2368" s="3">
        <v>0.66758253348842256</v>
      </c>
      <c r="J2368" s="128">
        <v>1.1922106762653393E-3</v>
      </c>
      <c r="K2368" s="128"/>
      <c r="L2368" s="128">
        <v>3.9E-2</v>
      </c>
      <c r="O2368" s="2"/>
    </row>
    <row r="2369" spans="2:15" x14ac:dyDescent="0.2">
      <c r="B2369" s="1">
        <v>2354</v>
      </c>
      <c r="C2369" s="5">
        <f ca="1">_xlfn.NORM.S.INV(RAND())</f>
        <v>0.55305325427511631</v>
      </c>
      <c r="D2369" s="5">
        <f ca="1">S0*EXP((μ-0.5*σ*σ)*T+σ*SQRT(T)*$C2369)</f>
        <v>0.701743230102992</v>
      </c>
      <c r="E2369" s="5">
        <f ca="1">MAX(0,CP*(D2369-K))</f>
        <v>0</v>
      </c>
      <c r="F2369" s="4">
        <f ca="1">(CP*(D2369-K)&gt;0)*1</f>
        <v>0</v>
      </c>
      <c r="H2369" s="4">
        <v>2354</v>
      </c>
      <c r="I2369" s="3">
        <v>0.66772867912605449</v>
      </c>
      <c r="J2369" s="128">
        <v>1.393608800886334E-3</v>
      </c>
      <c r="K2369" s="128"/>
      <c r="L2369" s="128">
        <v>4.3200000000000002E-2</v>
      </c>
      <c r="O2369" s="2"/>
    </row>
    <row r="2370" spans="2:15" x14ac:dyDescent="0.2">
      <c r="B2370" s="1">
        <v>2355</v>
      </c>
      <c r="C2370" s="5">
        <f ca="1">_xlfn.NORM.S.INV(RAND())</f>
        <v>-0.12548374247182884</v>
      </c>
      <c r="D2370" s="5">
        <f ca="1">S0*EXP((μ-0.5*σ*σ)*T+σ*SQRT(T)*$C2370)</f>
        <v>0.65633565178548237</v>
      </c>
      <c r="E2370" s="5">
        <f ca="1">MAX(0,CP*(D2370-K))</f>
        <v>0</v>
      </c>
      <c r="F2370" s="4">
        <f ca="1">(CP*(D2370-K)&gt;0)*1</f>
        <v>0</v>
      </c>
      <c r="H2370" s="4">
        <v>2355</v>
      </c>
      <c r="I2370" s="3">
        <v>0.6677920104638273</v>
      </c>
      <c r="J2370" s="128">
        <v>1.4360350830625046E-3</v>
      </c>
      <c r="K2370" s="128"/>
      <c r="L2370" s="128">
        <v>4.3999999999999997E-2</v>
      </c>
      <c r="O2370" s="2"/>
    </row>
    <row r="2371" spans="2:15" x14ac:dyDescent="0.2">
      <c r="B2371" s="1">
        <v>2356</v>
      </c>
      <c r="C2371" s="5">
        <f ca="1">_xlfn.NORM.S.INV(RAND())</f>
        <v>0.19609300399345994</v>
      </c>
      <c r="D2371" s="5">
        <f ca="1">S0*EXP((μ-0.5*σ*σ)*T+σ*SQRT(T)*$C2371)</f>
        <v>0.67747710590303722</v>
      </c>
      <c r="E2371" s="5">
        <f ca="1">MAX(0,CP*(D2371-K))</f>
        <v>0</v>
      </c>
      <c r="F2371" s="4">
        <f ca="1">(CP*(D2371-K)&gt;0)*1</f>
        <v>0</v>
      </c>
      <c r="H2371" s="4">
        <v>2356</v>
      </c>
      <c r="I2371" s="3">
        <v>0.66778468243840072</v>
      </c>
      <c r="J2371" s="128">
        <v>1.4039833411906245E-3</v>
      </c>
      <c r="K2371" s="128"/>
      <c r="L2371" s="128">
        <v>4.3400000000000001E-2</v>
      </c>
      <c r="O2371" s="2"/>
    </row>
    <row r="2372" spans="2:15" x14ac:dyDescent="0.2">
      <c r="B2372" s="1">
        <v>2357</v>
      </c>
      <c r="C2372" s="5">
        <f ca="1">_xlfn.NORM.S.INV(RAND())</f>
        <v>-0.22140922909094754</v>
      </c>
      <c r="D2372" s="5">
        <f ca="1">S0*EXP((μ-0.5*σ*σ)*T+σ*SQRT(T)*$C2372)</f>
        <v>0.65015790970066056</v>
      </c>
      <c r="E2372" s="5">
        <f ca="1">MAX(0,CP*(D2372-K))</f>
        <v>0</v>
      </c>
      <c r="F2372" s="4">
        <f ca="1">(CP*(D2372-K)&gt;0)*1</f>
        <v>0</v>
      </c>
      <c r="H2372" s="4">
        <v>2357</v>
      </c>
      <c r="I2372" s="3">
        <v>0.66772541903064908</v>
      </c>
      <c r="J2372" s="128">
        <v>1.416386079389406E-3</v>
      </c>
      <c r="K2372" s="128"/>
      <c r="L2372" s="128">
        <v>4.1599999999999998E-2</v>
      </c>
      <c r="O2372" s="2"/>
    </row>
    <row r="2373" spans="2:15" x14ac:dyDescent="0.2">
      <c r="B2373" s="1">
        <v>2358</v>
      </c>
      <c r="C2373" s="5">
        <f ca="1">_xlfn.NORM.S.INV(RAND())</f>
        <v>1.1362593659932123</v>
      </c>
      <c r="D2373" s="5">
        <f ca="1">S0*EXP((μ-0.5*σ*σ)*T+σ*SQRT(T)*$C2373)</f>
        <v>0.74327372569657157</v>
      </c>
      <c r="E2373" s="5">
        <f ca="1">MAX(0,CP*(D2373-K))</f>
        <v>0</v>
      </c>
      <c r="F2373" s="4">
        <f ca="1">(CP*(D2373-K)&gt;0)*1</f>
        <v>0</v>
      </c>
      <c r="H2373" s="4">
        <v>2358</v>
      </c>
      <c r="I2373" s="3">
        <v>0.66777518368187816</v>
      </c>
      <c r="J2373" s="128">
        <v>1.4751115548864609E-3</v>
      </c>
      <c r="K2373" s="128"/>
      <c r="L2373" s="128">
        <v>4.0399999999999998E-2</v>
      </c>
      <c r="O2373" s="2"/>
    </row>
    <row r="2374" spans="2:15" x14ac:dyDescent="0.2">
      <c r="B2374" s="1">
        <v>2359</v>
      </c>
      <c r="C2374" s="5">
        <f ca="1">_xlfn.NORM.S.INV(RAND())</f>
        <v>-0.65284618738067612</v>
      </c>
      <c r="D2374" s="5">
        <f ca="1">S0*EXP((μ-0.5*σ*σ)*T+σ*SQRT(T)*$C2374)</f>
        <v>0.62308378326368807</v>
      </c>
      <c r="E2374" s="5">
        <f ca="1">MAX(0,CP*(D2374-K))</f>
        <v>0</v>
      </c>
      <c r="F2374" s="4">
        <f ca="1">(CP*(D2374-K)&gt;0)*1</f>
        <v>0</v>
      </c>
      <c r="H2374" s="4">
        <v>2359</v>
      </c>
      <c r="I2374" s="3">
        <v>0.66767858948420666</v>
      </c>
      <c r="J2374" s="128">
        <v>1.2942329193989044E-3</v>
      </c>
      <c r="K2374" s="128"/>
      <c r="L2374" s="128">
        <v>4.1000000000000002E-2</v>
      </c>
      <c r="O2374" s="2"/>
    </row>
    <row r="2375" spans="2:15" x14ac:dyDescent="0.2">
      <c r="B2375" s="1">
        <v>2360</v>
      </c>
      <c r="C2375" s="5">
        <f ca="1">_xlfn.NORM.S.INV(RAND())</f>
        <v>-0.42847609139979193</v>
      </c>
      <c r="D2375" s="5">
        <f ca="1">S0*EXP((μ-0.5*σ*σ)*T+σ*SQRT(T)*$C2375)</f>
        <v>0.63702001344740844</v>
      </c>
      <c r="E2375" s="5">
        <f ca="1">MAX(0,CP*(D2375-K))</f>
        <v>0</v>
      </c>
      <c r="F2375" s="4">
        <f ca="1">(CP*(D2375-K)&gt;0)*1</f>
        <v>0</v>
      </c>
      <c r="H2375" s="4">
        <v>2360</v>
      </c>
      <c r="I2375" s="3">
        <v>0.66755082139647359</v>
      </c>
      <c r="J2375" s="128">
        <v>1.2011778483476453E-3</v>
      </c>
      <c r="K2375" s="128"/>
      <c r="L2375" s="128">
        <v>3.4599999999999999E-2</v>
      </c>
      <c r="O2375" s="2"/>
    </row>
    <row r="2376" spans="2:15" x14ac:dyDescent="0.2">
      <c r="B2376" s="1">
        <v>2361</v>
      </c>
      <c r="C2376" s="5">
        <f ca="1">_xlfn.NORM.S.INV(RAND())</f>
        <v>-0.51225653622207157</v>
      </c>
      <c r="D2376" s="5">
        <f ca="1">S0*EXP((μ-0.5*σ*σ)*T+σ*SQRT(T)*$C2376)</f>
        <v>0.63178008782672235</v>
      </c>
      <c r="E2376" s="5">
        <f ca="1">MAX(0,CP*(D2376-K))</f>
        <v>0</v>
      </c>
      <c r="F2376" s="4">
        <f ca="1">(CP*(D2376-K)&gt;0)*1</f>
        <v>0</v>
      </c>
      <c r="H2376" s="4">
        <v>2361</v>
      </c>
      <c r="I2376" s="3">
        <v>0.66777335105436331</v>
      </c>
      <c r="J2376" s="128">
        <v>1.4083941992469376E-3</v>
      </c>
      <c r="K2376" s="128"/>
      <c r="L2376" s="128">
        <v>4.2999999999999997E-2</v>
      </c>
      <c r="O2376" s="2"/>
    </row>
    <row r="2377" spans="2:15" x14ac:dyDescent="0.2">
      <c r="B2377" s="1">
        <v>2362</v>
      </c>
      <c r="C2377" s="5">
        <f ca="1">_xlfn.NORM.S.INV(RAND())</f>
        <v>-1.063745819185921</v>
      </c>
      <c r="D2377" s="5">
        <f ca="1">S0*EXP((μ-0.5*σ*σ)*T+σ*SQRT(T)*$C2377)</f>
        <v>0.59834735007956019</v>
      </c>
      <c r="E2377" s="5">
        <f ca="1">MAX(0,CP*(D2377-K))</f>
        <v>0</v>
      </c>
      <c r="F2377" s="4">
        <f ca="1">(CP*(D2377-K)&gt;0)*1</f>
        <v>0</v>
      </c>
      <c r="H2377" s="4">
        <v>2362</v>
      </c>
      <c r="I2377" s="3">
        <v>0.66773823127581111</v>
      </c>
      <c r="J2377" s="128">
        <v>1.3628134729707633E-3</v>
      </c>
      <c r="K2377" s="128"/>
      <c r="L2377" s="128">
        <v>3.8800000000000001E-2</v>
      </c>
      <c r="O2377" s="2"/>
    </row>
    <row r="2378" spans="2:15" x14ac:dyDescent="0.2">
      <c r="B2378" s="1">
        <v>2363</v>
      </c>
      <c r="C2378" s="5">
        <f ca="1">_xlfn.NORM.S.INV(RAND())</f>
        <v>0.92732073655030267</v>
      </c>
      <c r="D2378" s="5">
        <f ca="1">S0*EXP((μ-0.5*σ*σ)*T+σ*SQRT(T)*$C2378)</f>
        <v>0.72811984151654097</v>
      </c>
      <c r="E2378" s="5">
        <f ca="1">MAX(0,CP*(D2378-K))</f>
        <v>0</v>
      </c>
      <c r="F2378" s="4">
        <f ca="1">(CP*(D2378-K)&gt;0)*1</f>
        <v>0</v>
      </c>
      <c r="H2378" s="4">
        <v>2363</v>
      </c>
      <c r="I2378" s="3">
        <v>0.66789351844095513</v>
      </c>
      <c r="J2378" s="128">
        <v>1.5787884122031989E-3</v>
      </c>
      <c r="K2378" s="128"/>
      <c r="L2378" s="128">
        <v>4.58E-2</v>
      </c>
      <c r="O2378" s="2"/>
    </row>
    <row r="2379" spans="2:15" x14ac:dyDescent="0.2">
      <c r="B2379" s="1">
        <v>2364</v>
      </c>
      <c r="C2379" s="5">
        <f ca="1">_xlfn.NORM.S.INV(RAND())</f>
        <v>0.52826900111223374</v>
      </c>
      <c r="D2379" s="5">
        <f ca="1">S0*EXP((μ-0.5*σ*σ)*T+σ*SQRT(T)*$C2379)</f>
        <v>0.70003067199776747</v>
      </c>
      <c r="E2379" s="5">
        <f ca="1">MAX(0,CP*(D2379-K))</f>
        <v>0</v>
      </c>
      <c r="F2379" s="4">
        <f ca="1">(CP*(D2379-K)&gt;0)*1</f>
        <v>0</v>
      </c>
      <c r="H2379" s="4">
        <v>2364</v>
      </c>
      <c r="I2379" s="3">
        <v>0.66753886691884634</v>
      </c>
      <c r="J2379" s="128">
        <v>1.1287285889336673E-3</v>
      </c>
      <c r="K2379" s="128"/>
      <c r="L2379" s="128">
        <v>3.44E-2</v>
      </c>
      <c r="O2379" s="2"/>
    </row>
    <row r="2380" spans="2:15" x14ac:dyDescent="0.2">
      <c r="B2380" s="1">
        <v>2365</v>
      </c>
      <c r="C2380" s="5">
        <f ca="1">_xlfn.NORM.S.INV(RAND())</f>
        <v>-0.47139562238091171</v>
      </c>
      <c r="D2380" s="5">
        <f ca="1">S0*EXP((μ-0.5*σ*σ)*T+σ*SQRT(T)*$C2380)</f>
        <v>0.63433026746399179</v>
      </c>
      <c r="E2380" s="5">
        <f ca="1">MAX(0,CP*(D2380-K))</f>
        <v>0</v>
      </c>
      <c r="F2380" s="4">
        <f ca="1">(CP*(D2380-K)&gt;0)*1</f>
        <v>0</v>
      </c>
      <c r="H2380" s="4">
        <v>2365</v>
      </c>
      <c r="I2380" s="3">
        <v>0.66794458328932893</v>
      </c>
      <c r="J2380" s="128">
        <v>1.5480717427712562E-3</v>
      </c>
      <c r="K2380" s="128"/>
      <c r="L2380" s="128">
        <v>4.7E-2</v>
      </c>
      <c r="O2380" s="2"/>
    </row>
    <row r="2381" spans="2:15" x14ac:dyDescent="0.2">
      <c r="B2381" s="1">
        <v>2366</v>
      </c>
      <c r="C2381" s="5">
        <f ca="1">_xlfn.NORM.S.INV(RAND())</f>
        <v>1.6328290208535605</v>
      </c>
      <c r="D2381" s="5">
        <f ca="1">S0*EXP((μ-0.5*σ*σ)*T+σ*SQRT(T)*$C2381)</f>
        <v>0.78056649268522127</v>
      </c>
      <c r="E2381" s="5">
        <f ca="1">MAX(0,CP*(D2381-K))</f>
        <v>0</v>
      </c>
      <c r="F2381" s="4">
        <f ca="1">(CP*(D2381-K)&gt;0)*1</f>
        <v>0</v>
      </c>
      <c r="H2381" s="4">
        <v>2366</v>
      </c>
      <c r="I2381" s="3">
        <v>0.66784582789343216</v>
      </c>
      <c r="J2381" s="128">
        <v>1.4175783364466614E-3</v>
      </c>
      <c r="K2381" s="128"/>
      <c r="L2381" s="128">
        <v>4.5600000000000002E-2</v>
      </c>
      <c r="O2381" s="2"/>
    </row>
    <row r="2382" spans="2:15" x14ac:dyDescent="0.2">
      <c r="B2382" s="1">
        <v>2367</v>
      </c>
      <c r="C2382" s="5">
        <f ca="1">_xlfn.NORM.S.INV(RAND())</f>
        <v>0.57233013246505771</v>
      </c>
      <c r="D2382" s="5">
        <f ca="1">S0*EXP((μ-0.5*σ*σ)*T+σ*SQRT(T)*$C2382)</f>
        <v>0.70307813215270787</v>
      </c>
      <c r="E2382" s="5">
        <f ca="1">MAX(0,CP*(D2382-K))</f>
        <v>0</v>
      </c>
      <c r="F2382" s="4">
        <f ca="1">(CP*(D2382-K)&gt;0)*1</f>
        <v>0</v>
      </c>
      <c r="H2382" s="4">
        <v>2367</v>
      </c>
      <c r="I2382" s="3">
        <v>0.66784992181686853</v>
      </c>
      <c r="J2382" s="128">
        <v>1.6245399227771088E-3</v>
      </c>
      <c r="K2382" s="128"/>
      <c r="L2382" s="128">
        <v>4.4200000000000003E-2</v>
      </c>
      <c r="O2382" s="2"/>
    </row>
    <row r="2383" spans="2:15" x14ac:dyDescent="0.2">
      <c r="B2383" s="1">
        <v>2368</v>
      </c>
      <c r="C2383" s="5">
        <f ca="1">_xlfn.NORM.S.INV(RAND())</f>
        <v>1.0956720043600818</v>
      </c>
      <c r="D2383" s="5">
        <f ca="1">S0*EXP((μ-0.5*σ*σ)*T+σ*SQRT(T)*$C2383)</f>
        <v>0.74030552872082911</v>
      </c>
      <c r="E2383" s="5">
        <f ca="1">MAX(0,CP*(D2383-K))</f>
        <v>0</v>
      </c>
      <c r="F2383" s="4">
        <f ca="1">(CP*(D2383-K)&gt;0)*1</f>
        <v>0</v>
      </c>
      <c r="H2383" s="4">
        <v>2368</v>
      </c>
      <c r="I2383" s="3">
        <v>0.66776577090903844</v>
      </c>
      <c r="J2383" s="128">
        <v>1.2962843359645522E-3</v>
      </c>
      <c r="K2383" s="128"/>
      <c r="L2383" s="128">
        <v>3.8399999999999997E-2</v>
      </c>
      <c r="O2383" s="2"/>
    </row>
    <row r="2384" spans="2:15" x14ac:dyDescent="0.2">
      <c r="B2384" s="1">
        <v>2369</v>
      </c>
      <c r="C2384" s="5">
        <f ca="1">_xlfn.NORM.S.INV(RAND())</f>
        <v>-0.86784284610001361</v>
      </c>
      <c r="D2384" s="5">
        <f ca="1">S0*EXP((μ-0.5*σ*σ)*T+σ*SQRT(T)*$C2384)</f>
        <v>0.61001589653933208</v>
      </c>
      <c r="E2384" s="5">
        <f ca="1">MAX(0,CP*(D2384-K))</f>
        <v>0</v>
      </c>
      <c r="F2384" s="4">
        <f ca="1">(CP*(D2384-K)&gt;0)*1</f>
        <v>0</v>
      </c>
      <c r="H2384" s="4">
        <v>2369</v>
      </c>
      <c r="I2384" s="3">
        <v>0.66782845162821236</v>
      </c>
      <c r="J2384" s="128">
        <v>1.4429828314629193E-3</v>
      </c>
      <c r="K2384" s="128"/>
      <c r="L2384" s="128">
        <v>4.1399999999999999E-2</v>
      </c>
      <c r="O2384" s="2"/>
    </row>
    <row r="2385" spans="2:15" x14ac:dyDescent="0.2">
      <c r="B2385" s="1">
        <v>2370</v>
      </c>
      <c r="C2385" s="5">
        <f ca="1">_xlfn.NORM.S.INV(RAND())</f>
        <v>0.78406611199147014</v>
      </c>
      <c r="D2385" s="5">
        <f ca="1">S0*EXP((μ-0.5*σ*σ)*T+σ*SQRT(T)*$C2385)</f>
        <v>0.71790879976331112</v>
      </c>
      <c r="E2385" s="5">
        <f ca="1">MAX(0,CP*(D2385-K))</f>
        <v>0</v>
      </c>
      <c r="F2385" s="4">
        <f ca="1">(CP*(D2385-K)&gt;0)*1</f>
        <v>0</v>
      </c>
      <c r="H2385" s="4">
        <v>2370</v>
      </c>
      <c r="I2385" s="3">
        <v>0.66785725760405401</v>
      </c>
      <c r="J2385" s="128">
        <v>1.5959149217222967E-3</v>
      </c>
      <c r="K2385" s="128"/>
      <c r="L2385" s="128">
        <v>4.4999999999999998E-2</v>
      </c>
      <c r="O2385" s="2"/>
    </row>
    <row r="2386" spans="2:15" x14ac:dyDescent="0.2">
      <c r="B2386" s="1">
        <v>2371</v>
      </c>
      <c r="C2386" s="5">
        <f ca="1">_xlfn.NORM.S.INV(RAND())</f>
        <v>2.5683400493176847</v>
      </c>
      <c r="D2386" s="5">
        <f ca="1">S0*EXP((μ-0.5*σ*σ)*T+σ*SQRT(T)*$C2386)</f>
        <v>0.85598221063857238</v>
      </c>
      <c r="E2386" s="5">
        <f ca="1">MAX(0,CP*(D2386-K))</f>
        <v>6.7782210638572371E-2</v>
      </c>
      <c r="F2386" s="4">
        <f ca="1">(CP*(D2386-K)&gt;0)*1</f>
        <v>1</v>
      </c>
      <c r="H2386" s="4">
        <v>2371</v>
      </c>
      <c r="I2386" s="3">
        <v>0.6678144737613777</v>
      </c>
      <c r="J2386" s="128">
        <v>1.5218637553408053E-3</v>
      </c>
      <c r="K2386" s="128"/>
      <c r="L2386" s="128">
        <v>4.1000000000000002E-2</v>
      </c>
      <c r="O2386" s="2"/>
    </row>
    <row r="2387" spans="2:15" x14ac:dyDescent="0.2">
      <c r="B2387" s="1">
        <v>2372</v>
      </c>
      <c r="C2387" s="5">
        <f ca="1">_xlfn.NORM.S.INV(RAND())</f>
        <v>1.5037349295877989</v>
      </c>
      <c r="D2387" s="5">
        <f ca="1">S0*EXP((μ-0.5*σ*σ)*T+σ*SQRT(T)*$C2387)</f>
        <v>0.77069512622269332</v>
      </c>
      <c r="E2387" s="5">
        <f ca="1">MAX(0,CP*(D2387-K))</f>
        <v>0</v>
      </c>
      <c r="F2387" s="4">
        <f ca="1">(CP*(D2387-K)&gt;0)*1</f>
        <v>0</v>
      </c>
      <c r="H2387" s="4">
        <v>2372</v>
      </c>
      <c r="I2387" s="3">
        <v>0.66766634316096884</v>
      </c>
      <c r="J2387" s="128">
        <v>1.3041037028036838E-3</v>
      </c>
      <c r="K2387" s="128"/>
      <c r="L2387" s="128">
        <v>3.9800000000000002E-2</v>
      </c>
      <c r="O2387" s="2"/>
    </row>
    <row r="2388" spans="2:15" x14ac:dyDescent="0.2">
      <c r="B2388" s="1">
        <v>2373</v>
      </c>
      <c r="C2388" s="5">
        <f ca="1">_xlfn.NORM.S.INV(RAND())</f>
        <v>1.3095797433020246</v>
      </c>
      <c r="D2388" s="5">
        <f ca="1">S0*EXP((μ-0.5*σ*σ)*T+σ*SQRT(T)*$C2388)</f>
        <v>0.75608333408711992</v>
      </c>
      <c r="E2388" s="5">
        <f ca="1">MAX(0,CP*(D2388-K))</f>
        <v>0</v>
      </c>
      <c r="F2388" s="4">
        <f ca="1">(CP*(D2388-K)&gt;0)*1</f>
        <v>0</v>
      </c>
      <c r="H2388" s="4">
        <v>2373</v>
      </c>
      <c r="I2388" s="3">
        <v>0.66772671281547613</v>
      </c>
      <c r="J2388" s="128">
        <v>1.3990153332920879E-3</v>
      </c>
      <c r="K2388" s="128"/>
      <c r="L2388" s="128">
        <v>4.2599999999999999E-2</v>
      </c>
      <c r="O2388" s="2"/>
    </row>
    <row r="2389" spans="2:15" x14ac:dyDescent="0.2">
      <c r="B2389" s="1">
        <v>2374</v>
      </c>
      <c r="C2389" s="5">
        <f ca="1">_xlfn.NORM.S.INV(RAND())</f>
        <v>0.85471177678514698</v>
      </c>
      <c r="D2389" s="5">
        <f ca="1">S0*EXP((μ-0.5*σ*σ)*T+σ*SQRT(T)*$C2389)</f>
        <v>0.72292632740316665</v>
      </c>
      <c r="E2389" s="5">
        <f ca="1">MAX(0,CP*(D2389-K))</f>
        <v>0</v>
      </c>
      <c r="F2389" s="4">
        <f ca="1">(CP*(D2389-K)&gt;0)*1</f>
        <v>0</v>
      </c>
      <c r="H2389" s="4">
        <v>2374</v>
      </c>
      <c r="I2389" s="3">
        <v>0.66787981104341565</v>
      </c>
      <c r="J2389" s="128">
        <v>1.5671485418833717E-3</v>
      </c>
      <c r="K2389" s="128"/>
      <c r="L2389" s="128">
        <v>4.36E-2</v>
      </c>
      <c r="O2389" s="2"/>
    </row>
    <row r="2390" spans="2:15" x14ac:dyDescent="0.2">
      <c r="B2390" s="1">
        <v>2375</v>
      </c>
      <c r="C2390" s="5">
        <f ca="1">_xlfn.NORM.S.INV(RAND())</f>
        <v>1.246124301050072</v>
      </c>
      <c r="D2390" s="5">
        <f ca="1">S0*EXP((μ-0.5*σ*σ)*T+σ*SQRT(T)*$C2390)</f>
        <v>0.75136810806412635</v>
      </c>
      <c r="E2390" s="5">
        <f ca="1">MAX(0,CP*(D2390-K))</f>
        <v>0</v>
      </c>
      <c r="F2390" s="4">
        <f ca="1">(CP*(D2390-K)&gt;0)*1</f>
        <v>0</v>
      </c>
      <c r="H2390" s="4">
        <v>2375</v>
      </c>
      <c r="I2390" s="3">
        <v>0.6677902712887972</v>
      </c>
      <c r="J2390" s="128">
        <v>1.379026305635825E-3</v>
      </c>
      <c r="K2390" s="128"/>
      <c r="L2390" s="128">
        <v>4.3799999999999999E-2</v>
      </c>
      <c r="O2390" s="2"/>
    </row>
    <row r="2391" spans="2:15" x14ac:dyDescent="0.2">
      <c r="B2391" s="1">
        <v>2376</v>
      </c>
      <c r="C2391" s="5">
        <f ca="1">_xlfn.NORM.S.INV(RAND())</f>
        <v>0.54249852951636857</v>
      </c>
      <c r="D2391" s="5">
        <f ca="1">S0*EXP((μ-0.5*σ*σ)*T+σ*SQRT(T)*$C2391)</f>
        <v>0.70101340141816615</v>
      </c>
      <c r="E2391" s="5">
        <f ca="1">MAX(0,CP*(D2391-K))</f>
        <v>0</v>
      </c>
      <c r="F2391" s="4">
        <f ca="1">(CP*(D2391-K)&gt;0)*1</f>
        <v>0</v>
      </c>
      <c r="H2391" s="4">
        <v>2376</v>
      </c>
      <c r="I2391" s="3">
        <v>0.66782541761715908</v>
      </c>
      <c r="J2391" s="128">
        <v>1.5063690793000921E-3</v>
      </c>
      <c r="K2391" s="128"/>
      <c r="L2391" s="128">
        <v>4.2599999999999999E-2</v>
      </c>
      <c r="O2391" s="2"/>
    </row>
    <row r="2392" spans="2:15" x14ac:dyDescent="0.2">
      <c r="B2392" s="1">
        <v>2377</v>
      </c>
      <c r="C2392" s="5">
        <f ca="1">_xlfn.NORM.S.INV(RAND())</f>
        <v>-1.1397761532031569</v>
      </c>
      <c r="D2392" s="5">
        <f ca="1">S0*EXP((μ-0.5*σ*σ)*T+σ*SQRT(T)*$C2392)</f>
        <v>0.59387912182460822</v>
      </c>
      <c r="E2392" s="5">
        <f ca="1">MAX(0,CP*(D2392-K))</f>
        <v>0</v>
      </c>
      <c r="F2392" s="4">
        <f ca="1">(CP*(D2392-K)&gt;0)*1</f>
        <v>0</v>
      </c>
      <c r="H2392" s="4">
        <v>2377</v>
      </c>
      <c r="I2392" s="3">
        <v>0.66777390523603075</v>
      </c>
      <c r="J2392" s="128">
        <v>1.4240888682252003E-3</v>
      </c>
      <c r="K2392" s="128"/>
      <c r="L2392" s="128">
        <v>4.36E-2</v>
      </c>
      <c r="O2392" s="2"/>
    </row>
    <row r="2393" spans="2:15" x14ac:dyDescent="0.2">
      <c r="B2393" s="1">
        <v>2378</v>
      </c>
      <c r="C2393" s="5">
        <f ca="1">_xlfn.NORM.S.INV(RAND())</f>
        <v>-0.3118206398163057</v>
      </c>
      <c r="D2393" s="5">
        <f ca="1">S0*EXP((μ-0.5*σ*σ)*T+σ*SQRT(T)*$C2393)</f>
        <v>0.64438852196173468</v>
      </c>
      <c r="E2393" s="5">
        <f ca="1">MAX(0,CP*(D2393-K))</f>
        <v>0</v>
      </c>
      <c r="F2393" s="4">
        <f ca="1">(CP*(D2393-K)&gt;0)*1</f>
        <v>0</v>
      </c>
      <c r="H2393" s="4">
        <v>2378</v>
      </c>
      <c r="I2393" s="3">
        <v>0.66771591922801854</v>
      </c>
      <c r="J2393" s="128">
        <v>1.2966612487715179E-3</v>
      </c>
      <c r="K2393" s="128"/>
      <c r="L2393" s="128">
        <v>4.2999999999999997E-2</v>
      </c>
      <c r="O2393" s="2"/>
    </row>
    <row r="2394" spans="2:15" x14ac:dyDescent="0.2">
      <c r="B2394" s="1">
        <v>2379</v>
      </c>
      <c r="C2394" s="5">
        <f ca="1">_xlfn.NORM.S.INV(RAND())</f>
        <v>-0.88628246233528329</v>
      </c>
      <c r="D2394" s="5">
        <f ca="1">S0*EXP((μ-0.5*σ*σ)*T+σ*SQRT(T)*$C2394)</f>
        <v>0.60890794680950389</v>
      </c>
      <c r="E2394" s="5">
        <f ca="1">MAX(0,CP*(D2394-K))</f>
        <v>0</v>
      </c>
      <c r="F2394" s="4">
        <f ca="1">(CP*(D2394-K)&gt;0)*1</f>
        <v>0</v>
      </c>
      <c r="H2394" s="4">
        <v>2379</v>
      </c>
      <c r="I2394" s="3">
        <v>0.6677747800877607</v>
      </c>
      <c r="J2394" s="128">
        <v>1.4295503441558309E-3</v>
      </c>
      <c r="K2394" s="128"/>
      <c r="L2394" s="128">
        <v>0.04</v>
      </c>
      <c r="O2394" s="2"/>
    </row>
    <row r="2395" spans="2:15" x14ac:dyDescent="0.2">
      <c r="B2395" s="1">
        <v>2380</v>
      </c>
      <c r="C2395" s="5">
        <f ca="1">_xlfn.NORM.S.INV(RAND())</f>
        <v>-0.25720122482712754</v>
      </c>
      <c r="D2395" s="5">
        <f ca="1">S0*EXP((μ-0.5*σ*σ)*T+σ*SQRT(T)*$C2395)</f>
        <v>0.64786777790519157</v>
      </c>
      <c r="E2395" s="5">
        <f ca="1">MAX(0,CP*(D2395-K))</f>
        <v>0</v>
      </c>
      <c r="F2395" s="4">
        <f ca="1">(CP*(D2395-K)&gt;0)*1</f>
        <v>0</v>
      </c>
      <c r="H2395" s="4">
        <v>2380</v>
      </c>
      <c r="I2395" s="3">
        <v>0.66770564651986131</v>
      </c>
      <c r="J2395" s="128">
        <v>1.3494107774234972E-3</v>
      </c>
      <c r="K2395" s="128"/>
      <c r="L2395" s="128">
        <v>3.9199999999999999E-2</v>
      </c>
      <c r="O2395" s="2"/>
    </row>
    <row r="2396" spans="2:15" x14ac:dyDescent="0.2">
      <c r="B2396" s="1">
        <v>2381</v>
      </c>
      <c r="C2396" s="5">
        <f ca="1">_xlfn.NORM.S.INV(RAND())</f>
        <v>0.70910580996981409</v>
      </c>
      <c r="D2396" s="5">
        <f ca="1">S0*EXP((μ-0.5*σ*σ)*T+σ*SQRT(T)*$C2396)</f>
        <v>0.71262290438178277</v>
      </c>
      <c r="E2396" s="5">
        <f ca="1">MAX(0,CP*(D2396-K))</f>
        <v>0</v>
      </c>
      <c r="F2396" s="4">
        <f ca="1">(CP*(D2396-K)&gt;0)*1</f>
        <v>0</v>
      </c>
      <c r="H2396" s="4">
        <v>2381</v>
      </c>
      <c r="I2396" s="3">
        <v>0.66786088664134824</v>
      </c>
      <c r="J2396" s="128">
        <v>1.5337537025309712E-3</v>
      </c>
      <c r="K2396" s="128"/>
      <c r="L2396" s="128">
        <v>4.3200000000000002E-2</v>
      </c>
      <c r="O2396" s="2"/>
    </row>
    <row r="2397" spans="2:15" x14ac:dyDescent="0.2">
      <c r="B2397" s="1">
        <v>2382</v>
      </c>
      <c r="C2397" s="5">
        <f ca="1">_xlfn.NORM.S.INV(RAND())</f>
        <v>-2.517742981768702</v>
      </c>
      <c r="D2397" s="5">
        <f ca="1">S0*EXP((μ-0.5*σ*σ)*T+σ*SQRT(T)*$C2397)</f>
        <v>0.51844063999854639</v>
      </c>
      <c r="E2397" s="5">
        <f ca="1">MAX(0,CP*(D2397-K))</f>
        <v>0</v>
      </c>
      <c r="F2397" s="4">
        <f ca="1">(CP*(D2397-K)&gt;0)*1</f>
        <v>0</v>
      </c>
      <c r="H2397" s="4">
        <v>2382</v>
      </c>
      <c r="I2397" s="3">
        <v>0.66773507436953328</v>
      </c>
      <c r="J2397" s="128">
        <v>1.4014144965588183E-3</v>
      </c>
      <c r="K2397" s="128"/>
      <c r="L2397" s="128">
        <v>4.0399999999999998E-2</v>
      </c>
      <c r="O2397" s="2"/>
    </row>
    <row r="2398" spans="2:15" x14ac:dyDescent="0.2">
      <c r="B2398" s="1">
        <v>2383</v>
      </c>
      <c r="C2398" s="5">
        <f ca="1">_xlfn.NORM.S.INV(RAND())</f>
        <v>0.57438602772738068</v>
      </c>
      <c r="D2398" s="5">
        <f ca="1">S0*EXP((μ-0.5*σ*σ)*T+σ*SQRT(T)*$C2398)</f>
        <v>0.70322065034657588</v>
      </c>
      <c r="E2398" s="5">
        <f ca="1">MAX(0,CP*(D2398-K))</f>
        <v>0</v>
      </c>
      <c r="F2398" s="4">
        <f ca="1">(CP*(D2398-K)&gt;0)*1</f>
        <v>0</v>
      </c>
      <c r="H2398" s="4">
        <v>2383</v>
      </c>
      <c r="I2398" s="3">
        <v>0.66789581227992512</v>
      </c>
      <c r="J2398" s="128">
        <v>1.6669395975158314E-3</v>
      </c>
      <c r="K2398" s="128"/>
      <c r="L2398" s="128">
        <v>4.4999999999999998E-2</v>
      </c>
      <c r="O2398" s="2"/>
    </row>
    <row r="2399" spans="2:15" x14ac:dyDescent="0.2">
      <c r="B2399" s="1">
        <v>2384</v>
      </c>
      <c r="C2399" s="5">
        <f ca="1">_xlfn.NORM.S.INV(RAND())</f>
        <v>0.99388112058330191</v>
      </c>
      <c r="D2399" s="5">
        <f ca="1">S0*EXP((μ-0.5*σ*σ)*T+σ*SQRT(T)*$C2399)</f>
        <v>0.73291348917180832</v>
      </c>
      <c r="E2399" s="5">
        <f ca="1">MAX(0,CP*(D2399-K))</f>
        <v>0</v>
      </c>
      <c r="F2399" s="4">
        <f ca="1">(CP*(D2399-K)&gt;0)*1</f>
        <v>0</v>
      </c>
      <c r="H2399" s="4">
        <v>2384</v>
      </c>
      <c r="I2399" s="3">
        <v>0.66769778889865161</v>
      </c>
      <c r="J2399" s="128">
        <v>1.1747589567688722E-3</v>
      </c>
      <c r="K2399" s="128"/>
      <c r="L2399" s="128">
        <v>3.8800000000000001E-2</v>
      </c>
      <c r="O2399" s="2"/>
    </row>
    <row r="2400" spans="2:15" x14ac:dyDescent="0.2">
      <c r="B2400" s="1">
        <v>2385</v>
      </c>
      <c r="C2400" s="5">
        <f ca="1">_xlfn.NORM.S.INV(RAND())</f>
        <v>0.56747566164437924</v>
      </c>
      <c r="D2400" s="5">
        <f ca="1">S0*EXP((μ-0.5*σ*σ)*T+σ*SQRT(T)*$C2400)</f>
        <v>0.70274172649946076</v>
      </c>
      <c r="E2400" s="5">
        <f ca="1">MAX(0,CP*(D2400-K))</f>
        <v>0</v>
      </c>
      <c r="F2400" s="4">
        <f ca="1">(CP*(D2400-K)&gt;0)*1</f>
        <v>0</v>
      </c>
      <c r="H2400" s="4">
        <v>2385</v>
      </c>
      <c r="I2400" s="3">
        <v>0.66763381168004743</v>
      </c>
      <c r="J2400" s="128">
        <v>1.1939884602832423E-3</v>
      </c>
      <c r="K2400" s="128"/>
      <c r="L2400" s="128">
        <v>4.02E-2</v>
      </c>
      <c r="O2400" s="2"/>
    </row>
    <row r="2401" spans="2:15" x14ac:dyDescent="0.2">
      <c r="B2401" s="1">
        <v>2386</v>
      </c>
      <c r="C2401" s="5">
        <f ca="1">_xlfn.NORM.S.INV(RAND())</f>
        <v>-0.4145028118486585</v>
      </c>
      <c r="D2401" s="5">
        <f ca="1">S0*EXP((μ-0.5*σ*σ)*T+σ*SQRT(T)*$C2401)</f>
        <v>0.63789817075449218</v>
      </c>
      <c r="E2401" s="5">
        <f ca="1">MAX(0,CP*(D2401-K))</f>
        <v>0</v>
      </c>
      <c r="F2401" s="4">
        <f ca="1">(CP*(D2401-K)&gt;0)*1</f>
        <v>0</v>
      </c>
      <c r="H2401" s="4">
        <v>2386</v>
      </c>
      <c r="I2401" s="3">
        <v>0.66788756789575632</v>
      </c>
      <c r="J2401" s="128">
        <v>1.5500831277469739E-3</v>
      </c>
      <c r="K2401" s="128"/>
      <c r="L2401" s="128">
        <v>4.7800000000000002E-2</v>
      </c>
      <c r="O2401" s="2"/>
    </row>
    <row r="2402" spans="2:15" x14ac:dyDescent="0.2">
      <c r="B2402" s="1">
        <v>2387</v>
      </c>
      <c r="C2402" s="5">
        <f ca="1">_xlfn.NORM.S.INV(RAND())</f>
        <v>-1.9251674866632611</v>
      </c>
      <c r="D2402" s="5">
        <f ca="1">S0*EXP((μ-0.5*σ*σ)*T+σ*SQRT(T)*$C2402)</f>
        <v>0.54963040186052914</v>
      </c>
      <c r="E2402" s="5">
        <f ca="1">MAX(0,CP*(D2402-K))</f>
        <v>0</v>
      </c>
      <c r="F2402" s="4">
        <f ca="1">(CP*(D2402-K)&gt;0)*1</f>
        <v>0</v>
      </c>
      <c r="H2402" s="4">
        <v>2387</v>
      </c>
      <c r="I2402" s="3">
        <v>0.66799501925730898</v>
      </c>
      <c r="J2402" s="128">
        <v>1.721806466682951E-3</v>
      </c>
      <c r="K2402" s="128"/>
      <c r="L2402" s="128">
        <v>4.7E-2</v>
      </c>
      <c r="O2402" s="2"/>
    </row>
    <row r="2403" spans="2:15" x14ac:dyDescent="0.2">
      <c r="B2403" s="1">
        <v>2388</v>
      </c>
      <c r="C2403" s="5">
        <f ca="1">_xlfn.NORM.S.INV(RAND())</f>
        <v>-0.83746081712250953</v>
      </c>
      <c r="D2403" s="5">
        <f ca="1">S0*EXP((μ-0.5*σ*σ)*T+σ*SQRT(T)*$C2403)</f>
        <v>0.61184580863334947</v>
      </c>
      <c r="E2403" s="5">
        <f ca="1">MAX(0,CP*(D2403-K))</f>
        <v>0</v>
      </c>
      <c r="F2403" s="4">
        <f ca="1">(CP*(D2403-K)&gt;0)*1</f>
        <v>0</v>
      </c>
      <c r="H2403" s="4">
        <v>2388</v>
      </c>
      <c r="I2403" s="3">
        <v>0.66780282805026137</v>
      </c>
      <c r="J2403" s="128">
        <v>1.4417793046517342E-3</v>
      </c>
      <c r="K2403" s="128"/>
      <c r="L2403" s="128">
        <v>4.24E-2</v>
      </c>
      <c r="O2403" s="2"/>
    </row>
    <row r="2404" spans="2:15" x14ac:dyDescent="0.2">
      <c r="B2404" s="1">
        <v>2389</v>
      </c>
      <c r="C2404" s="5">
        <f ca="1">_xlfn.NORM.S.INV(RAND())</f>
        <v>0.85497632705230564</v>
      </c>
      <c r="D2404" s="5">
        <f ca="1">S0*EXP((μ-0.5*σ*σ)*T+σ*SQRT(T)*$C2404)</f>
        <v>0.72294518253744389</v>
      </c>
      <c r="E2404" s="5">
        <f ca="1">MAX(0,CP*(D2404-K))</f>
        <v>0</v>
      </c>
      <c r="F2404" s="4">
        <f ca="1">(CP*(D2404-K)&gt;0)*1</f>
        <v>0</v>
      </c>
      <c r="H2404" s="4">
        <v>2389</v>
      </c>
      <c r="I2404" s="3">
        <v>0.66771826637581244</v>
      </c>
      <c r="J2404" s="128">
        <v>1.3716063515427765E-3</v>
      </c>
      <c r="K2404" s="128"/>
      <c r="L2404" s="128">
        <v>4.1399999999999999E-2</v>
      </c>
      <c r="O2404" s="2"/>
    </row>
    <row r="2405" spans="2:15" x14ac:dyDescent="0.2">
      <c r="B2405" s="1">
        <v>2390</v>
      </c>
      <c r="C2405" s="5">
        <f ca="1">_xlfn.NORM.S.INV(RAND())</f>
        <v>0.12976629437336346</v>
      </c>
      <c r="D2405" s="5">
        <f ca="1">S0*EXP((μ-0.5*σ*σ)*T+σ*SQRT(T)*$C2405)</f>
        <v>0.67306154734191148</v>
      </c>
      <c r="E2405" s="5">
        <f ca="1">MAX(0,CP*(D2405-K))</f>
        <v>0</v>
      </c>
      <c r="F2405" s="4">
        <f ca="1">(CP*(D2405-K)&gt;0)*1</f>
        <v>0</v>
      </c>
      <c r="H2405" s="4">
        <v>2390</v>
      </c>
      <c r="I2405" s="3">
        <v>0.66778866926650249</v>
      </c>
      <c r="J2405" s="128">
        <v>1.4400079512978026E-3</v>
      </c>
      <c r="K2405" s="128"/>
      <c r="L2405" s="128">
        <v>4.3200000000000002E-2</v>
      </c>
      <c r="O2405" s="2"/>
    </row>
    <row r="2406" spans="2:15" x14ac:dyDescent="0.2">
      <c r="B2406" s="1">
        <v>2391</v>
      </c>
      <c r="C2406" s="5">
        <f ca="1">_xlfn.NORM.S.INV(RAND())</f>
        <v>0.46901329269606151</v>
      </c>
      <c r="D2406" s="5">
        <f ca="1">S0*EXP((μ-0.5*σ*σ)*T+σ*SQRT(T)*$C2406)</f>
        <v>0.69595310546746403</v>
      </c>
      <c r="E2406" s="5">
        <f ca="1">MAX(0,CP*(D2406-K))</f>
        <v>0</v>
      </c>
      <c r="F2406" s="4">
        <f ca="1">(CP*(D2406-K)&gt;0)*1</f>
        <v>0</v>
      </c>
      <c r="H2406" s="4">
        <v>2391</v>
      </c>
      <c r="I2406" s="3">
        <v>0.66773244755555983</v>
      </c>
      <c r="J2406" s="128">
        <v>1.3934872993604627E-3</v>
      </c>
      <c r="K2406" s="128"/>
      <c r="L2406" s="128">
        <v>4.0399999999999998E-2</v>
      </c>
      <c r="O2406" s="2"/>
    </row>
    <row r="2407" spans="2:15" x14ac:dyDescent="0.2">
      <c r="B2407" s="1">
        <v>2392</v>
      </c>
      <c r="C2407" s="5">
        <f ca="1">_xlfn.NORM.S.INV(RAND())</f>
        <v>-0.67134186925428219</v>
      </c>
      <c r="D2407" s="5">
        <f ca="1">S0*EXP((μ-0.5*σ*σ)*T+σ*SQRT(T)*$C2407)</f>
        <v>0.62194866105604285</v>
      </c>
      <c r="E2407" s="5">
        <f ca="1">MAX(0,CP*(D2407-K))</f>
        <v>0</v>
      </c>
      <c r="F2407" s="4">
        <f ca="1">(CP*(D2407-K)&gt;0)*1</f>
        <v>0</v>
      </c>
      <c r="H2407" s="4">
        <v>2392</v>
      </c>
      <c r="I2407" s="3">
        <v>0.6676425864132941</v>
      </c>
      <c r="J2407" s="128">
        <v>1.1092070217081204E-3</v>
      </c>
      <c r="K2407" s="128"/>
      <c r="L2407" s="128">
        <v>3.9E-2</v>
      </c>
      <c r="O2407" s="2"/>
    </row>
    <row r="2408" spans="2:15" x14ac:dyDescent="0.2">
      <c r="B2408" s="1">
        <v>2393</v>
      </c>
      <c r="C2408" s="5">
        <f ca="1">_xlfn.NORM.S.INV(RAND())</f>
        <v>1.2406489570675017</v>
      </c>
      <c r="D2408" s="5">
        <f ca="1">S0*EXP((μ-0.5*σ*σ)*T+σ*SQRT(T)*$C2408)</f>
        <v>0.75096262877582842</v>
      </c>
      <c r="E2408" s="5">
        <f ca="1">MAX(0,CP*(D2408-K))</f>
        <v>0</v>
      </c>
      <c r="F2408" s="4">
        <f ca="1">(CP*(D2408-K)&gt;0)*1</f>
        <v>0</v>
      </c>
      <c r="H2408" s="4">
        <v>2393</v>
      </c>
      <c r="I2408" s="3">
        <v>0.66780420319600964</v>
      </c>
      <c r="J2408" s="128">
        <v>1.5021260256618022E-3</v>
      </c>
      <c r="K2408" s="128"/>
      <c r="L2408" s="128">
        <v>4.48E-2</v>
      </c>
      <c r="O2408" s="2"/>
    </row>
    <row r="2409" spans="2:15" x14ac:dyDescent="0.2">
      <c r="B2409" s="1">
        <v>2394</v>
      </c>
      <c r="C2409" s="5">
        <f ca="1">_xlfn.NORM.S.INV(RAND())</f>
        <v>2.2495002519225666</v>
      </c>
      <c r="D2409" s="5">
        <f ca="1">S0*EXP((μ-0.5*σ*σ)*T+σ*SQRT(T)*$C2409)</f>
        <v>0.82949409020888254</v>
      </c>
      <c r="E2409" s="5">
        <f ca="1">MAX(0,CP*(D2409-K))</f>
        <v>4.1294090208882528E-2</v>
      </c>
      <c r="F2409" s="4">
        <f ca="1">(CP*(D2409-K)&gt;0)*1</f>
        <v>1</v>
      </c>
      <c r="H2409" s="4">
        <v>2394</v>
      </c>
      <c r="I2409" s="3">
        <v>0.66784656670114206</v>
      </c>
      <c r="J2409" s="128">
        <v>1.4346823342445438E-3</v>
      </c>
      <c r="K2409" s="128"/>
      <c r="L2409" s="128">
        <v>4.24E-2</v>
      </c>
      <c r="O2409" s="2"/>
    </row>
    <row r="2410" spans="2:15" x14ac:dyDescent="0.2">
      <c r="B2410" s="1">
        <v>2395</v>
      </c>
      <c r="C2410" s="5">
        <f ca="1">_xlfn.NORM.S.INV(RAND())</f>
        <v>1.6333808880605498</v>
      </c>
      <c r="D2410" s="5">
        <f ca="1">S0*EXP((μ-0.5*σ*σ)*T+σ*SQRT(T)*$C2410)</f>
        <v>0.78060896227123777</v>
      </c>
      <c r="E2410" s="5">
        <f ca="1">MAX(0,CP*(D2410-K))</f>
        <v>0</v>
      </c>
      <c r="F2410" s="4">
        <f ca="1">(CP*(D2410-K)&gt;0)*1</f>
        <v>0</v>
      </c>
      <c r="H2410" s="4">
        <v>2395</v>
      </c>
      <c r="I2410" s="3">
        <v>0.66770139534879258</v>
      </c>
      <c r="J2410" s="128">
        <v>1.3632529558834008E-3</v>
      </c>
      <c r="K2410" s="128"/>
      <c r="L2410" s="128">
        <v>4.2200000000000001E-2</v>
      </c>
      <c r="O2410" s="2"/>
    </row>
    <row r="2411" spans="2:15" x14ac:dyDescent="0.2">
      <c r="B2411" s="1">
        <v>2396</v>
      </c>
      <c r="C2411" s="5">
        <f ca="1">_xlfn.NORM.S.INV(RAND())</f>
        <v>0.58975261689860092</v>
      </c>
      <c r="D2411" s="5">
        <f ca="1">S0*EXP((μ-0.5*σ*σ)*T+σ*SQRT(T)*$C2411)</f>
        <v>0.70428680406498123</v>
      </c>
      <c r="E2411" s="5">
        <f ca="1">MAX(0,CP*(D2411-K))</f>
        <v>0</v>
      </c>
      <c r="F2411" s="4">
        <f ca="1">(CP*(D2411-K)&gt;0)*1</f>
        <v>0</v>
      </c>
      <c r="H2411" s="4">
        <v>2396</v>
      </c>
      <c r="I2411" s="3">
        <v>0.66767752398175984</v>
      </c>
      <c r="J2411" s="128">
        <v>1.3856010503479378E-3</v>
      </c>
      <c r="K2411" s="128"/>
      <c r="L2411" s="128">
        <v>4.1000000000000002E-2</v>
      </c>
      <c r="O2411" s="2"/>
    </row>
    <row r="2412" spans="2:15" x14ac:dyDescent="0.2">
      <c r="B2412" s="1">
        <v>2397</v>
      </c>
      <c r="C2412" s="5">
        <f ca="1">_xlfn.NORM.S.INV(RAND())</f>
        <v>0.8875247871220916</v>
      </c>
      <c r="D2412" s="5">
        <f ca="1">S0*EXP((μ-0.5*σ*σ)*T+σ*SQRT(T)*$C2412)</f>
        <v>0.7252687458913073</v>
      </c>
      <c r="E2412" s="5">
        <f ca="1">MAX(0,CP*(D2412-K))</f>
        <v>0</v>
      </c>
      <c r="F2412" s="4">
        <f ca="1">(CP*(D2412-K)&gt;0)*1</f>
        <v>0</v>
      </c>
      <c r="H2412" s="4">
        <v>2397</v>
      </c>
      <c r="I2412" s="3">
        <v>0.66775116994727601</v>
      </c>
      <c r="J2412" s="128">
        <v>1.4190530759461096E-3</v>
      </c>
      <c r="K2412" s="128"/>
      <c r="L2412" s="128">
        <v>4.2599999999999999E-2</v>
      </c>
      <c r="O2412" s="2"/>
    </row>
    <row r="2413" spans="2:15" x14ac:dyDescent="0.2">
      <c r="B2413" s="1">
        <v>2398</v>
      </c>
      <c r="C2413" s="5">
        <f ca="1">_xlfn.NORM.S.INV(RAND())</f>
        <v>-4.7279472198869686E-3</v>
      </c>
      <c r="D2413" s="5">
        <f ca="1">S0*EXP((μ-0.5*σ*σ)*T+σ*SQRT(T)*$C2413)</f>
        <v>0.66419602926733001</v>
      </c>
      <c r="E2413" s="5">
        <f ca="1">MAX(0,CP*(D2413-K))</f>
        <v>0</v>
      </c>
      <c r="F2413" s="4">
        <f ca="1">(CP*(D2413-K)&gt;0)*1</f>
        <v>0</v>
      </c>
      <c r="H2413" s="4">
        <v>2398</v>
      </c>
      <c r="I2413" s="3">
        <v>0.66757627480825299</v>
      </c>
      <c r="J2413" s="128">
        <v>1.0830906220119336E-3</v>
      </c>
      <c r="K2413" s="128"/>
      <c r="L2413" s="128">
        <v>3.8399999999999997E-2</v>
      </c>
      <c r="O2413" s="2"/>
    </row>
    <row r="2414" spans="2:15" x14ac:dyDescent="0.2">
      <c r="B2414" s="1">
        <v>2399</v>
      </c>
      <c r="C2414" s="5">
        <f ca="1">_xlfn.NORM.S.INV(RAND())</f>
        <v>6.0859168306311898E-2</v>
      </c>
      <c r="D2414" s="5">
        <f ca="1">S0*EXP((μ-0.5*σ*σ)*T+σ*SQRT(T)*$C2414)</f>
        <v>0.66850468080781611</v>
      </c>
      <c r="E2414" s="5">
        <f ca="1">MAX(0,CP*(D2414-K))</f>
        <v>0</v>
      </c>
      <c r="F2414" s="4">
        <f ca="1">(CP*(D2414-K)&gt;0)*1</f>
        <v>0</v>
      </c>
      <c r="H2414" s="4">
        <v>2399</v>
      </c>
      <c r="I2414" s="3">
        <v>0.66763326277488866</v>
      </c>
      <c r="J2414" s="128">
        <v>1.2906146658523267E-3</v>
      </c>
      <c r="K2414" s="128"/>
      <c r="L2414" s="128">
        <v>3.8199999999999998E-2</v>
      </c>
      <c r="O2414" s="2"/>
    </row>
    <row r="2415" spans="2:15" x14ac:dyDescent="0.2">
      <c r="B2415" s="1">
        <v>2400</v>
      </c>
      <c r="C2415" s="5">
        <f ca="1">_xlfn.NORM.S.INV(RAND())</f>
        <v>-1.0444317087281869</v>
      </c>
      <c r="D2415" s="5">
        <f ca="1">S0*EXP((μ-0.5*σ*σ)*T+σ*SQRT(T)*$C2415)</f>
        <v>0.59948776619396416</v>
      </c>
      <c r="E2415" s="5">
        <f ca="1">MAX(0,CP*(D2415-K))</f>
        <v>0</v>
      </c>
      <c r="F2415" s="4">
        <f ca="1">(CP*(D2415-K)&gt;0)*1</f>
        <v>0</v>
      </c>
      <c r="H2415" s="4">
        <v>2400</v>
      </c>
      <c r="I2415" s="3">
        <v>0.66780945194049623</v>
      </c>
      <c r="J2415" s="128">
        <v>1.3680325871602826E-3</v>
      </c>
      <c r="K2415" s="128"/>
      <c r="L2415" s="128">
        <v>4.36E-2</v>
      </c>
      <c r="O2415" s="2"/>
    </row>
    <row r="2416" spans="2:15" x14ac:dyDescent="0.2">
      <c r="B2416" s="1">
        <v>2401</v>
      </c>
      <c r="C2416" s="5">
        <f ca="1">_xlfn.NORM.S.INV(RAND())</f>
        <v>-0.26215341542040077</v>
      </c>
      <c r="D2416" s="5">
        <f ca="1">S0*EXP((μ-0.5*σ*σ)*T+σ*SQRT(T)*$C2416)</f>
        <v>0.64755155054705005</v>
      </c>
      <c r="E2416" s="5">
        <f ca="1">MAX(0,CP*(D2416-K))</f>
        <v>0</v>
      </c>
      <c r="F2416" s="4">
        <f ca="1">(CP*(D2416-K)&gt;0)*1</f>
        <v>0</v>
      </c>
      <c r="H2416" s="4">
        <v>2401</v>
      </c>
      <c r="I2416" s="3">
        <v>0.66777811180429003</v>
      </c>
      <c r="J2416" s="128">
        <v>1.3069765137998983E-3</v>
      </c>
      <c r="K2416" s="128"/>
      <c r="L2416" s="128">
        <v>4.3999999999999997E-2</v>
      </c>
      <c r="O2416" s="2"/>
    </row>
    <row r="2417" spans="2:15" x14ac:dyDescent="0.2">
      <c r="B2417" s="1">
        <v>2402</v>
      </c>
      <c r="C2417" s="5">
        <f ca="1">_xlfn.NORM.S.INV(RAND())</f>
        <v>-0.7175402837372501</v>
      </c>
      <c r="D2417" s="5">
        <f ca="1">S0*EXP((μ-0.5*σ*σ)*T+σ*SQRT(T)*$C2417)</f>
        <v>0.61912238428856403</v>
      </c>
      <c r="E2417" s="5">
        <f ca="1">MAX(0,CP*(D2417-K))</f>
        <v>0</v>
      </c>
      <c r="F2417" s="4">
        <f ca="1">(CP*(D2417-K)&gt;0)*1</f>
        <v>0</v>
      </c>
      <c r="H2417" s="4">
        <v>2402</v>
      </c>
      <c r="I2417" s="3">
        <v>0.66782190652626783</v>
      </c>
      <c r="J2417" s="128">
        <v>1.3430866323139589E-3</v>
      </c>
      <c r="K2417" s="128"/>
      <c r="L2417" s="128">
        <v>4.36E-2</v>
      </c>
      <c r="O2417" s="2"/>
    </row>
    <row r="2418" spans="2:15" x14ac:dyDescent="0.2">
      <c r="B2418" s="1">
        <v>2403</v>
      </c>
      <c r="C2418" s="5">
        <f ca="1">_xlfn.NORM.S.INV(RAND())</f>
        <v>-0.1661018005194467</v>
      </c>
      <c r="D2418" s="5">
        <f ca="1">S0*EXP((μ-0.5*σ*σ)*T+σ*SQRT(T)*$C2418)</f>
        <v>0.65371265589061645</v>
      </c>
      <c r="E2418" s="5">
        <f ca="1">MAX(0,CP*(D2418-K))</f>
        <v>0</v>
      </c>
      <c r="F2418" s="4">
        <f ca="1">(CP*(D2418-K)&gt;0)*1</f>
        <v>0</v>
      </c>
      <c r="H2418" s="4">
        <v>2403</v>
      </c>
      <c r="I2418" s="3">
        <v>0.66776029547170923</v>
      </c>
      <c r="J2418" s="128">
        <v>1.3649176435019926E-3</v>
      </c>
      <c r="K2418" s="128"/>
      <c r="L2418" s="128">
        <v>4.1599999999999998E-2</v>
      </c>
      <c r="O2418" s="2"/>
    </row>
    <row r="2419" spans="2:15" x14ac:dyDescent="0.2">
      <c r="B2419" s="1">
        <v>2404</v>
      </c>
      <c r="C2419" s="5">
        <f ca="1">_xlfn.NORM.S.INV(RAND())</f>
        <v>-5.7666667972753494E-2</v>
      </c>
      <c r="D2419" s="5">
        <f ca="1">S0*EXP((μ-0.5*σ*σ)*T+σ*SQRT(T)*$C2419)</f>
        <v>0.66073855768749201</v>
      </c>
      <c r="E2419" s="5">
        <f ca="1">MAX(0,CP*(D2419-K))</f>
        <v>0</v>
      </c>
      <c r="F2419" s="4">
        <f ca="1">(CP*(D2419-K)&gt;0)*1</f>
        <v>0</v>
      </c>
      <c r="H2419" s="4">
        <v>2404</v>
      </c>
      <c r="I2419" s="3">
        <v>0.66763761399422517</v>
      </c>
      <c r="J2419" s="128">
        <v>1.2436093959389213E-3</v>
      </c>
      <c r="K2419" s="128"/>
      <c r="L2419" s="128">
        <v>3.6999999999999998E-2</v>
      </c>
      <c r="O2419" s="2"/>
    </row>
    <row r="2420" spans="2:15" x14ac:dyDescent="0.2">
      <c r="B2420" s="1">
        <v>2405</v>
      </c>
      <c r="C2420" s="5">
        <f ca="1">_xlfn.NORM.S.INV(RAND())</f>
        <v>-1.2397710132799586</v>
      </c>
      <c r="D2420" s="5">
        <f ca="1">S0*EXP((μ-0.5*σ*σ)*T+σ*SQRT(T)*$C2420)</f>
        <v>0.58805328221194408</v>
      </c>
      <c r="E2420" s="5">
        <f ca="1">MAX(0,CP*(D2420-K))</f>
        <v>0</v>
      </c>
      <c r="F2420" s="4">
        <f ca="1">(CP*(D2420-K)&gt;0)*1</f>
        <v>0</v>
      </c>
      <c r="H2420" s="4">
        <v>2405</v>
      </c>
      <c r="I2420" s="3">
        <v>0.66777301305854087</v>
      </c>
      <c r="J2420" s="128">
        <v>1.418823917855511E-3</v>
      </c>
      <c r="K2420" s="128"/>
      <c r="L2420" s="128">
        <v>4.3799999999999999E-2</v>
      </c>
      <c r="O2420" s="2"/>
    </row>
    <row r="2421" spans="2:15" x14ac:dyDescent="0.2">
      <c r="B2421" s="1">
        <v>2406</v>
      </c>
      <c r="C2421" s="5">
        <f ca="1">_xlfn.NORM.S.INV(RAND())</f>
        <v>-0.29741367296399379</v>
      </c>
      <c r="D2421" s="5">
        <f ca="1">S0*EXP((μ-0.5*σ*σ)*T+σ*SQRT(T)*$C2421)</f>
        <v>0.64530442718203906</v>
      </c>
      <c r="E2421" s="5">
        <f ca="1">MAX(0,CP*(D2421-K))</f>
        <v>0</v>
      </c>
      <c r="F2421" s="4">
        <f ca="1">(CP*(D2421-K)&gt;0)*1</f>
        <v>0</v>
      </c>
      <c r="H2421" s="4">
        <v>2406</v>
      </c>
      <c r="I2421" s="3">
        <v>0.66770483961590466</v>
      </c>
      <c r="J2421" s="128">
        <v>1.3685169746651595E-3</v>
      </c>
      <c r="K2421" s="128"/>
      <c r="L2421" s="128">
        <v>4.1399999999999999E-2</v>
      </c>
      <c r="O2421" s="2"/>
    </row>
    <row r="2422" spans="2:15" x14ac:dyDescent="0.2">
      <c r="B2422" s="1">
        <v>2407</v>
      </c>
      <c r="C2422" s="5">
        <f ca="1">_xlfn.NORM.S.INV(RAND())</f>
        <v>1.6446156575572448</v>
      </c>
      <c r="D2422" s="5">
        <f ca="1">S0*EXP((μ-0.5*σ*σ)*T+σ*SQRT(T)*$C2422)</f>
        <v>0.78147404961088962</v>
      </c>
      <c r="E2422" s="5">
        <f ca="1">MAX(0,CP*(D2422-K))</f>
        <v>0</v>
      </c>
      <c r="F2422" s="4">
        <f ca="1">(CP*(D2422-K)&gt;0)*1</f>
        <v>0</v>
      </c>
      <c r="H2422" s="4">
        <v>2407</v>
      </c>
      <c r="I2422" s="3">
        <v>0.66779445082985833</v>
      </c>
      <c r="J2422" s="128">
        <v>1.4051599274677517E-3</v>
      </c>
      <c r="K2422" s="128"/>
      <c r="L2422" s="128">
        <v>4.24E-2</v>
      </c>
      <c r="O2422" s="2"/>
    </row>
    <row r="2423" spans="2:15" x14ac:dyDescent="0.2">
      <c r="B2423" s="1">
        <v>2408</v>
      </c>
      <c r="C2423" s="5">
        <f ca="1">_xlfn.NORM.S.INV(RAND())</f>
        <v>0.33522004740794975</v>
      </c>
      <c r="D2423" s="5">
        <f ca="1">S0*EXP((μ-0.5*σ*σ)*T+σ*SQRT(T)*$C2423)</f>
        <v>0.68683352649159657</v>
      </c>
      <c r="E2423" s="5">
        <f ca="1">MAX(0,CP*(D2423-K))</f>
        <v>0</v>
      </c>
      <c r="F2423" s="4">
        <f ca="1">(CP*(D2423-K)&gt;0)*1</f>
        <v>0</v>
      </c>
      <c r="H2423" s="4">
        <v>2408</v>
      </c>
      <c r="I2423" s="3">
        <v>0.66762693706519194</v>
      </c>
      <c r="J2423" s="128">
        <v>1.0832151840352718E-3</v>
      </c>
      <c r="K2423" s="128"/>
      <c r="L2423" s="128">
        <v>3.8399999999999997E-2</v>
      </c>
      <c r="O2423" s="2"/>
    </row>
    <row r="2424" spans="2:15" x14ac:dyDescent="0.2">
      <c r="B2424" s="1">
        <v>2409</v>
      </c>
      <c r="C2424" s="5">
        <f ca="1">_xlfn.NORM.S.INV(RAND())</f>
        <v>-1.0316439003506532</v>
      </c>
      <c r="D2424" s="5">
        <f ca="1">S0*EXP((μ-0.5*σ*σ)*T+σ*SQRT(T)*$C2424)</f>
        <v>0.60024402763056328</v>
      </c>
      <c r="E2424" s="5">
        <f ca="1">MAX(0,CP*(D2424-K))</f>
        <v>0</v>
      </c>
      <c r="F2424" s="4">
        <f ca="1">(CP*(D2424-K)&gt;0)*1</f>
        <v>0</v>
      </c>
      <c r="H2424" s="4">
        <v>2409</v>
      </c>
      <c r="I2424" s="3">
        <v>0.66777567956349149</v>
      </c>
      <c r="J2424" s="128">
        <v>1.491070739836447E-3</v>
      </c>
      <c r="K2424" s="128"/>
      <c r="L2424" s="128">
        <v>4.1599999999999998E-2</v>
      </c>
      <c r="O2424" s="2"/>
    </row>
    <row r="2425" spans="2:15" x14ac:dyDescent="0.2">
      <c r="B2425" s="1">
        <v>2410</v>
      </c>
      <c r="C2425" s="5">
        <f ca="1">_xlfn.NORM.S.INV(RAND())</f>
        <v>-8.1198712586227087E-2</v>
      </c>
      <c r="D2425" s="5">
        <f ca="1">S0*EXP((μ-0.5*σ*σ)*T+σ*SQRT(T)*$C2425)</f>
        <v>0.6592074442850151</v>
      </c>
      <c r="E2425" s="5">
        <f ca="1">MAX(0,CP*(D2425-K))</f>
        <v>0</v>
      </c>
      <c r="F2425" s="4">
        <f ca="1">(CP*(D2425-K)&gt;0)*1</f>
        <v>0</v>
      </c>
      <c r="H2425" s="4">
        <v>2410</v>
      </c>
      <c r="I2425" s="3">
        <v>0.66763761202572791</v>
      </c>
      <c r="J2425" s="128">
        <v>1.1170054767869202E-3</v>
      </c>
      <c r="K2425" s="128"/>
      <c r="L2425" s="128">
        <v>4.02E-2</v>
      </c>
      <c r="O2425" s="2"/>
    </row>
    <row r="2426" spans="2:15" x14ac:dyDescent="0.2">
      <c r="B2426" s="1">
        <v>2411</v>
      </c>
      <c r="C2426" s="5">
        <f ca="1">_xlfn.NORM.S.INV(RAND())</f>
        <v>0.92580486856827204</v>
      </c>
      <c r="D2426" s="5">
        <f ca="1">S0*EXP((μ-0.5*σ*σ)*T+σ*SQRT(T)*$C2426)</f>
        <v>0.72801103534860268</v>
      </c>
      <c r="E2426" s="5">
        <f ca="1">MAX(0,CP*(D2426-K))</f>
        <v>0</v>
      </c>
      <c r="F2426" s="4">
        <f ca="1">(CP*(D2426-K)&gt;0)*1</f>
        <v>0</v>
      </c>
      <c r="H2426" s="4">
        <v>2411</v>
      </c>
      <c r="I2426" s="3">
        <v>0.66771452890306304</v>
      </c>
      <c r="J2426" s="128">
        <v>1.3401604872026397E-3</v>
      </c>
      <c r="K2426" s="128"/>
      <c r="L2426" s="128">
        <v>4.1399999999999999E-2</v>
      </c>
      <c r="O2426" s="2"/>
    </row>
    <row r="2427" spans="2:15" x14ac:dyDescent="0.2">
      <c r="B2427" s="1">
        <v>2412</v>
      </c>
      <c r="C2427" s="5">
        <f ca="1">_xlfn.NORM.S.INV(RAND())</f>
        <v>-9.6468753508492558E-2</v>
      </c>
      <c r="D2427" s="5">
        <f ca="1">S0*EXP((μ-0.5*σ*σ)*T+σ*SQRT(T)*$C2427)</f>
        <v>0.65821579714289713</v>
      </c>
      <c r="E2427" s="5">
        <f ca="1">MAX(0,CP*(D2427-K))</f>
        <v>0</v>
      </c>
      <c r="F2427" s="4">
        <f ca="1">(CP*(D2427-K)&gt;0)*1</f>
        <v>0</v>
      </c>
      <c r="H2427" s="4">
        <v>2412</v>
      </c>
      <c r="I2427" s="3">
        <v>0.6677813605542563</v>
      </c>
      <c r="J2427" s="128">
        <v>1.2097891479492021E-3</v>
      </c>
      <c r="K2427" s="128"/>
      <c r="L2427" s="128">
        <v>4.1599999999999998E-2</v>
      </c>
      <c r="O2427" s="2"/>
    </row>
    <row r="2428" spans="2:15" x14ac:dyDescent="0.2">
      <c r="B2428" s="1">
        <v>2413</v>
      </c>
      <c r="C2428" s="5">
        <f ca="1">_xlfn.NORM.S.INV(RAND())</f>
        <v>2.4796583150129503E-2</v>
      </c>
      <c r="D2428" s="5">
        <f ca="1">S0*EXP((μ-0.5*σ*σ)*T+σ*SQRT(T)*$C2428)</f>
        <v>0.66613215344417154</v>
      </c>
      <c r="E2428" s="5">
        <f ca="1">MAX(0,CP*(D2428-K))</f>
        <v>0</v>
      </c>
      <c r="F2428" s="4">
        <f ca="1">(CP*(D2428-K)&gt;0)*1</f>
        <v>0</v>
      </c>
      <c r="H2428" s="4">
        <v>2413</v>
      </c>
      <c r="I2428" s="3">
        <v>0.66782425389698608</v>
      </c>
      <c r="J2428" s="128">
        <v>1.4811289406279301E-3</v>
      </c>
      <c r="K2428" s="128"/>
      <c r="L2428" s="128">
        <v>4.6600000000000003E-2</v>
      </c>
      <c r="O2428" s="2"/>
    </row>
    <row r="2429" spans="2:15" x14ac:dyDescent="0.2">
      <c r="B2429" s="1">
        <v>2414</v>
      </c>
      <c r="C2429" s="5">
        <f ca="1">_xlfn.NORM.S.INV(RAND())</f>
        <v>-1.4843134319306979</v>
      </c>
      <c r="D2429" s="5">
        <f ca="1">S0*EXP((μ-0.5*σ*σ)*T+σ*SQRT(T)*$C2429)</f>
        <v>0.57404554594067692</v>
      </c>
      <c r="E2429" s="5">
        <f ca="1">MAX(0,CP*(D2429-K))</f>
        <v>0</v>
      </c>
      <c r="F2429" s="4">
        <f ca="1">(CP*(D2429-K)&gt;0)*1</f>
        <v>0</v>
      </c>
      <c r="H2429" s="4">
        <v>2414</v>
      </c>
      <c r="I2429" s="3">
        <v>0.66794986045897409</v>
      </c>
      <c r="J2429" s="128">
        <v>1.5620175655401429E-3</v>
      </c>
      <c r="K2429" s="128"/>
      <c r="L2429" s="128">
        <v>4.58E-2</v>
      </c>
      <c r="O2429" s="2"/>
    </row>
    <row r="2430" spans="2:15" x14ac:dyDescent="0.2">
      <c r="B2430" s="1">
        <v>2415</v>
      </c>
      <c r="C2430" s="5">
        <f ca="1">_xlfn.NORM.S.INV(RAND())</f>
        <v>0.25424605790431692</v>
      </c>
      <c r="D2430" s="5">
        <f ca="1">S0*EXP((μ-0.5*σ*σ)*T+σ*SQRT(T)*$C2430)</f>
        <v>0.68137234755967324</v>
      </c>
      <c r="E2430" s="5">
        <f ca="1">MAX(0,CP*(D2430-K))</f>
        <v>0</v>
      </c>
      <c r="F2430" s="4">
        <f ca="1">(CP*(D2430-K)&gt;0)*1</f>
        <v>0</v>
      </c>
      <c r="H2430" s="4">
        <v>2415</v>
      </c>
      <c r="I2430" s="3">
        <v>0.66766005356755942</v>
      </c>
      <c r="J2430" s="128">
        <v>1.2525417745220531E-3</v>
      </c>
      <c r="K2430" s="128"/>
      <c r="L2430" s="128">
        <v>3.6799999999999999E-2</v>
      </c>
      <c r="O2430" s="2"/>
    </row>
    <row r="2431" spans="2:15" x14ac:dyDescent="0.2">
      <c r="B2431" s="1">
        <v>2416</v>
      </c>
      <c r="C2431" s="5">
        <f ca="1">_xlfn.NORM.S.INV(RAND())</f>
        <v>1.8003969997113027</v>
      </c>
      <c r="D2431" s="5">
        <f ca="1">S0*EXP((μ-0.5*σ*σ)*T+σ*SQRT(T)*$C2431)</f>
        <v>0.79356863423337487</v>
      </c>
      <c r="E2431" s="5">
        <f ca="1">MAX(0,CP*(D2431-K))</f>
        <v>5.3686342333748582E-3</v>
      </c>
      <c r="F2431" s="4">
        <f ca="1">(CP*(D2431-K)&gt;0)*1</f>
        <v>1</v>
      </c>
      <c r="H2431" s="4">
        <v>2416</v>
      </c>
      <c r="I2431" s="3">
        <v>0.66775575534678933</v>
      </c>
      <c r="J2431" s="128">
        <v>1.446956486109389E-3</v>
      </c>
      <c r="K2431" s="128"/>
      <c r="L2431" s="128">
        <v>4.4200000000000003E-2</v>
      </c>
      <c r="O2431" s="2"/>
    </row>
    <row r="2432" spans="2:15" x14ac:dyDescent="0.2">
      <c r="B2432" s="1">
        <v>2417</v>
      </c>
      <c r="C2432" s="5">
        <f ca="1">_xlfn.NORM.S.INV(RAND())</f>
        <v>1.5185523511750814</v>
      </c>
      <c r="D2432" s="5">
        <f ca="1">S0*EXP((μ-0.5*σ*σ)*T+σ*SQRT(T)*$C2432)</f>
        <v>0.77182178971181792</v>
      </c>
      <c r="E2432" s="5">
        <f ca="1">MAX(0,CP*(D2432-K))</f>
        <v>0</v>
      </c>
      <c r="F2432" s="4">
        <f ca="1">(CP*(D2432-K)&gt;0)*1</f>
        <v>0</v>
      </c>
      <c r="H2432" s="4">
        <v>2417</v>
      </c>
      <c r="I2432" s="3">
        <v>0.667924174645809</v>
      </c>
      <c r="J2432" s="128">
        <v>1.4310943606543848E-3</v>
      </c>
      <c r="K2432" s="128"/>
      <c r="L2432" s="128">
        <v>4.3400000000000001E-2</v>
      </c>
      <c r="O2432" s="2"/>
    </row>
    <row r="2433" spans="2:15" x14ac:dyDescent="0.2">
      <c r="B2433" s="1">
        <v>2418</v>
      </c>
      <c r="C2433" s="5">
        <f ca="1">_xlfn.NORM.S.INV(RAND())</f>
        <v>-0.74719184617658119</v>
      </c>
      <c r="D2433" s="5">
        <f ca="1">S0*EXP((μ-0.5*σ*σ)*T+σ*SQRT(T)*$C2433)</f>
        <v>0.61731516362548111</v>
      </c>
      <c r="E2433" s="5">
        <f ca="1">MAX(0,CP*(D2433-K))</f>
        <v>0</v>
      </c>
      <c r="F2433" s="4">
        <f ca="1">(CP*(D2433-K)&gt;0)*1</f>
        <v>0</v>
      </c>
      <c r="H2433" s="4">
        <v>2418</v>
      </c>
      <c r="I2433" s="3">
        <v>0.66788607047518622</v>
      </c>
      <c r="J2433" s="128">
        <v>1.5439303250948475E-3</v>
      </c>
      <c r="K2433" s="128"/>
      <c r="L2433" s="128">
        <v>4.2999999999999997E-2</v>
      </c>
      <c r="O2433" s="2"/>
    </row>
    <row r="2434" spans="2:15" x14ac:dyDescent="0.2">
      <c r="B2434" s="1">
        <v>2419</v>
      </c>
      <c r="C2434" s="5">
        <f ca="1">_xlfn.NORM.S.INV(RAND())</f>
        <v>-0.44327833656340415</v>
      </c>
      <c r="D2434" s="5">
        <f ca="1">S0*EXP((μ-0.5*σ*σ)*T+σ*SQRT(T)*$C2434)</f>
        <v>0.63609107798495235</v>
      </c>
      <c r="E2434" s="5">
        <f ca="1">MAX(0,CP*(D2434-K))</f>
        <v>0</v>
      </c>
      <c r="F2434" s="4">
        <f ca="1">(CP*(D2434-K)&gt;0)*1</f>
        <v>0</v>
      </c>
      <c r="H2434" s="4">
        <v>2419</v>
      </c>
      <c r="I2434" s="3">
        <v>0.667837121847773</v>
      </c>
      <c r="J2434" s="128">
        <v>1.4757572951251748E-3</v>
      </c>
      <c r="K2434" s="128"/>
      <c r="L2434" s="128">
        <v>4.3999999999999997E-2</v>
      </c>
      <c r="O2434" s="2"/>
    </row>
    <row r="2435" spans="2:15" x14ac:dyDescent="0.2">
      <c r="B2435" s="1">
        <v>2420</v>
      </c>
      <c r="C2435" s="5">
        <f ca="1">_xlfn.NORM.S.INV(RAND())</f>
        <v>-0.52955910744630785</v>
      </c>
      <c r="D2435" s="5">
        <f ca="1">S0*EXP((μ-0.5*σ*σ)*T+σ*SQRT(T)*$C2435)</f>
        <v>0.6307033054492045</v>
      </c>
      <c r="E2435" s="5">
        <f ca="1">MAX(0,CP*(D2435-K))</f>
        <v>0</v>
      </c>
      <c r="F2435" s="4">
        <f ca="1">(CP*(D2435-K)&gt;0)*1</f>
        <v>0</v>
      </c>
      <c r="H2435" s="4">
        <v>2420</v>
      </c>
      <c r="I2435" s="3">
        <v>0.66790868912903067</v>
      </c>
      <c r="J2435" s="128">
        <v>1.4199692686976181E-3</v>
      </c>
      <c r="K2435" s="128"/>
      <c r="L2435" s="128">
        <v>4.2999999999999997E-2</v>
      </c>
      <c r="O2435" s="2"/>
    </row>
    <row r="2436" spans="2:15" x14ac:dyDescent="0.2">
      <c r="B2436" s="1">
        <v>2421</v>
      </c>
      <c r="C2436" s="5">
        <f ca="1">_xlfn.NORM.S.INV(RAND())</f>
        <v>-1.9747898436811271</v>
      </c>
      <c r="D2436" s="5">
        <f ca="1">S0*EXP((μ-0.5*σ*σ)*T+σ*SQRT(T)*$C2436)</f>
        <v>0.54694809800190791</v>
      </c>
      <c r="E2436" s="5">
        <f ca="1">MAX(0,CP*(D2436-K))</f>
        <v>0</v>
      </c>
      <c r="F2436" s="4">
        <f ca="1">(CP*(D2436-K)&gt;0)*1</f>
        <v>0</v>
      </c>
      <c r="H2436" s="4">
        <v>2421</v>
      </c>
      <c r="I2436" s="3">
        <v>0.66769495084789809</v>
      </c>
      <c r="J2436" s="128">
        <v>1.1953884868385811E-3</v>
      </c>
      <c r="K2436" s="128"/>
      <c r="L2436" s="128">
        <v>4.0399999999999998E-2</v>
      </c>
      <c r="O2436" s="2"/>
    </row>
    <row r="2437" spans="2:15" x14ac:dyDescent="0.2">
      <c r="B2437" s="1">
        <v>2422</v>
      </c>
      <c r="C2437" s="5">
        <f ca="1">_xlfn.NORM.S.INV(RAND())</f>
        <v>-0.290962941969096</v>
      </c>
      <c r="D2437" s="5">
        <f ca="1">S0*EXP((μ-0.5*σ*σ)*T+σ*SQRT(T)*$C2437)</f>
        <v>0.64571494631339521</v>
      </c>
      <c r="E2437" s="5">
        <f ca="1">MAX(0,CP*(D2437-K))</f>
        <v>0</v>
      </c>
      <c r="F2437" s="4">
        <f ca="1">(CP*(D2437-K)&gt;0)*1</f>
        <v>0</v>
      </c>
      <c r="H2437" s="4">
        <v>2422</v>
      </c>
      <c r="I2437" s="3">
        <v>0.66780215825379297</v>
      </c>
      <c r="J2437" s="128">
        <v>1.4573046758708324E-3</v>
      </c>
      <c r="K2437" s="128"/>
      <c r="L2437" s="128">
        <v>4.3999999999999997E-2</v>
      </c>
      <c r="O2437" s="2"/>
    </row>
    <row r="2438" spans="2:15" x14ac:dyDescent="0.2">
      <c r="B2438" s="1">
        <v>2423</v>
      </c>
      <c r="C2438" s="5">
        <f ca="1">_xlfn.NORM.S.INV(RAND())</f>
        <v>-0.32053907112957319</v>
      </c>
      <c r="D2438" s="5">
        <f ca="1">S0*EXP((μ-0.5*σ*σ)*T+σ*SQRT(T)*$C2438)</f>
        <v>0.64383488989578974</v>
      </c>
      <c r="E2438" s="5">
        <f ca="1">MAX(0,CP*(D2438-K))</f>
        <v>0</v>
      </c>
      <c r="F2438" s="4">
        <f ca="1">(CP*(D2438-K)&gt;0)*1</f>
        <v>0</v>
      </c>
      <c r="H2438" s="4">
        <v>2423</v>
      </c>
      <c r="I2438" s="3">
        <v>0.66768913208553449</v>
      </c>
      <c r="J2438" s="128">
        <v>1.3038356652879625E-3</v>
      </c>
      <c r="K2438" s="128"/>
      <c r="L2438" s="128">
        <v>3.8399999999999997E-2</v>
      </c>
      <c r="O2438" s="2"/>
    </row>
    <row r="2439" spans="2:15" x14ac:dyDescent="0.2">
      <c r="B2439" s="1">
        <v>2424</v>
      </c>
      <c r="C2439" s="5">
        <f ca="1">_xlfn.NORM.S.INV(RAND())</f>
        <v>-1.6587815160712185</v>
      </c>
      <c r="D2439" s="5">
        <f ca="1">S0*EXP((μ-0.5*σ*σ)*T+σ*SQRT(T)*$C2439)</f>
        <v>0.56425618355732343</v>
      </c>
      <c r="E2439" s="5">
        <f ca="1">MAX(0,CP*(D2439-K))</f>
        <v>0</v>
      </c>
      <c r="F2439" s="4">
        <f ca="1">(CP*(D2439-K)&gt;0)*1</f>
        <v>0</v>
      </c>
      <c r="H2439" s="4">
        <v>2424</v>
      </c>
      <c r="I2439" s="3">
        <v>0.66777506752687066</v>
      </c>
      <c r="J2439" s="128">
        <v>1.3144748028441797E-3</v>
      </c>
      <c r="K2439" s="128"/>
      <c r="L2439" s="128">
        <v>4.3200000000000002E-2</v>
      </c>
      <c r="O2439" s="2"/>
    </row>
    <row r="2440" spans="2:15" x14ac:dyDescent="0.2">
      <c r="B2440" s="1">
        <v>2425</v>
      </c>
      <c r="C2440" s="5">
        <f ca="1">_xlfn.NORM.S.INV(RAND())</f>
        <v>-0.16091595903531089</v>
      </c>
      <c r="D2440" s="5">
        <f ca="1">S0*EXP((μ-0.5*σ*σ)*T+σ*SQRT(T)*$C2440)</f>
        <v>0.65404695781323452</v>
      </c>
      <c r="E2440" s="5">
        <f ca="1">MAX(0,CP*(D2440-K))</f>
        <v>0</v>
      </c>
      <c r="F2440" s="4">
        <f ca="1">(CP*(D2440-K)&gt;0)*1</f>
        <v>0</v>
      </c>
      <c r="H2440" s="4">
        <v>2425</v>
      </c>
      <c r="I2440" s="3">
        <v>0.66775469775934115</v>
      </c>
      <c r="J2440" s="128">
        <v>1.3359469501173435E-3</v>
      </c>
      <c r="K2440" s="128"/>
      <c r="L2440" s="128">
        <v>4.2000000000000003E-2</v>
      </c>
      <c r="O2440" s="2"/>
    </row>
    <row r="2441" spans="2:15" x14ac:dyDescent="0.2">
      <c r="B2441" s="1">
        <v>2426</v>
      </c>
      <c r="C2441" s="5">
        <f ca="1">_xlfn.NORM.S.INV(RAND())</f>
        <v>-1.1854012789457993</v>
      </c>
      <c r="D2441" s="5">
        <f ca="1">S0*EXP((μ-0.5*σ*σ)*T+σ*SQRT(T)*$C2441)</f>
        <v>0.59121381337470802</v>
      </c>
      <c r="E2441" s="5">
        <f ca="1">MAX(0,CP*(D2441-K))</f>
        <v>0</v>
      </c>
      <c r="F2441" s="4">
        <f ca="1">(CP*(D2441-K)&gt;0)*1</f>
        <v>0</v>
      </c>
      <c r="H2441" s="4">
        <v>2426</v>
      </c>
      <c r="I2441" s="3">
        <v>0.66773268385491824</v>
      </c>
      <c r="J2441" s="128">
        <v>1.2171430700572041E-3</v>
      </c>
      <c r="K2441" s="128"/>
      <c r="L2441" s="128">
        <v>4.1799999999999997E-2</v>
      </c>
      <c r="O2441" s="2"/>
    </row>
    <row r="2442" spans="2:15" x14ac:dyDescent="0.2">
      <c r="B2442" s="1">
        <v>2427</v>
      </c>
      <c r="C2442" s="5">
        <f ca="1">_xlfn.NORM.S.INV(RAND())</f>
        <v>0.87229419575530209</v>
      </c>
      <c r="D2442" s="5">
        <f ca="1">S0*EXP((μ-0.5*σ*σ)*T+σ*SQRT(T)*$C2442)</f>
        <v>0.72418053909506575</v>
      </c>
      <c r="E2442" s="5">
        <f ca="1">MAX(0,CP*(D2442-K))</f>
        <v>0</v>
      </c>
      <c r="F2442" s="4">
        <f ca="1">(CP*(D2442-K)&gt;0)*1</f>
        <v>0</v>
      </c>
      <c r="H2442" s="4">
        <v>2427</v>
      </c>
      <c r="I2442" s="3">
        <v>0.66766990564195505</v>
      </c>
      <c r="J2442" s="128">
        <v>1.3620661289369073E-3</v>
      </c>
      <c r="K2442" s="128"/>
      <c r="L2442" s="128">
        <v>3.9E-2</v>
      </c>
      <c r="O2442" s="2"/>
    </row>
    <row r="2443" spans="2:15" x14ac:dyDescent="0.2">
      <c r="B2443" s="1">
        <v>2428</v>
      </c>
      <c r="C2443" s="5">
        <f ca="1">_xlfn.NORM.S.INV(RAND())</f>
        <v>-4.928363944295383E-2</v>
      </c>
      <c r="D2443" s="5">
        <f ca="1">S0*EXP((μ-0.5*σ*σ)*T+σ*SQRT(T)*$C2443)</f>
        <v>0.66128485843144302</v>
      </c>
      <c r="E2443" s="5">
        <f ca="1">MAX(0,CP*(D2443-K))</f>
        <v>0</v>
      </c>
      <c r="F2443" s="4">
        <f ca="1">(CP*(D2443-K)&gt;0)*1</f>
        <v>0</v>
      </c>
      <c r="H2443" s="4">
        <v>2428</v>
      </c>
      <c r="I2443" s="3">
        <v>0.66756084493475232</v>
      </c>
      <c r="J2443" s="128">
        <v>9.9214450525994969E-4</v>
      </c>
      <c r="K2443" s="128"/>
      <c r="L2443" s="128">
        <v>3.8600000000000002E-2</v>
      </c>
      <c r="O2443" s="2"/>
    </row>
    <row r="2444" spans="2:15" x14ac:dyDescent="0.2">
      <c r="B2444" s="1">
        <v>2429</v>
      </c>
      <c r="C2444" s="5">
        <f ca="1">_xlfn.NORM.S.INV(RAND())</f>
        <v>-1.1438180071256889</v>
      </c>
      <c r="D2444" s="5">
        <f ca="1">S0*EXP((μ-0.5*σ*σ)*T+σ*SQRT(T)*$C2444)</f>
        <v>0.5936425223005749</v>
      </c>
      <c r="E2444" s="5">
        <f ca="1">MAX(0,CP*(D2444-K))</f>
        <v>0</v>
      </c>
      <c r="F2444" s="4">
        <f ca="1">(CP*(D2444-K)&gt;0)*1</f>
        <v>0</v>
      </c>
      <c r="H2444" s="4">
        <v>2429</v>
      </c>
      <c r="I2444" s="3">
        <v>0.66780268955890221</v>
      </c>
      <c r="J2444" s="128">
        <v>1.3151637519853922E-3</v>
      </c>
      <c r="K2444" s="128"/>
      <c r="L2444" s="128">
        <v>3.9800000000000002E-2</v>
      </c>
      <c r="O2444" s="2"/>
    </row>
    <row r="2445" spans="2:15" x14ac:dyDescent="0.2">
      <c r="B2445" s="1">
        <v>2430</v>
      </c>
      <c r="C2445" s="5">
        <f ca="1">_xlfn.NORM.S.INV(RAND())</f>
        <v>-0.96719715974427312</v>
      </c>
      <c r="D2445" s="5">
        <f ca="1">S0*EXP((μ-0.5*σ*σ)*T+σ*SQRT(T)*$C2445)</f>
        <v>0.60406990400045446</v>
      </c>
      <c r="E2445" s="5">
        <f ca="1">MAX(0,CP*(D2445-K))</f>
        <v>0</v>
      </c>
      <c r="F2445" s="4">
        <f ca="1">(CP*(D2445-K)&gt;0)*1</f>
        <v>0</v>
      </c>
      <c r="H2445" s="4">
        <v>2430</v>
      </c>
      <c r="I2445" s="3">
        <v>0.66767496771343826</v>
      </c>
      <c r="J2445" s="128">
        <v>1.4461806148231924E-3</v>
      </c>
      <c r="K2445" s="128"/>
      <c r="L2445" s="128">
        <v>3.7600000000000001E-2</v>
      </c>
      <c r="O2445" s="2"/>
    </row>
    <row r="2446" spans="2:15" x14ac:dyDescent="0.2">
      <c r="B2446" s="1">
        <v>2431</v>
      </c>
      <c r="C2446" s="5">
        <f ca="1">_xlfn.NORM.S.INV(RAND())</f>
        <v>0.9685721733386734</v>
      </c>
      <c r="D2446" s="5">
        <f ca="1">S0*EXP((μ-0.5*σ*σ)*T+σ*SQRT(T)*$C2446)</f>
        <v>0.73108704326338336</v>
      </c>
      <c r="E2446" s="5">
        <f ca="1">MAX(0,CP*(D2446-K))</f>
        <v>0</v>
      </c>
      <c r="F2446" s="4">
        <f ca="1">(CP*(D2446-K)&gt;0)*1</f>
        <v>0</v>
      </c>
      <c r="H2446" s="4">
        <v>2431</v>
      </c>
      <c r="I2446" s="3">
        <v>0.66770088739126721</v>
      </c>
      <c r="J2446" s="128">
        <v>1.4361164985158797E-3</v>
      </c>
      <c r="K2446" s="128"/>
      <c r="L2446" s="128">
        <v>4.4400000000000002E-2</v>
      </c>
      <c r="O2446" s="2"/>
    </row>
    <row r="2447" spans="2:15" x14ac:dyDescent="0.2">
      <c r="B2447" s="1">
        <v>2432</v>
      </c>
      <c r="C2447" s="5">
        <f ca="1">_xlfn.NORM.S.INV(RAND())</f>
        <v>-0.44298198123393595</v>
      </c>
      <c r="D2447" s="5">
        <f ca="1">S0*EXP((μ-0.5*σ*σ)*T+σ*SQRT(T)*$C2447)</f>
        <v>0.63610966287990722</v>
      </c>
      <c r="E2447" s="5">
        <f ca="1">MAX(0,CP*(D2447-K))</f>
        <v>0</v>
      </c>
      <c r="F2447" s="4">
        <f ca="1">(CP*(D2447-K)&gt;0)*1</f>
        <v>0</v>
      </c>
      <c r="H2447" s="4">
        <v>2432</v>
      </c>
      <c r="I2447" s="3">
        <v>0.66784624840484141</v>
      </c>
      <c r="J2447" s="128">
        <v>1.6326107261032483E-3</v>
      </c>
      <c r="K2447" s="128"/>
      <c r="L2447" s="128">
        <v>4.5999999999999999E-2</v>
      </c>
      <c r="O2447" s="2"/>
    </row>
    <row r="2448" spans="2:15" x14ac:dyDescent="0.2">
      <c r="B2448" s="1">
        <v>2433</v>
      </c>
      <c r="C2448" s="5">
        <f ca="1">_xlfn.NORM.S.INV(RAND())</f>
        <v>-3.0883192311565208</v>
      </c>
      <c r="D2448" s="5">
        <f ca="1">S0*EXP((μ-0.5*σ*σ)*T+σ*SQRT(T)*$C2448)</f>
        <v>0.4900825607811537</v>
      </c>
      <c r="E2448" s="5">
        <f ca="1">MAX(0,CP*(D2448-K))</f>
        <v>0</v>
      </c>
      <c r="F2448" s="4">
        <f ca="1">(CP*(D2448-K)&gt;0)*1</f>
        <v>0</v>
      </c>
      <c r="H2448" s="4">
        <v>2433</v>
      </c>
      <c r="I2448" s="3">
        <v>0.66783371452936602</v>
      </c>
      <c r="J2448" s="128">
        <v>1.5230155954019441E-3</v>
      </c>
      <c r="K2448" s="128"/>
      <c r="L2448" s="128">
        <v>4.3400000000000001E-2</v>
      </c>
      <c r="O2448" s="2"/>
    </row>
    <row r="2449" spans="2:15" x14ac:dyDescent="0.2">
      <c r="B2449" s="1">
        <v>2434</v>
      </c>
      <c r="C2449" s="5">
        <f ca="1">_xlfn.NORM.S.INV(RAND())</f>
        <v>0.61830990190660895</v>
      </c>
      <c r="D2449" s="5">
        <f ca="1">S0*EXP((μ-0.5*σ*σ)*T+σ*SQRT(T)*$C2449)</f>
        <v>0.70627244028152625</v>
      </c>
      <c r="E2449" s="5">
        <f ca="1">MAX(0,CP*(D2449-K))</f>
        <v>0</v>
      </c>
      <c r="F2449" s="4">
        <f ca="1">(CP*(D2449-K)&gt;0)*1</f>
        <v>0</v>
      </c>
      <c r="H2449" s="4">
        <v>2434</v>
      </c>
      <c r="I2449" s="3">
        <v>0.66757466328725024</v>
      </c>
      <c r="J2449" s="128">
        <v>1.1755864092904613E-3</v>
      </c>
      <c r="K2449" s="128"/>
      <c r="L2449" s="128">
        <v>3.6400000000000002E-2</v>
      </c>
      <c r="O2449" s="2"/>
    </row>
    <row r="2450" spans="2:15" x14ac:dyDescent="0.2">
      <c r="B2450" s="1">
        <v>2435</v>
      </c>
      <c r="C2450" s="5">
        <f ca="1">_xlfn.NORM.S.INV(RAND())</f>
        <v>0.37658519637717447</v>
      </c>
      <c r="D2450" s="5">
        <f ca="1">S0*EXP((μ-0.5*σ*σ)*T+σ*SQRT(T)*$C2450)</f>
        <v>0.68964021130963804</v>
      </c>
      <c r="E2450" s="5">
        <f ca="1">MAX(0,CP*(D2450-K))</f>
        <v>0</v>
      </c>
      <c r="F2450" s="4">
        <f ca="1">(CP*(D2450-K)&gt;0)*1</f>
        <v>0</v>
      </c>
      <c r="H2450" s="4">
        <v>2435</v>
      </c>
      <c r="I2450" s="3">
        <v>0.66770531308718128</v>
      </c>
      <c r="J2450" s="128">
        <v>1.3451200570270207E-3</v>
      </c>
      <c r="K2450" s="128"/>
      <c r="L2450" s="128">
        <v>4.0599999999999997E-2</v>
      </c>
      <c r="O2450" s="2"/>
    </row>
    <row r="2451" spans="2:15" x14ac:dyDescent="0.2">
      <c r="B2451" s="1">
        <v>2436</v>
      </c>
      <c r="C2451" s="5">
        <f ca="1">_xlfn.NORM.S.INV(RAND())</f>
        <v>-1.1947761960626133</v>
      </c>
      <c r="D2451" s="5">
        <f ca="1">S0*EXP((μ-0.5*σ*σ)*T+σ*SQRT(T)*$C2451)</f>
        <v>0.59066763682803591</v>
      </c>
      <c r="E2451" s="5">
        <f ca="1">MAX(0,CP*(D2451-K))</f>
        <v>0</v>
      </c>
      <c r="F2451" s="4">
        <f ca="1">(CP*(D2451-K)&gt;0)*1</f>
        <v>0</v>
      </c>
      <c r="H2451" s="4">
        <v>2436</v>
      </c>
      <c r="I2451" s="3">
        <v>0.6677017720949352</v>
      </c>
      <c r="J2451" s="128">
        <v>1.3196271790428453E-3</v>
      </c>
      <c r="K2451" s="128"/>
      <c r="L2451" s="128">
        <v>4.2200000000000001E-2</v>
      </c>
      <c r="O2451" s="2"/>
    </row>
    <row r="2452" spans="2:15" x14ac:dyDescent="0.2">
      <c r="B2452" s="1">
        <v>2437</v>
      </c>
      <c r="C2452" s="5">
        <f ca="1">_xlfn.NORM.S.INV(RAND())</f>
        <v>-0.21064055054951092</v>
      </c>
      <c r="D2452" s="5">
        <f ca="1">S0*EXP((μ-0.5*σ*σ)*T+σ*SQRT(T)*$C2452)</f>
        <v>0.65084852077807853</v>
      </c>
      <c r="E2452" s="5">
        <f ca="1">MAX(0,CP*(D2452-K))</f>
        <v>0</v>
      </c>
      <c r="F2452" s="4">
        <f ca="1">(CP*(D2452-K)&gt;0)*1</f>
        <v>0</v>
      </c>
      <c r="H2452" s="4">
        <v>2437</v>
      </c>
      <c r="I2452" s="3">
        <v>0.66770006778743007</v>
      </c>
      <c r="J2452" s="128">
        <v>1.4093892042834496E-3</v>
      </c>
      <c r="K2452" s="128"/>
      <c r="L2452" s="128">
        <v>4.0800000000000003E-2</v>
      </c>
      <c r="O2452" s="2"/>
    </row>
    <row r="2453" spans="2:15" x14ac:dyDescent="0.2">
      <c r="B2453" s="1">
        <v>2438</v>
      </c>
      <c r="C2453" s="5">
        <f ca="1">_xlfn.NORM.S.INV(RAND())</f>
        <v>0.73982868189731443</v>
      </c>
      <c r="D2453" s="5">
        <f ca="1">S0*EXP((μ-0.5*σ*σ)*T+σ*SQRT(T)*$C2453)</f>
        <v>0.71478463308461659</v>
      </c>
      <c r="E2453" s="5">
        <f ca="1">MAX(0,CP*(D2453-K))</f>
        <v>0</v>
      </c>
      <c r="F2453" s="4">
        <f ca="1">(CP*(D2453-K)&gt;0)*1</f>
        <v>0</v>
      </c>
      <c r="H2453" s="4">
        <v>2438</v>
      </c>
      <c r="I2453" s="3">
        <v>0.66775174717509489</v>
      </c>
      <c r="J2453" s="128">
        <v>1.3774888817968669E-3</v>
      </c>
      <c r="K2453" s="128"/>
      <c r="L2453" s="128">
        <v>4.2599999999999999E-2</v>
      </c>
      <c r="O2453" s="2"/>
    </row>
    <row r="2454" spans="2:15" x14ac:dyDescent="0.2">
      <c r="B2454" s="1">
        <v>2439</v>
      </c>
      <c r="C2454" s="5">
        <f ca="1">_xlfn.NORM.S.INV(RAND())</f>
        <v>1.7624543322889648</v>
      </c>
      <c r="D2454" s="5">
        <f ca="1">S0*EXP((μ-0.5*σ*σ)*T+σ*SQRT(T)*$C2454)</f>
        <v>0.79060569973668537</v>
      </c>
      <c r="E2454" s="5">
        <f ca="1">MAX(0,CP*(D2454-K))</f>
        <v>2.4056997366853627E-3</v>
      </c>
      <c r="F2454" s="4">
        <f ca="1">(CP*(D2454-K)&gt;0)*1</f>
        <v>1</v>
      </c>
      <c r="H2454" s="4">
        <v>2439</v>
      </c>
      <c r="I2454" s="3">
        <v>0.66770693794339908</v>
      </c>
      <c r="J2454" s="128">
        <v>1.3195114514083484E-3</v>
      </c>
      <c r="K2454" s="128"/>
      <c r="L2454" s="128">
        <v>3.8399999999999997E-2</v>
      </c>
      <c r="O2454" s="2"/>
    </row>
    <row r="2455" spans="2:15" x14ac:dyDescent="0.2">
      <c r="B2455" s="1">
        <v>2440</v>
      </c>
      <c r="C2455" s="5">
        <f ca="1">_xlfn.NORM.S.INV(RAND())</f>
        <v>9.5399680231149211E-2</v>
      </c>
      <c r="D2455" s="5">
        <f ca="1">S0*EXP((μ-0.5*σ*σ)*T+σ*SQRT(T)*$C2455)</f>
        <v>0.67078499450537166</v>
      </c>
      <c r="E2455" s="5">
        <f ca="1">MAX(0,CP*(D2455-K))</f>
        <v>0</v>
      </c>
      <c r="F2455" s="4">
        <f ca="1">(CP*(D2455-K)&gt;0)*1</f>
        <v>0</v>
      </c>
      <c r="H2455" s="4">
        <v>2440</v>
      </c>
      <c r="I2455" s="3">
        <v>0.66775523879160481</v>
      </c>
      <c r="J2455" s="128">
        <v>1.3208162283539788E-3</v>
      </c>
      <c r="K2455" s="128"/>
      <c r="L2455" s="128">
        <v>4.2799999999999998E-2</v>
      </c>
      <c r="O2455" s="2"/>
    </row>
    <row r="2456" spans="2:15" x14ac:dyDescent="0.2">
      <c r="B2456" s="1">
        <v>2441</v>
      </c>
      <c r="C2456" s="5">
        <f ca="1">_xlfn.NORM.S.INV(RAND())</f>
        <v>1.0582856834899597</v>
      </c>
      <c r="D2456" s="5">
        <f ca="1">S0*EXP((μ-0.5*σ*σ)*T+σ*SQRT(T)*$C2456)</f>
        <v>0.73758191620065294</v>
      </c>
      <c r="E2456" s="5">
        <f ca="1">MAX(0,CP*(D2456-K))</f>
        <v>0</v>
      </c>
      <c r="F2456" s="4">
        <f ca="1">(CP*(D2456-K)&gt;0)*1</f>
        <v>0</v>
      </c>
      <c r="H2456" s="4">
        <v>2441</v>
      </c>
      <c r="I2456" s="3">
        <v>0.66795488036723927</v>
      </c>
      <c r="J2456" s="128">
        <v>1.6647427574646653E-3</v>
      </c>
      <c r="K2456" s="128"/>
      <c r="L2456" s="128">
        <v>4.3400000000000001E-2</v>
      </c>
      <c r="O2456" s="2"/>
    </row>
    <row r="2457" spans="2:15" x14ac:dyDescent="0.2">
      <c r="B2457" s="1">
        <v>2442</v>
      </c>
      <c r="C2457" s="5">
        <f ca="1">_xlfn.NORM.S.INV(RAND())</f>
        <v>3.8387844818411961E-2</v>
      </c>
      <c r="D2457" s="5">
        <f ca="1">S0*EXP((μ-0.5*σ*σ)*T+σ*SQRT(T)*$C2457)</f>
        <v>0.66702532089032462</v>
      </c>
      <c r="E2457" s="5">
        <f ca="1">MAX(0,CP*(D2457-K))</f>
        <v>0</v>
      </c>
      <c r="F2457" s="4">
        <f ca="1">(CP*(D2457-K)&gt;0)*1</f>
        <v>0</v>
      </c>
      <c r="H2457" s="4">
        <v>2442</v>
      </c>
      <c r="I2457" s="3">
        <v>0.66781867978561882</v>
      </c>
      <c r="J2457" s="128">
        <v>1.355189610007094E-3</v>
      </c>
      <c r="K2457" s="128"/>
      <c r="L2457" s="128">
        <v>4.5999999999999999E-2</v>
      </c>
      <c r="O2457" s="2"/>
    </row>
    <row r="2458" spans="2:15" x14ac:dyDescent="0.2">
      <c r="B2458" s="1">
        <v>2443</v>
      </c>
      <c r="C2458" s="5">
        <f ca="1">_xlfn.NORM.S.INV(RAND())</f>
        <v>-0.92011686668788772</v>
      </c>
      <c r="D2458" s="5">
        <f ca="1">S0*EXP((μ-0.5*σ*σ)*T+σ*SQRT(T)*$C2458)</f>
        <v>0.60688022780137851</v>
      </c>
      <c r="E2458" s="5">
        <f ca="1">MAX(0,CP*(D2458-K))</f>
        <v>0</v>
      </c>
      <c r="F2458" s="4">
        <f ca="1">(CP*(D2458-K)&gt;0)*1</f>
        <v>0</v>
      </c>
      <c r="H2458" s="4">
        <v>2443</v>
      </c>
      <c r="I2458" s="3">
        <v>0.66777852301430451</v>
      </c>
      <c r="J2458" s="128">
        <v>1.4319027022708375E-3</v>
      </c>
      <c r="K2458" s="128"/>
      <c r="L2458" s="128">
        <v>4.2799999999999998E-2</v>
      </c>
      <c r="O2458" s="2"/>
    </row>
    <row r="2459" spans="2:15" x14ac:dyDescent="0.2">
      <c r="B2459" s="1">
        <v>2444</v>
      </c>
      <c r="C2459" s="5">
        <f ca="1">_xlfn.NORM.S.INV(RAND())</f>
        <v>-1.2824999396927048</v>
      </c>
      <c r="D2459" s="5">
        <f ca="1">S0*EXP((μ-0.5*σ*σ)*T+σ*SQRT(T)*$C2459)</f>
        <v>0.58558129647653756</v>
      </c>
      <c r="E2459" s="5">
        <f ca="1">MAX(0,CP*(D2459-K))</f>
        <v>0</v>
      </c>
      <c r="F2459" s="4">
        <f ca="1">(CP*(D2459-K)&gt;0)*1</f>
        <v>0</v>
      </c>
      <c r="H2459" s="4">
        <v>2444</v>
      </c>
      <c r="I2459" s="3">
        <v>0.66772588309227754</v>
      </c>
      <c r="J2459" s="128">
        <v>1.3615763623515905E-3</v>
      </c>
      <c r="K2459" s="128"/>
      <c r="L2459" s="128">
        <v>4.0800000000000003E-2</v>
      </c>
      <c r="O2459" s="2"/>
    </row>
    <row r="2460" spans="2:15" x14ac:dyDescent="0.2">
      <c r="B2460" s="1">
        <v>2445</v>
      </c>
      <c r="C2460" s="5">
        <f ca="1">_xlfn.NORM.S.INV(RAND())</f>
        <v>-1.3615524311012543</v>
      </c>
      <c r="D2460" s="5">
        <f ca="1">S0*EXP((μ-0.5*σ*σ)*T+σ*SQRT(T)*$C2460)</f>
        <v>0.58103525679073609</v>
      </c>
      <c r="E2460" s="5">
        <f ca="1">MAX(0,CP*(D2460-K))</f>
        <v>0</v>
      </c>
      <c r="F2460" s="4">
        <f ca="1">(CP*(D2460-K)&gt;0)*1</f>
        <v>0</v>
      </c>
      <c r="H2460" s="4">
        <v>2445</v>
      </c>
      <c r="I2460" s="3">
        <v>0.66778239213999213</v>
      </c>
      <c r="J2460" s="128">
        <v>1.3479529559205004E-3</v>
      </c>
      <c r="K2460" s="128"/>
      <c r="L2460" s="128">
        <v>4.2200000000000001E-2</v>
      </c>
      <c r="O2460" s="2"/>
    </row>
    <row r="2461" spans="2:15" x14ac:dyDescent="0.2">
      <c r="B2461" s="1">
        <v>2446</v>
      </c>
      <c r="C2461" s="5">
        <f ca="1">_xlfn.NORM.S.INV(RAND())</f>
        <v>-1.7502433721405328</v>
      </c>
      <c r="D2461" s="5">
        <f ca="1">S0*EXP((μ-0.5*σ*σ)*T+σ*SQRT(T)*$C2461)</f>
        <v>0.55919115947945108</v>
      </c>
      <c r="E2461" s="5">
        <f ca="1">MAX(0,CP*(D2461-K))</f>
        <v>0</v>
      </c>
      <c r="F2461" s="4">
        <f ca="1">(CP*(D2461-K)&gt;0)*1</f>
        <v>0</v>
      </c>
      <c r="H2461" s="4">
        <v>2446</v>
      </c>
      <c r="I2461" s="3">
        <v>0.6677031401118656</v>
      </c>
      <c r="J2461" s="128">
        <v>1.2534329321612827E-3</v>
      </c>
      <c r="K2461" s="128"/>
      <c r="L2461" s="128">
        <v>3.8399999999999997E-2</v>
      </c>
      <c r="O2461" s="2"/>
    </row>
    <row r="2462" spans="2:15" x14ac:dyDescent="0.2">
      <c r="B2462" s="1">
        <v>2447</v>
      </c>
      <c r="C2462" s="5">
        <f ca="1">_xlfn.NORM.S.INV(RAND())</f>
        <v>1.0009235986710787</v>
      </c>
      <c r="D2462" s="5">
        <f ca="1">S0*EXP((μ-0.5*σ*σ)*T+σ*SQRT(T)*$C2462)</f>
        <v>0.73342252776958061</v>
      </c>
      <c r="E2462" s="5">
        <f ca="1">MAX(0,CP*(D2462-K))</f>
        <v>0</v>
      </c>
      <c r="F2462" s="4">
        <f ca="1">(CP*(D2462-K)&gt;0)*1</f>
        <v>0</v>
      </c>
      <c r="H2462" s="4">
        <v>2447</v>
      </c>
      <c r="I2462" s="3">
        <v>0.66769601751562513</v>
      </c>
      <c r="J2462" s="128">
        <v>1.3087233315953527E-3</v>
      </c>
      <c r="K2462" s="128"/>
      <c r="L2462" s="128">
        <v>0.04</v>
      </c>
      <c r="O2462" s="2"/>
    </row>
    <row r="2463" spans="2:15" x14ac:dyDescent="0.2">
      <c r="B2463" s="1">
        <v>2448</v>
      </c>
      <c r="C2463" s="5">
        <f ca="1">_xlfn.NORM.S.INV(RAND())</f>
        <v>-1.1078873773264999</v>
      </c>
      <c r="D2463" s="5">
        <f ca="1">S0*EXP((μ-0.5*σ*σ)*T+σ*SQRT(T)*$C2463)</f>
        <v>0.59574911697419564</v>
      </c>
      <c r="E2463" s="5">
        <f ca="1">MAX(0,CP*(D2463-K))</f>
        <v>0</v>
      </c>
      <c r="F2463" s="4">
        <f ca="1">(CP*(D2463-K)&gt;0)*1</f>
        <v>0</v>
      </c>
      <c r="H2463" s="4">
        <v>2448</v>
      </c>
      <c r="I2463" s="3">
        <v>0.66769724711319234</v>
      </c>
      <c r="J2463" s="128">
        <v>1.3050890166662495E-3</v>
      </c>
      <c r="K2463" s="128"/>
      <c r="L2463" s="128">
        <v>4.3400000000000001E-2</v>
      </c>
      <c r="O2463" s="2"/>
    </row>
    <row r="2464" spans="2:15" x14ac:dyDescent="0.2">
      <c r="B2464" s="1">
        <v>2449</v>
      </c>
      <c r="C2464" s="5">
        <f ca="1">_xlfn.NORM.S.INV(RAND())</f>
        <v>1.0486863675182694</v>
      </c>
      <c r="D2464" s="5">
        <f ca="1">S0*EXP((μ-0.5*σ*σ)*T+σ*SQRT(T)*$C2464)</f>
        <v>0.73688421931872405</v>
      </c>
      <c r="E2464" s="5">
        <f ca="1">MAX(0,CP*(D2464-K))</f>
        <v>0</v>
      </c>
      <c r="F2464" s="4">
        <f ca="1">(CP*(D2464-K)&gt;0)*1</f>
        <v>0</v>
      </c>
      <c r="H2464" s="4">
        <v>2449</v>
      </c>
      <c r="I2464" s="3">
        <v>0.66756494506297526</v>
      </c>
      <c r="J2464" s="128">
        <v>1.2046533085498881E-3</v>
      </c>
      <c r="K2464" s="128"/>
      <c r="L2464" s="128">
        <v>3.78E-2</v>
      </c>
      <c r="O2464" s="2"/>
    </row>
    <row r="2465" spans="2:15" x14ac:dyDescent="0.2">
      <c r="B2465" s="1">
        <v>2450</v>
      </c>
      <c r="C2465" s="5">
        <f ca="1">_xlfn.NORM.S.INV(RAND())</f>
        <v>0.68833808759323212</v>
      </c>
      <c r="D2465" s="5">
        <f ca="1">S0*EXP((μ-0.5*σ*σ)*T+σ*SQRT(T)*$C2465)</f>
        <v>0.71116534637517625</v>
      </c>
      <c r="E2465" s="5">
        <f ca="1">MAX(0,CP*(D2465-K))</f>
        <v>0</v>
      </c>
      <c r="F2465" s="4">
        <f ca="1">(CP*(D2465-K)&gt;0)*1</f>
        <v>0</v>
      </c>
      <c r="H2465" s="4">
        <v>2450</v>
      </c>
      <c r="I2465" s="3">
        <v>0.66769043443265963</v>
      </c>
      <c r="J2465" s="128">
        <v>1.3788159845746701E-3</v>
      </c>
      <c r="K2465" s="128"/>
      <c r="L2465" s="128">
        <v>4.2799999999999998E-2</v>
      </c>
      <c r="O2465" s="2"/>
    </row>
    <row r="2466" spans="2:15" x14ac:dyDescent="0.2">
      <c r="B2466" s="1">
        <v>2451</v>
      </c>
      <c r="C2466" s="5">
        <f ca="1">_xlfn.NORM.S.INV(RAND())</f>
        <v>-0.4275824065020547</v>
      </c>
      <c r="D2466" s="5">
        <f ca="1">S0*EXP((μ-0.5*σ*σ)*T+σ*SQRT(T)*$C2466)</f>
        <v>0.63707614128988643</v>
      </c>
      <c r="E2466" s="5">
        <f ca="1">MAX(0,CP*(D2466-K))</f>
        <v>0</v>
      </c>
      <c r="F2466" s="4">
        <f ca="1">(CP*(D2466-K)&gt;0)*1</f>
        <v>0</v>
      </c>
      <c r="H2466" s="4">
        <v>2451</v>
      </c>
      <c r="I2466" s="3">
        <v>0.66777596787808413</v>
      </c>
      <c r="J2466" s="128">
        <v>1.284117525283139E-3</v>
      </c>
      <c r="K2466" s="128"/>
      <c r="L2466" s="128">
        <v>4.0599999999999997E-2</v>
      </c>
      <c r="O2466" s="2"/>
    </row>
    <row r="2467" spans="2:15" x14ac:dyDescent="0.2">
      <c r="B2467" s="1">
        <v>2452</v>
      </c>
      <c r="C2467" s="5">
        <f ca="1">_xlfn.NORM.S.INV(RAND())</f>
        <v>-1.5208150302283616</v>
      </c>
      <c r="D2467" s="5">
        <f ca="1">S0*EXP((μ-0.5*σ*σ)*T+σ*SQRT(T)*$C2467)</f>
        <v>0.57198349798245807</v>
      </c>
      <c r="E2467" s="5">
        <f ca="1">MAX(0,CP*(D2467-K))</f>
        <v>0</v>
      </c>
      <c r="F2467" s="4">
        <f ca="1">(CP*(D2467-K)&gt;0)*1</f>
        <v>0</v>
      </c>
      <c r="H2467" s="4">
        <v>2452</v>
      </c>
      <c r="I2467" s="3">
        <v>0.66782351934988715</v>
      </c>
      <c r="J2467" s="128">
        <v>1.4540423709695173E-3</v>
      </c>
      <c r="K2467" s="128"/>
      <c r="L2467" s="128">
        <v>4.24E-2</v>
      </c>
      <c r="O2467" s="2"/>
    </row>
    <row r="2468" spans="2:15" x14ac:dyDescent="0.2">
      <c r="B2468" s="1">
        <v>2453</v>
      </c>
      <c r="C2468" s="5">
        <f ca="1">_xlfn.NORM.S.INV(RAND())</f>
        <v>-1.8131460266904595</v>
      </c>
      <c r="D2468" s="5">
        <f ca="1">S0*EXP((μ-0.5*σ*σ)*T+σ*SQRT(T)*$C2468)</f>
        <v>0.5557341142076011</v>
      </c>
      <c r="E2468" s="5">
        <f ca="1">MAX(0,CP*(D2468-K))</f>
        <v>0</v>
      </c>
      <c r="F2468" s="4">
        <f ca="1">(CP*(D2468-K)&gt;0)*1</f>
        <v>0</v>
      </c>
      <c r="H2468" s="4">
        <v>2453</v>
      </c>
      <c r="I2468" s="3">
        <v>0.66770865772920862</v>
      </c>
      <c r="J2468" s="128">
        <v>1.2896777146370049E-3</v>
      </c>
      <c r="K2468" s="128"/>
      <c r="L2468" s="128">
        <v>4.0399999999999998E-2</v>
      </c>
      <c r="O2468" s="2"/>
    </row>
    <row r="2469" spans="2:15" x14ac:dyDescent="0.2">
      <c r="B2469" s="1">
        <v>2454</v>
      </c>
      <c r="C2469" s="5">
        <f ca="1">_xlfn.NORM.S.INV(RAND())</f>
        <v>1.1672097761496301</v>
      </c>
      <c r="D2469" s="5">
        <f ca="1">S0*EXP((μ-0.5*σ*σ)*T+σ*SQRT(T)*$C2469)</f>
        <v>0.74554515730519821</v>
      </c>
      <c r="E2469" s="5">
        <f ca="1">MAX(0,CP*(D2469-K))</f>
        <v>0</v>
      </c>
      <c r="F2469" s="4">
        <f ca="1">(CP*(D2469-K)&gt;0)*1</f>
        <v>0</v>
      </c>
      <c r="H2469" s="4">
        <v>2454</v>
      </c>
      <c r="I2469" s="3">
        <v>0.66772921394607976</v>
      </c>
      <c r="J2469" s="128">
        <v>1.3398748150687592E-3</v>
      </c>
      <c r="K2469" s="128"/>
      <c r="L2469" s="128">
        <v>4.0399999999999998E-2</v>
      </c>
      <c r="O2469" s="2"/>
    </row>
    <row r="2470" spans="2:15" x14ac:dyDescent="0.2">
      <c r="B2470" s="1">
        <v>2455</v>
      </c>
      <c r="C2470" s="5">
        <f ca="1">_xlfn.NORM.S.INV(RAND())</f>
        <v>-0.18053802445923992</v>
      </c>
      <c r="D2470" s="5">
        <f ca="1">S0*EXP((μ-0.5*σ*σ)*T+σ*SQRT(T)*$C2470)</f>
        <v>0.65278293367195406</v>
      </c>
      <c r="E2470" s="5">
        <f ca="1">MAX(0,CP*(D2470-K))</f>
        <v>0</v>
      </c>
      <c r="F2470" s="4">
        <f ca="1">(CP*(D2470-K)&gt;0)*1</f>
        <v>0</v>
      </c>
      <c r="H2470" s="4">
        <v>2455</v>
      </c>
      <c r="I2470" s="3">
        <v>0.6676453960956511</v>
      </c>
      <c r="J2470" s="128">
        <v>1.3542337827107339E-3</v>
      </c>
      <c r="K2470" s="128"/>
      <c r="L2470" s="128">
        <v>3.8399999999999997E-2</v>
      </c>
      <c r="O2470" s="2"/>
    </row>
    <row r="2471" spans="2:15" x14ac:dyDescent="0.2">
      <c r="B2471" s="1">
        <v>2456</v>
      </c>
      <c r="C2471" s="5">
        <f ca="1">_xlfn.NORM.S.INV(RAND())</f>
        <v>9.5115923381446851E-3</v>
      </c>
      <c r="D2471" s="5">
        <f ca="1">S0*EXP((μ-0.5*σ*σ)*T+σ*SQRT(T)*$C2471)</f>
        <v>0.66512910913177059</v>
      </c>
      <c r="E2471" s="5">
        <f ca="1">MAX(0,CP*(D2471-K))</f>
        <v>0</v>
      </c>
      <c r="F2471" s="4">
        <f ca="1">(CP*(D2471-K)&gt;0)*1</f>
        <v>0</v>
      </c>
      <c r="H2471" s="4">
        <v>2456</v>
      </c>
      <c r="I2471" s="3">
        <v>0.66776844322325246</v>
      </c>
      <c r="J2471" s="128">
        <v>1.3740613718270624E-3</v>
      </c>
      <c r="K2471" s="128"/>
      <c r="L2471" s="128">
        <v>3.9199999999999999E-2</v>
      </c>
      <c r="O2471" s="2"/>
    </row>
    <row r="2472" spans="2:15" x14ac:dyDescent="0.2">
      <c r="B2472" s="1">
        <v>2457</v>
      </c>
      <c r="C2472" s="5">
        <f ca="1">_xlfn.NORM.S.INV(RAND())</f>
        <v>8.561754811690836E-2</v>
      </c>
      <c r="D2472" s="5">
        <f ca="1">S0*EXP((μ-0.5*σ*σ)*T+σ*SQRT(T)*$C2472)</f>
        <v>0.67013840420656456</v>
      </c>
      <c r="E2472" s="5">
        <f ca="1">MAX(0,CP*(D2472-K))</f>
        <v>0</v>
      </c>
      <c r="F2472" s="4">
        <f ca="1">(CP*(D2472-K)&gt;0)*1</f>
        <v>0</v>
      </c>
      <c r="H2472" s="4">
        <v>2457</v>
      </c>
      <c r="I2472" s="3">
        <v>0.66757528941419464</v>
      </c>
      <c r="J2472" s="128">
        <v>1.1362501790718542E-3</v>
      </c>
      <c r="K2472" s="128"/>
      <c r="L2472" s="128">
        <v>3.8600000000000002E-2</v>
      </c>
      <c r="O2472" s="2"/>
    </row>
    <row r="2473" spans="2:15" x14ac:dyDescent="0.2">
      <c r="B2473" s="1">
        <v>2458</v>
      </c>
      <c r="C2473" s="5">
        <f ca="1">_xlfn.NORM.S.INV(RAND())</f>
        <v>-1.7256059506259249</v>
      </c>
      <c r="D2473" s="5">
        <f ca="1">S0*EXP((μ-0.5*σ*σ)*T+σ*SQRT(T)*$C2473)</f>
        <v>0.56055105272212657</v>
      </c>
      <c r="E2473" s="5">
        <f ca="1">MAX(0,CP*(D2473-K))</f>
        <v>0</v>
      </c>
      <c r="F2473" s="4">
        <f ca="1">(CP*(D2473-K)&gt;0)*1</f>
        <v>0</v>
      </c>
      <c r="H2473" s="4">
        <v>2458</v>
      </c>
      <c r="I2473" s="3">
        <v>0.66783511137591101</v>
      </c>
      <c r="J2473" s="128">
        <v>1.404100317410228E-3</v>
      </c>
      <c r="K2473" s="128"/>
      <c r="L2473" s="128">
        <v>4.2999999999999997E-2</v>
      </c>
      <c r="O2473" s="2"/>
    </row>
    <row r="2474" spans="2:15" x14ac:dyDescent="0.2">
      <c r="B2474" s="1">
        <v>2459</v>
      </c>
      <c r="C2474" s="5">
        <f ca="1">_xlfn.NORM.S.INV(RAND())</f>
        <v>1.7404580643064842</v>
      </c>
      <c r="D2474" s="5">
        <f ca="1">S0*EXP((μ-0.5*σ*σ)*T+σ*SQRT(T)*$C2474)</f>
        <v>0.78889308430607075</v>
      </c>
      <c r="E2474" s="5">
        <f ca="1">MAX(0,CP*(D2474-K))</f>
        <v>6.9308430607073479E-4</v>
      </c>
      <c r="F2474" s="4">
        <f ca="1">(CP*(D2474-K)&gt;0)*1</f>
        <v>1</v>
      </c>
      <c r="H2474" s="4">
        <v>2459</v>
      </c>
      <c r="I2474" s="3">
        <v>0.66767875862792336</v>
      </c>
      <c r="J2474" s="128">
        <v>1.2426403517459574E-3</v>
      </c>
      <c r="K2474" s="128"/>
      <c r="L2474" s="128">
        <v>3.9399999999999998E-2</v>
      </c>
      <c r="O2474" s="2"/>
    </row>
    <row r="2475" spans="2:15" x14ac:dyDescent="0.2">
      <c r="B2475" s="1">
        <v>2460</v>
      </c>
      <c r="C2475" s="5">
        <f ca="1">_xlfn.NORM.S.INV(RAND())</f>
        <v>-0.48303614575350395</v>
      </c>
      <c r="D2475" s="5">
        <f ca="1">S0*EXP((μ-0.5*σ*σ)*T+σ*SQRT(T)*$C2475)</f>
        <v>0.63360272141631835</v>
      </c>
      <c r="E2475" s="5">
        <f ca="1">MAX(0,CP*(D2475-K))</f>
        <v>0</v>
      </c>
      <c r="F2475" s="4">
        <f ca="1">(CP*(D2475-K)&gt;0)*1</f>
        <v>0</v>
      </c>
      <c r="H2475" s="4">
        <v>2460</v>
      </c>
      <c r="I2475" s="3">
        <v>0.6678991723295219</v>
      </c>
      <c r="J2475" s="128">
        <v>1.4902664236559366E-3</v>
      </c>
      <c r="K2475" s="128"/>
      <c r="L2475" s="128">
        <v>4.6600000000000003E-2</v>
      </c>
      <c r="O2475" s="2"/>
    </row>
    <row r="2476" spans="2:15" x14ac:dyDescent="0.2">
      <c r="B2476" s="1">
        <v>2461</v>
      </c>
      <c r="C2476" s="5">
        <f ca="1">_xlfn.NORM.S.INV(RAND())</f>
        <v>-1.9505606925682484</v>
      </c>
      <c r="D2476" s="5">
        <f ca="1">S0*EXP((μ-0.5*σ*σ)*T+σ*SQRT(T)*$C2476)</f>
        <v>0.54825614948145396</v>
      </c>
      <c r="E2476" s="5">
        <f ca="1">MAX(0,CP*(D2476-K))</f>
        <v>0</v>
      </c>
      <c r="F2476" s="4">
        <f ca="1">(CP*(D2476-K)&gt;0)*1</f>
        <v>0</v>
      </c>
      <c r="H2476" s="4">
        <v>2461</v>
      </c>
      <c r="I2476" s="3">
        <v>0.66780187845464212</v>
      </c>
      <c r="J2476" s="128">
        <v>1.5909465531248358E-3</v>
      </c>
      <c r="K2476" s="128"/>
      <c r="L2476" s="128">
        <v>4.2000000000000003E-2</v>
      </c>
      <c r="O2476" s="2"/>
    </row>
    <row r="2477" spans="2:15" x14ac:dyDescent="0.2">
      <c r="B2477" s="1">
        <v>2462</v>
      </c>
      <c r="C2477" s="5">
        <f ca="1">_xlfn.NORM.S.INV(RAND())</f>
        <v>1.48780258360548</v>
      </c>
      <c r="D2477" s="5">
        <f ca="1">S0*EXP((μ-0.5*σ*σ)*T+σ*SQRT(T)*$C2477)</f>
        <v>0.76948552274439141</v>
      </c>
      <c r="E2477" s="5">
        <f ca="1">MAX(0,CP*(D2477-K))</f>
        <v>0</v>
      </c>
      <c r="F2477" s="4">
        <f ca="1">(CP*(D2477-K)&gt;0)*1</f>
        <v>0</v>
      </c>
      <c r="H2477" s="4">
        <v>2462</v>
      </c>
      <c r="I2477" s="3">
        <v>0.66773775877962749</v>
      </c>
      <c r="J2477" s="128">
        <v>1.3989417026180754E-3</v>
      </c>
      <c r="K2477" s="128"/>
      <c r="L2477" s="128">
        <v>4.2000000000000003E-2</v>
      </c>
      <c r="O2477" s="2"/>
    </row>
    <row r="2478" spans="2:15" x14ac:dyDescent="0.2">
      <c r="B2478" s="1">
        <v>2463</v>
      </c>
      <c r="C2478" s="5">
        <f ca="1">_xlfn.NORM.S.INV(RAND())</f>
        <v>-0.16729187061931142</v>
      </c>
      <c r="D2478" s="5">
        <f ca="1">S0*EXP((μ-0.5*σ*σ)*T+σ*SQRT(T)*$C2478)</f>
        <v>0.65363596289870496</v>
      </c>
      <c r="E2478" s="5">
        <f ca="1">MAX(0,CP*(D2478-K))</f>
        <v>0</v>
      </c>
      <c r="F2478" s="4">
        <f ca="1">(CP*(D2478-K)&gt;0)*1</f>
        <v>0</v>
      </c>
      <c r="H2478" s="4">
        <v>2463</v>
      </c>
      <c r="I2478" s="3">
        <v>0.66789740563419198</v>
      </c>
      <c r="J2478" s="128">
        <v>1.5037224783614313E-3</v>
      </c>
      <c r="K2478" s="128"/>
      <c r="L2478" s="128">
        <v>4.6399999999999997E-2</v>
      </c>
      <c r="O2478" s="2"/>
    </row>
    <row r="2479" spans="2:15" x14ac:dyDescent="0.2">
      <c r="B2479" s="1">
        <v>2464</v>
      </c>
      <c r="C2479" s="5">
        <f ca="1">_xlfn.NORM.S.INV(RAND())</f>
        <v>0.29177416840801013</v>
      </c>
      <c r="D2479" s="5">
        <f ca="1">S0*EXP((μ-0.5*σ*σ)*T+σ*SQRT(T)*$C2479)</f>
        <v>0.6838979592150064</v>
      </c>
      <c r="E2479" s="5">
        <f ca="1">MAX(0,CP*(D2479-K))</f>
        <v>0</v>
      </c>
      <c r="F2479" s="4">
        <f ca="1">(CP*(D2479-K)&gt;0)*1</f>
        <v>0</v>
      </c>
      <c r="H2479" s="4">
        <v>2464</v>
      </c>
      <c r="I2479" s="3">
        <v>0.66770515588908164</v>
      </c>
      <c r="J2479" s="128">
        <v>1.2934985141559014E-3</v>
      </c>
      <c r="K2479" s="128"/>
      <c r="L2479" s="128">
        <v>4.1599999999999998E-2</v>
      </c>
      <c r="O2479" s="2"/>
    </row>
    <row r="2480" spans="2:15" x14ac:dyDescent="0.2">
      <c r="B2480" s="1">
        <v>2465</v>
      </c>
      <c r="C2480" s="5">
        <f ca="1">_xlfn.NORM.S.INV(RAND())</f>
        <v>1.213039785857003</v>
      </c>
      <c r="D2480" s="5">
        <f ca="1">S0*EXP((μ-0.5*σ*σ)*T+σ*SQRT(T)*$C2480)</f>
        <v>0.74892134918886655</v>
      </c>
      <c r="E2480" s="5">
        <f ca="1">MAX(0,CP*(D2480-K))</f>
        <v>0</v>
      </c>
      <c r="F2480" s="4">
        <f ca="1">(CP*(D2480-K)&gt;0)*1</f>
        <v>0</v>
      </c>
      <c r="H2480" s="4">
        <v>2465</v>
      </c>
      <c r="I2480" s="3">
        <v>0.66775521478926891</v>
      </c>
      <c r="J2480" s="128">
        <v>1.400057867495873E-3</v>
      </c>
      <c r="K2480" s="128"/>
      <c r="L2480" s="128">
        <v>4.2599999999999999E-2</v>
      </c>
      <c r="O2480" s="2"/>
    </row>
    <row r="2481" spans="2:15" x14ac:dyDescent="0.2">
      <c r="B2481" s="1">
        <v>2466</v>
      </c>
      <c r="C2481" s="5">
        <f ca="1">_xlfn.NORM.S.INV(RAND())</f>
        <v>9.3214400338025236E-2</v>
      </c>
      <c r="D2481" s="5">
        <f ca="1">S0*EXP((μ-0.5*σ*σ)*T+σ*SQRT(T)*$C2481)</f>
        <v>0.67064049533701864</v>
      </c>
      <c r="E2481" s="5">
        <f ca="1">MAX(0,CP*(D2481-K))</f>
        <v>0</v>
      </c>
      <c r="F2481" s="4">
        <f ca="1">(CP*(D2481-K)&gt;0)*1</f>
        <v>0</v>
      </c>
      <c r="H2481" s="4">
        <v>2466</v>
      </c>
      <c r="I2481" s="3">
        <v>0.66764576534585229</v>
      </c>
      <c r="J2481" s="128">
        <v>1.1952735726058312E-3</v>
      </c>
      <c r="K2481" s="128"/>
      <c r="L2481" s="128">
        <v>4.1200000000000001E-2</v>
      </c>
      <c r="O2481" s="2"/>
    </row>
    <row r="2482" spans="2:15" x14ac:dyDescent="0.2">
      <c r="B2482" s="1">
        <v>2467</v>
      </c>
      <c r="C2482" s="5">
        <f ca="1">_xlfn.NORM.S.INV(RAND())</f>
        <v>-8.0014040548036999E-2</v>
      </c>
      <c r="D2482" s="5">
        <f ca="1">S0*EXP((μ-0.5*σ*σ)*T+σ*SQRT(T)*$C2482)</f>
        <v>0.65928444013599419</v>
      </c>
      <c r="E2482" s="5">
        <f ca="1">MAX(0,CP*(D2482-K))</f>
        <v>0</v>
      </c>
      <c r="F2482" s="4">
        <f ca="1">(CP*(D2482-K)&gt;0)*1</f>
        <v>0</v>
      </c>
      <c r="H2482" s="4">
        <v>2467</v>
      </c>
      <c r="I2482" s="3">
        <v>0.66763925683437531</v>
      </c>
      <c r="J2482" s="128">
        <v>1.1535166138974741E-3</v>
      </c>
      <c r="K2482" s="128"/>
      <c r="L2482" s="128">
        <v>3.44E-2</v>
      </c>
      <c r="O2482" s="2"/>
    </row>
    <row r="2483" spans="2:15" x14ac:dyDescent="0.2">
      <c r="B2483" s="1">
        <v>2468</v>
      </c>
      <c r="C2483" s="5">
        <f ca="1">_xlfn.NORM.S.INV(RAND())</f>
        <v>0.61475974654051135</v>
      </c>
      <c r="D2483" s="5">
        <f ca="1">S0*EXP((μ-0.5*σ*σ)*T+σ*SQRT(T)*$C2483)</f>
        <v>0.70602528759222227</v>
      </c>
      <c r="E2483" s="5">
        <f ca="1">MAX(0,CP*(D2483-K))</f>
        <v>0</v>
      </c>
      <c r="F2483" s="4">
        <f ca="1">(CP*(D2483-K)&gt;0)*1</f>
        <v>0</v>
      </c>
      <c r="H2483" s="4">
        <v>2468</v>
      </c>
      <c r="I2483" s="3">
        <v>0.66780431736652512</v>
      </c>
      <c r="J2483" s="128">
        <v>1.427202105957995E-3</v>
      </c>
      <c r="K2483" s="128"/>
      <c r="L2483" s="128">
        <v>4.2000000000000003E-2</v>
      </c>
      <c r="O2483" s="2"/>
    </row>
    <row r="2484" spans="2:15" x14ac:dyDescent="0.2">
      <c r="B2484" s="1">
        <v>2469</v>
      </c>
      <c r="C2484" s="5">
        <f ca="1">_xlfn.NORM.S.INV(RAND())</f>
        <v>-1.601323499930758</v>
      </c>
      <c r="D2484" s="5">
        <f ca="1">S0*EXP((μ-0.5*σ*σ)*T+σ*SQRT(T)*$C2484)</f>
        <v>0.56746156203333542</v>
      </c>
      <c r="E2484" s="5">
        <f ca="1">MAX(0,CP*(D2484-K))</f>
        <v>0</v>
      </c>
      <c r="F2484" s="4">
        <f ca="1">(CP*(D2484-K)&gt;0)*1</f>
        <v>0</v>
      </c>
      <c r="H2484" s="4">
        <v>2469</v>
      </c>
      <c r="I2484" s="3">
        <v>0.66777844719315493</v>
      </c>
      <c r="J2484" s="128">
        <v>1.3555566706092924E-3</v>
      </c>
      <c r="K2484" s="128"/>
      <c r="L2484" s="128">
        <v>4.36E-2</v>
      </c>
      <c r="O2484" s="2"/>
    </row>
    <row r="2485" spans="2:15" x14ac:dyDescent="0.2">
      <c r="B2485" s="1">
        <v>2470</v>
      </c>
      <c r="C2485" s="5">
        <f ca="1">_xlfn.NORM.S.INV(RAND())</f>
        <v>1.5328354617929634</v>
      </c>
      <c r="D2485" s="5">
        <f ca="1">S0*EXP((μ-0.5*σ*σ)*T+σ*SQRT(T)*$C2485)</f>
        <v>0.77290938511690521</v>
      </c>
      <c r="E2485" s="5">
        <f ca="1">MAX(0,CP*(D2485-K))</f>
        <v>0</v>
      </c>
      <c r="F2485" s="4">
        <f ca="1">(CP*(D2485-K)&gt;0)*1</f>
        <v>0</v>
      </c>
      <c r="H2485" s="4">
        <v>2470</v>
      </c>
      <c r="I2485" s="3">
        <v>0.66784840154389991</v>
      </c>
      <c r="J2485" s="128">
        <v>1.4413283206000127E-3</v>
      </c>
      <c r="K2485" s="128"/>
      <c r="L2485" s="128">
        <v>4.36E-2</v>
      </c>
      <c r="O2485" s="2"/>
    </row>
    <row r="2486" spans="2:15" x14ac:dyDescent="0.2">
      <c r="B2486" s="1">
        <v>2471</v>
      </c>
      <c r="C2486" s="5">
        <f ca="1">_xlfn.NORM.S.INV(RAND())</f>
        <v>1.2746586216394764</v>
      </c>
      <c r="D2486" s="5">
        <f ca="1">S0*EXP((μ-0.5*σ*σ)*T+σ*SQRT(T)*$C2486)</f>
        <v>0.75348477740933184</v>
      </c>
      <c r="E2486" s="5">
        <f ca="1">MAX(0,CP*(D2486-K))</f>
        <v>0</v>
      </c>
      <c r="F2486" s="4">
        <f ca="1">(CP*(D2486-K)&gt;0)*1</f>
        <v>0</v>
      </c>
      <c r="H2486" s="4">
        <v>2471</v>
      </c>
      <c r="I2486" s="3">
        <v>0.66768034603236914</v>
      </c>
      <c r="J2486" s="128">
        <v>1.1848804678112157E-3</v>
      </c>
      <c r="K2486" s="128"/>
      <c r="L2486" s="128">
        <v>3.8800000000000001E-2</v>
      </c>
      <c r="O2486" s="2"/>
    </row>
    <row r="2487" spans="2:15" x14ac:dyDescent="0.2">
      <c r="B2487" s="1">
        <v>2472</v>
      </c>
      <c r="C2487" s="5">
        <f ca="1">_xlfn.NORM.S.INV(RAND())</f>
        <v>1.5362711851161155</v>
      </c>
      <c r="D2487" s="5">
        <f ca="1">S0*EXP((μ-0.5*σ*σ)*T+σ*SQRT(T)*$C2487)</f>
        <v>0.77317122876220445</v>
      </c>
      <c r="E2487" s="5">
        <f ca="1">MAX(0,CP*(D2487-K))</f>
        <v>0</v>
      </c>
      <c r="F2487" s="4">
        <f ca="1">(CP*(D2487-K)&gt;0)*1</f>
        <v>0</v>
      </c>
      <c r="H2487" s="4">
        <v>2472</v>
      </c>
      <c r="I2487" s="3">
        <v>0.66774579215127494</v>
      </c>
      <c r="J2487" s="128">
        <v>1.4260824420211308E-3</v>
      </c>
      <c r="K2487" s="128"/>
      <c r="L2487" s="128">
        <v>4.2200000000000001E-2</v>
      </c>
      <c r="O2487" s="2"/>
    </row>
    <row r="2488" spans="2:15" x14ac:dyDescent="0.2">
      <c r="B2488" s="1">
        <v>2473</v>
      </c>
      <c r="C2488" s="5">
        <f ca="1">_xlfn.NORM.S.INV(RAND())</f>
        <v>-0.68637524019193197</v>
      </c>
      <c r="D2488" s="5">
        <f ca="1">S0*EXP((μ-0.5*σ*σ)*T+σ*SQRT(T)*$C2488)</f>
        <v>0.62102755245713115</v>
      </c>
      <c r="E2488" s="5">
        <f ca="1">MAX(0,CP*(D2488-K))</f>
        <v>0</v>
      </c>
      <c r="F2488" s="4">
        <f ca="1">(CP*(D2488-K)&gt;0)*1</f>
        <v>0</v>
      </c>
      <c r="H2488" s="4">
        <v>2473</v>
      </c>
      <c r="I2488" s="3">
        <v>0.66775294857782319</v>
      </c>
      <c r="J2488" s="128">
        <v>1.3296597284481338E-3</v>
      </c>
      <c r="K2488" s="128"/>
      <c r="L2488" s="128">
        <v>0.04</v>
      </c>
      <c r="O2488" s="2"/>
    </row>
    <row r="2489" spans="2:15" x14ac:dyDescent="0.2">
      <c r="B2489" s="1">
        <v>2474</v>
      </c>
      <c r="C2489" s="5">
        <f ca="1">_xlfn.NORM.S.INV(RAND())</f>
        <v>0.88174160054977468</v>
      </c>
      <c r="D2489" s="5">
        <f ca="1">S0*EXP((μ-0.5*σ*σ)*T+σ*SQRT(T)*$C2489)</f>
        <v>0.72485535197019291</v>
      </c>
      <c r="E2489" s="5">
        <f ca="1">MAX(0,CP*(D2489-K))</f>
        <v>0</v>
      </c>
      <c r="F2489" s="4">
        <f ca="1">(CP*(D2489-K)&gt;0)*1</f>
        <v>0</v>
      </c>
      <c r="H2489" s="4">
        <v>2474</v>
      </c>
      <c r="I2489" s="3">
        <v>0.66762386120487649</v>
      </c>
      <c r="J2489" s="128">
        <v>1.2430600831105944E-3</v>
      </c>
      <c r="K2489" s="128"/>
      <c r="L2489" s="128">
        <v>0.04</v>
      </c>
      <c r="O2489" s="2"/>
    </row>
    <row r="2490" spans="2:15" x14ac:dyDescent="0.2">
      <c r="B2490" s="1">
        <v>2475</v>
      </c>
      <c r="C2490" s="5">
        <f ca="1">_xlfn.NORM.S.INV(RAND())</f>
        <v>-0.46567142859729399</v>
      </c>
      <c r="D2490" s="5">
        <f ca="1">S0*EXP((μ-0.5*σ*σ)*T+σ*SQRT(T)*$C2490)</f>
        <v>0.63468834248992845</v>
      </c>
      <c r="E2490" s="5">
        <f ca="1">MAX(0,CP*(D2490-K))</f>
        <v>0</v>
      </c>
      <c r="F2490" s="4">
        <f ca="1">(CP*(D2490-K)&gt;0)*1</f>
        <v>0</v>
      </c>
      <c r="H2490" s="4">
        <v>2475</v>
      </c>
      <c r="I2490" s="3">
        <v>0.66770996014909478</v>
      </c>
      <c r="J2490" s="128">
        <v>1.211094094966843E-3</v>
      </c>
      <c r="K2490" s="128"/>
      <c r="L2490" s="128">
        <v>3.9399999999999998E-2</v>
      </c>
      <c r="O2490" s="2"/>
    </row>
    <row r="2491" spans="2:15" x14ac:dyDescent="0.2">
      <c r="B2491" s="1">
        <v>2476</v>
      </c>
      <c r="C2491" s="5">
        <f ca="1">_xlfn.NORM.S.INV(RAND())</f>
        <v>0.53270837040199093</v>
      </c>
      <c r="D2491" s="5">
        <f ca="1">S0*EXP((μ-0.5*σ*σ)*T+σ*SQRT(T)*$C2491)</f>
        <v>0.70033711880754745</v>
      </c>
      <c r="E2491" s="5">
        <f ca="1">MAX(0,CP*(D2491-K))</f>
        <v>0</v>
      </c>
      <c r="F2491" s="4">
        <f ca="1">(CP*(D2491-K)&gt;0)*1</f>
        <v>0</v>
      </c>
      <c r="H2491" s="4">
        <v>2476</v>
      </c>
      <c r="I2491" s="3">
        <v>0.66771832003522291</v>
      </c>
      <c r="J2491" s="128">
        <v>1.3897107511027886E-3</v>
      </c>
      <c r="K2491" s="128"/>
      <c r="L2491" s="128">
        <v>4.2200000000000001E-2</v>
      </c>
      <c r="O2491" s="2"/>
    </row>
    <row r="2492" spans="2:15" x14ac:dyDescent="0.2">
      <c r="B2492" s="1">
        <v>2477</v>
      </c>
      <c r="C2492" s="5">
        <f ca="1">_xlfn.NORM.S.INV(RAND())</f>
        <v>0.53510048034555713</v>
      </c>
      <c r="D2492" s="5">
        <f ca="1">S0*EXP((μ-0.5*σ*σ)*T+σ*SQRT(T)*$C2492)</f>
        <v>0.70050230023442372</v>
      </c>
      <c r="E2492" s="5">
        <f ca="1">MAX(0,CP*(D2492-K))</f>
        <v>0</v>
      </c>
      <c r="F2492" s="4">
        <f ca="1">(CP*(D2492-K)&gt;0)*1</f>
        <v>0</v>
      </c>
      <c r="H2492" s="4">
        <v>2477</v>
      </c>
      <c r="I2492" s="3">
        <v>0.66786564695501904</v>
      </c>
      <c r="J2492" s="128">
        <v>1.5355226803304622E-3</v>
      </c>
      <c r="K2492" s="128"/>
      <c r="L2492" s="128">
        <v>4.6399999999999997E-2</v>
      </c>
      <c r="O2492" s="2"/>
    </row>
    <row r="2493" spans="2:15" x14ac:dyDescent="0.2">
      <c r="B2493" s="1">
        <v>2478</v>
      </c>
      <c r="C2493" s="5">
        <f ca="1">_xlfn.NORM.S.INV(RAND())</f>
        <v>-1.4351360753219555</v>
      </c>
      <c r="D2493" s="5">
        <f ca="1">S0*EXP((μ-0.5*σ*σ)*T+σ*SQRT(T)*$C2493)</f>
        <v>0.57683543200089471</v>
      </c>
      <c r="E2493" s="5">
        <f ca="1">MAX(0,CP*(D2493-K))</f>
        <v>0</v>
      </c>
      <c r="F2493" s="4">
        <f ca="1">(CP*(D2493-K)&gt;0)*1</f>
        <v>0</v>
      </c>
      <c r="H2493" s="4">
        <v>2478</v>
      </c>
      <c r="I2493" s="3">
        <v>0.66761285037211382</v>
      </c>
      <c r="J2493" s="128">
        <v>1.1952858088069311E-3</v>
      </c>
      <c r="K2493" s="128"/>
      <c r="L2493" s="128">
        <v>3.7600000000000001E-2</v>
      </c>
      <c r="O2493" s="2"/>
    </row>
    <row r="2494" spans="2:15" x14ac:dyDescent="0.2">
      <c r="B2494" s="1">
        <v>2479</v>
      </c>
      <c r="C2494" s="5">
        <f ca="1">_xlfn.NORM.S.INV(RAND())</f>
        <v>-0.27630255018730721</v>
      </c>
      <c r="D2494" s="5">
        <f ca="1">S0*EXP((μ-0.5*σ*σ)*T+σ*SQRT(T)*$C2494)</f>
        <v>0.64664889286638183</v>
      </c>
      <c r="E2494" s="5">
        <f ca="1">MAX(0,CP*(D2494-K))</f>
        <v>0</v>
      </c>
      <c r="F2494" s="4">
        <f ca="1">(CP*(D2494-K)&gt;0)*1</f>
        <v>0</v>
      </c>
      <c r="H2494" s="4">
        <v>2479</v>
      </c>
      <c r="I2494" s="3">
        <v>0.66778641840635267</v>
      </c>
      <c r="J2494" s="128">
        <v>1.3815517673363867E-3</v>
      </c>
      <c r="K2494" s="128"/>
      <c r="L2494" s="128">
        <v>3.8199999999999998E-2</v>
      </c>
      <c r="O2494" s="2"/>
    </row>
    <row r="2495" spans="2:15" x14ac:dyDescent="0.2">
      <c r="B2495" s="1">
        <v>2480</v>
      </c>
      <c r="C2495" s="5">
        <f ca="1">_xlfn.NORM.S.INV(RAND())</f>
        <v>1.5586265426341122</v>
      </c>
      <c r="D2495" s="5">
        <f ca="1">S0*EXP((μ-0.5*σ*σ)*T+σ*SQRT(T)*$C2495)</f>
        <v>0.77487714497338056</v>
      </c>
      <c r="E2495" s="5">
        <f ca="1">MAX(0,CP*(D2495-K))</f>
        <v>0</v>
      </c>
      <c r="F2495" s="4">
        <f ca="1">(CP*(D2495-K)&gt;0)*1</f>
        <v>0</v>
      </c>
      <c r="H2495" s="4">
        <v>2480</v>
      </c>
      <c r="I2495" s="3">
        <v>0.66780223977110653</v>
      </c>
      <c r="J2495" s="128">
        <v>1.4378216969634283E-3</v>
      </c>
      <c r="K2495" s="128"/>
      <c r="L2495" s="128">
        <v>4.24E-2</v>
      </c>
      <c r="O2495" s="2"/>
    </row>
    <row r="2496" spans="2:15" x14ac:dyDescent="0.2">
      <c r="B2496" s="1">
        <v>2481</v>
      </c>
      <c r="C2496" s="5">
        <f ca="1">_xlfn.NORM.S.INV(RAND())</f>
        <v>-1.3456868410636809</v>
      </c>
      <c r="D2496" s="5">
        <f ca="1">S0*EXP((μ-0.5*σ*σ)*T+σ*SQRT(T)*$C2496)</f>
        <v>0.58194479328465953</v>
      </c>
      <c r="E2496" s="5">
        <f ca="1">MAX(0,CP*(D2496-K))</f>
        <v>0</v>
      </c>
      <c r="F2496" s="4">
        <f ca="1">(CP*(D2496-K)&gt;0)*1</f>
        <v>0</v>
      </c>
      <c r="H2496" s="4">
        <v>2481</v>
      </c>
      <c r="I2496" s="3">
        <v>0.66759594145384749</v>
      </c>
      <c r="J2496" s="128">
        <v>1.2125891365270202E-3</v>
      </c>
      <c r="K2496" s="128"/>
      <c r="L2496" s="128">
        <v>3.8600000000000002E-2</v>
      </c>
      <c r="O2496" s="2"/>
    </row>
    <row r="2497" spans="2:15" x14ac:dyDescent="0.2">
      <c r="B2497" s="1">
        <v>2482</v>
      </c>
      <c r="C2497" s="5">
        <f ca="1">_xlfn.NORM.S.INV(RAND())</f>
        <v>-1.1986363570701641</v>
      </c>
      <c r="D2497" s="5">
        <f ca="1">S0*EXP((μ-0.5*σ*σ)*T+σ*SQRT(T)*$C2497)</f>
        <v>0.59044289304832098</v>
      </c>
      <c r="E2497" s="5">
        <f ca="1">MAX(0,CP*(D2497-K))</f>
        <v>0</v>
      </c>
      <c r="F2497" s="4">
        <f ca="1">(CP*(D2497-K)&gt;0)*1</f>
        <v>0</v>
      </c>
      <c r="H2497" s="4">
        <v>2482</v>
      </c>
      <c r="I2497" s="3">
        <v>0.66786410718035716</v>
      </c>
      <c r="J2497" s="128">
        <v>1.4082505695424173E-3</v>
      </c>
      <c r="K2497" s="128"/>
      <c r="L2497" s="128">
        <v>4.2000000000000003E-2</v>
      </c>
      <c r="O2497" s="2"/>
    </row>
    <row r="2498" spans="2:15" x14ac:dyDescent="0.2">
      <c r="B2498" s="1">
        <v>2483</v>
      </c>
      <c r="C2498" s="5">
        <f ca="1">_xlfn.NORM.S.INV(RAND())</f>
        <v>0.53742283349373243</v>
      </c>
      <c r="D2498" s="5">
        <f ca="1">S0*EXP((μ-0.5*σ*σ)*T+σ*SQRT(T)*$C2498)</f>
        <v>0.70066270204473491</v>
      </c>
      <c r="E2498" s="5">
        <f ca="1">MAX(0,CP*(D2498-K))</f>
        <v>0</v>
      </c>
      <c r="F2498" s="4">
        <f ca="1">(CP*(D2498-K)&gt;0)*1</f>
        <v>0</v>
      </c>
      <c r="H2498" s="4">
        <v>2483</v>
      </c>
      <c r="I2498" s="3">
        <v>0.66785069801587493</v>
      </c>
      <c r="J2498" s="128">
        <v>1.4935836502335928E-3</v>
      </c>
      <c r="K2498" s="128"/>
      <c r="L2498" s="128">
        <v>4.4200000000000003E-2</v>
      </c>
      <c r="O2498" s="2"/>
    </row>
    <row r="2499" spans="2:15" x14ac:dyDescent="0.2">
      <c r="B2499" s="1">
        <v>2484</v>
      </c>
      <c r="C2499" s="5">
        <f ca="1">_xlfn.NORM.S.INV(RAND())</f>
        <v>0.73681484551691223</v>
      </c>
      <c r="D2499" s="5">
        <f ca="1">S0*EXP((μ-0.5*σ*σ)*T+σ*SQRT(T)*$C2499)</f>
        <v>0.71457228317517174</v>
      </c>
      <c r="E2499" s="5">
        <f ca="1">MAX(0,CP*(D2499-K))</f>
        <v>0</v>
      </c>
      <c r="F2499" s="4">
        <f ca="1">(CP*(D2499-K)&gt;0)*1</f>
        <v>0</v>
      </c>
      <c r="H2499" s="4">
        <v>2484</v>
      </c>
      <c r="I2499" s="3">
        <v>0.66785400920780291</v>
      </c>
      <c r="J2499" s="128">
        <v>1.563361651696641E-3</v>
      </c>
      <c r="K2499" s="128"/>
      <c r="L2499" s="128">
        <v>4.2799999999999998E-2</v>
      </c>
      <c r="O2499" s="2"/>
    </row>
    <row r="2500" spans="2:15" x14ac:dyDescent="0.2">
      <c r="B2500" s="1">
        <v>2485</v>
      </c>
      <c r="C2500" s="5">
        <f ca="1">_xlfn.NORM.S.INV(RAND())</f>
        <v>0.82976130701822881</v>
      </c>
      <c r="D2500" s="5">
        <f ca="1">S0*EXP((μ-0.5*σ*σ)*T+σ*SQRT(T)*$C2500)</f>
        <v>0.72115025584952952</v>
      </c>
      <c r="E2500" s="5">
        <f ca="1">MAX(0,CP*(D2500-K))</f>
        <v>0</v>
      </c>
      <c r="F2500" s="4">
        <f ca="1">(CP*(D2500-K)&gt;0)*1</f>
        <v>0</v>
      </c>
      <c r="H2500" s="4">
        <v>2485</v>
      </c>
      <c r="I2500" s="3">
        <v>0.66782012486189435</v>
      </c>
      <c r="J2500" s="128">
        <v>1.437603844042632E-3</v>
      </c>
      <c r="K2500" s="128"/>
      <c r="L2500" s="128">
        <v>4.3400000000000001E-2</v>
      </c>
      <c r="O2500" s="2"/>
    </row>
    <row r="2501" spans="2:15" x14ac:dyDescent="0.2">
      <c r="B2501" s="1">
        <v>2486</v>
      </c>
      <c r="C2501" s="5">
        <f ca="1">_xlfn.NORM.S.INV(RAND())</f>
        <v>-0.24594212537388094</v>
      </c>
      <c r="D2501" s="5">
        <f ca="1">S0*EXP((μ-0.5*σ*σ)*T+σ*SQRT(T)*$C2501)</f>
        <v>0.64858731437901262</v>
      </c>
      <c r="E2501" s="5">
        <f ca="1">MAX(0,CP*(D2501-K))</f>
        <v>0</v>
      </c>
      <c r="F2501" s="4">
        <f ca="1">(CP*(D2501-K)&gt;0)*1</f>
        <v>0</v>
      </c>
      <c r="H2501" s="4">
        <v>2486</v>
      </c>
      <c r="I2501" s="3">
        <v>0.66776190786450584</v>
      </c>
      <c r="J2501" s="128">
        <v>1.3981253550908101E-3</v>
      </c>
      <c r="K2501" s="128"/>
      <c r="L2501" s="128">
        <v>3.9399999999999998E-2</v>
      </c>
      <c r="O2501" s="2"/>
    </row>
    <row r="2502" spans="2:15" x14ac:dyDescent="0.2">
      <c r="B2502" s="1">
        <v>2487</v>
      </c>
      <c r="C2502" s="5">
        <f ca="1">_xlfn.NORM.S.INV(RAND())</f>
        <v>-0.59727628874958805</v>
      </c>
      <c r="D2502" s="5">
        <f ca="1">S0*EXP((μ-0.5*σ*σ)*T+σ*SQRT(T)*$C2502)</f>
        <v>0.62650671278201686</v>
      </c>
      <c r="E2502" s="5">
        <f ca="1">MAX(0,CP*(D2502-K))</f>
        <v>0</v>
      </c>
      <c r="F2502" s="4">
        <f ca="1">(CP*(D2502-K)&gt;0)*1</f>
        <v>0</v>
      </c>
      <c r="H2502" s="4">
        <v>2487</v>
      </c>
      <c r="I2502" s="3">
        <v>0.66768003308051582</v>
      </c>
      <c r="J2502" s="128">
        <v>1.3287441701118181E-3</v>
      </c>
      <c r="K2502" s="128"/>
      <c r="L2502" s="128">
        <v>4.2200000000000001E-2</v>
      </c>
      <c r="O2502" s="2"/>
    </row>
    <row r="2503" spans="2:15" x14ac:dyDescent="0.2">
      <c r="B2503" s="1">
        <v>2488</v>
      </c>
      <c r="C2503" s="5">
        <f ca="1">_xlfn.NORM.S.INV(RAND())</f>
        <v>-2.1130645257847056</v>
      </c>
      <c r="D2503" s="5">
        <f ca="1">S0*EXP((μ-0.5*σ*σ)*T+σ*SQRT(T)*$C2503)</f>
        <v>0.53954260996885162</v>
      </c>
      <c r="E2503" s="5">
        <f ca="1">MAX(0,CP*(D2503-K))</f>
        <v>0</v>
      </c>
      <c r="F2503" s="4">
        <f ca="1">(CP*(D2503-K)&gt;0)*1</f>
        <v>0</v>
      </c>
      <c r="H2503" s="4">
        <v>2488</v>
      </c>
      <c r="I2503" s="3">
        <v>0.66763640067085295</v>
      </c>
      <c r="J2503" s="128">
        <v>1.303177716717889E-3</v>
      </c>
      <c r="K2503" s="128"/>
      <c r="L2503" s="128">
        <v>0.04</v>
      </c>
      <c r="O2503" s="2"/>
    </row>
    <row r="2504" spans="2:15" x14ac:dyDescent="0.2">
      <c r="B2504" s="1">
        <v>2489</v>
      </c>
      <c r="C2504" s="5">
        <f ca="1">_xlfn.NORM.S.INV(RAND())</f>
        <v>1.7827035275716931</v>
      </c>
      <c r="D2504" s="5">
        <f ca="1">S0*EXP((μ-0.5*σ*σ)*T+σ*SQRT(T)*$C2504)</f>
        <v>0.79218557571975023</v>
      </c>
      <c r="E2504" s="5">
        <f ca="1">MAX(0,CP*(D2504-K))</f>
        <v>3.9855757197502228E-3</v>
      </c>
      <c r="F2504" s="4">
        <f ca="1">(CP*(D2504-K)&gt;0)*1</f>
        <v>1</v>
      </c>
      <c r="H2504" s="4">
        <v>2489</v>
      </c>
      <c r="I2504" s="3">
        <v>0.6677240820025494</v>
      </c>
      <c r="J2504" s="128">
        <v>1.3036815466035473E-3</v>
      </c>
      <c r="K2504" s="128"/>
      <c r="L2504" s="128">
        <v>3.9800000000000002E-2</v>
      </c>
      <c r="O2504" s="2"/>
    </row>
    <row r="2505" spans="2:15" x14ac:dyDescent="0.2">
      <c r="B2505" s="1">
        <v>2490</v>
      </c>
      <c r="C2505" s="5">
        <f ca="1">_xlfn.NORM.S.INV(RAND())</f>
        <v>-0.69170336175745184</v>
      </c>
      <c r="D2505" s="5">
        <f ca="1">S0*EXP((μ-0.5*σ*σ)*T+σ*SQRT(T)*$C2505)</f>
        <v>0.62070142102717796</v>
      </c>
      <c r="E2505" s="5">
        <f ca="1">MAX(0,CP*(D2505-K))</f>
        <v>0</v>
      </c>
      <c r="F2505" s="4">
        <f ca="1">(CP*(D2505-K)&gt;0)*1</f>
        <v>0</v>
      </c>
      <c r="H2505" s="4">
        <v>2490</v>
      </c>
      <c r="I2505" s="3">
        <v>0.66778532109324118</v>
      </c>
      <c r="J2505" s="128">
        <v>1.4906912580981199E-3</v>
      </c>
      <c r="K2505" s="128"/>
      <c r="L2505" s="128">
        <v>4.3200000000000002E-2</v>
      </c>
      <c r="O2505" s="2"/>
    </row>
    <row r="2506" spans="2:15" x14ac:dyDescent="0.2">
      <c r="B2506" s="1">
        <v>2491</v>
      </c>
      <c r="C2506" s="5">
        <f ca="1">_xlfn.NORM.S.INV(RAND())</f>
        <v>-1.8225636627263375</v>
      </c>
      <c r="D2506" s="5">
        <f ca="1">S0*EXP((μ-0.5*σ*σ)*T+σ*SQRT(T)*$C2506)</f>
        <v>0.5552183762657712</v>
      </c>
      <c r="E2506" s="5">
        <f ca="1">MAX(0,CP*(D2506-K))</f>
        <v>0</v>
      </c>
      <c r="F2506" s="4">
        <f ca="1">(CP*(D2506-K)&gt;0)*1</f>
        <v>0</v>
      </c>
      <c r="H2506" s="4">
        <v>2491</v>
      </c>
      <c r="I2506" s="3">
        <v>0.66775567001291625</v>
      </c>
      <c r="J2506" s="128">
        <v>1.3873678618605088E-3</v>
      </c>
      <c r="K2506" s="128"/>
      <c r="L2506" s="128">
        <v>4.1399999999999999E-2</v>
      </c>
      <c r="O2506" s="2"/>
    </row>
    <row r="2507" spans="2:15" x14ac:dyDescent="0.2">
      <c r="B2507" s="1">
        <v>2492</v>
      </c>
      <c r="C2507" s="5">
        <f ca="1">_xlfn.NORM.S.INV(RAND())</f>
        <v>0.15444891255833337</v>
      </c>
      <c r="D2507" s="5">
        <f ca="1">S0*EXP((μ-0.5*σ*σ)*T+σ*SQRT(T)*$C2507)</f>
        <v>0.6747013675644068</v>
      </c>
      <c r="E2507" s="5">
        <f ca="1">MAX(0,CP*(D2507-K))</f>
        <v>0</v>
      </c>
      <c r="F2507" s="4">
        <f ca="1">(CP*(D2507-K)&gt;0)*1</f>
        <v>0</v>
      </c>
      <c r="H2507" s="4">
        <v>2492</v>
      </c>
      <c r="I2507" s="3">
        <v>0.6676993460691163</v>
      </c>
      <c r="J2507" s="128">
        <v>1.3599180516604694E-3</v>
      </c>
      <c r="K2507" s="128"/>
      <c r="L2507" s="128">
        <v>4.24E-2</v>
      </c>
      <c r="O2507" s="2"/>
    </row>
    <row r="2508" spans="2:15" x14ac:dyDescent="0.2">
      <c r="B2508" s="1">
        <v>2493</v>
      </c>
      <c r="C2508" s="5">
        <f ca="1">_xlfn.NORM.S.INV(RAND())</f>
        <v>0.12652549106340244</v>
      </c>
      <c r="D2508" s="5">
        <f ca="1">S0*EXP((μ-0.5*σ*σ)*T+σ*SQRT(T)*$C2508)</f>
        <v>0.67284653677879025</v>
      </c>
      <c r="E2508" s="5">
        <f ca="1">MAX(0,CP*(D2508-K))</f>
        <v>0</v>
      </c>
      <c r="F2508" s="4">
        <f ca="1">(CP*(D2508-K)&gt;0)*1</f>
        <v>0</v>
      </c>
      <c r="H2508" s="4">
        <v>2493</v>
      </c>
      <c r="I2508" s="3">
        <v>0.66791932160088407</v>
      </c>
      <c r="J2508" s="128">
        <v>1.5700579875943322E-3</v>
      </c>
      <c r="K2508" s="128"/>
      <c r="L2508" s="128">
        <v>4.3799999999999999E-2</v>
      </c>
      <c r="O2508" s="2"/>
    </row>
    <row r="2509" spans="2:15" x14ac:dyDescent="0.2">
      <c r="B2509" s="1">
        <v>2494</v>
      </c>
      <c r="C2509" s="5">
        <f ca="1">_xlfn.NORM.S.INV(RAND())</f>
        <v>0.13792122692641684</v>
      </c>
      <c r="D2509" s="5">
        <f ca="1">S0*EXP((μ-0.5*σ*σ)*T+σ*SQRT(T)*$C2509)</f>
        <v>0.67360288902152787</v>
      </c>
      <c r="E2509" s="5">
        <f ca="1">MAX(0,CP*(D2509-K))</f>
        <v>0</v>
      </c>
      <c r="F2509" s="4">
        <f ca="1">(CP*(D2509-K)&gt;0)*1</f>
        <v>0</v>
      </c>
      <c r="H2509" s="4">
        <v>2494</v>
      </c>
      <c r="I2509" s="3">
        <v>0.6676984010909458</v>
      </c>
      <c r="J2509" s="128">
        <v>1.3596798086177029E-3</v>
      </c>
      <c r="K2509" s="128"/>
      <c r="L2509" s="128">
        <v>4.02E-2</v>
      </c>
      <c r="O2509" s="2"/>
    </row>
    <row r="2510" spans="2:15" x14ac:dyDescent="0.2">
      <c r="B2510" s="1">
        <v>2495</v>
      </c>
      <c r="C2510" s="5">
        <f ca="1">_xlfn.NORM.S.INV(RAND())</f>
        <v>-0.86831489428112296</v>
      </c>
      <c r="D2510" s="5">
        <f ca="1">S0*EXP((μ-0.5*σ*σ)*T+σ*SQRT(T)*$C2510)</f>
        <v>0.60998750825828973</v>
      </c>
      <c r="E2510" s="5">
        <f ca="1">MAX(0,CP*(D2510-K))</f>
        <v>0</v>
      </c>
      <c r="F2510" s="4">
        <f ca="1">(CP*(D2510-K)&gt;0)*1</f>
        <v>0</v>
      </c>
      <c r="H2510" s="4">
        <v>2495</v>
      </c>
      <c r="I2510" s="3">
        <v>0.66787665914027572</v>
      </c>
      <c r="J2510" s="128">
        <v>1.5085314934487149E-3</v>
      </c>
      <c r="K2510" s="128"/>
      <c r="L2510" s="128">
        <v>4.24E-2</v>
      </c>
      <c r="O2510" s="2"/>
    </row>
    <row r="2511" spans="2:15" x14ac:dyDescent="0.2">
      <c r="B2511" s="1">
        <v>2496</v>
      </c>
      <c r="C2511" s="5">
        <f ca="1">_xlfn.NORM.S.INV(RAND())</f>
        <v>1.0860998808459412</v>
      </c>
      <c r="D2511" s="5">
        <f ca="1">S0*EXP((μ-0.5*σ*σ)*T+σ*SQRT(T)*$C2511)</f>
        <v>0.73960723826955199</v>
      </c>
      <c r="E2511" s="5">
        <f ca="1">MAX(0,CP*(D2511-K))</f>
        <v>0</v>
      </c>
      <c r="F2511" s="4">
        <f ca="1">(CP*(D2511-K)&gt;0)*1</f>
        <v>0</v>
      </c>
      <c r="H2511" s="4">
        <v>2496</v>
      </c>
      <c r="I2511" s="3">
        <v>0.66774617497260058</v>
      </c>
      <c r="J2511" s="128">
        <v>1.3864743866422486E-3</v>
      </c>
      <c r="K2511" s="128"/>
      <c r="L2511" s="128">
        <v>3.9800000000000002E-2</v>
      </c>
      <c r="O2511" s="2"/>
    </row>
    <row r="2512" spans="2:15" x14ac:dyDescent="0.2">
      <c r="B2512" s="1">
        <v>2497</v>
      </c>
      <c r="C2512" s="5">
        <f ca="1">_xlfn.NORM.S.INV(RAND())</f>
        <v>-0.16617426456628545</v>
      </c>
      <c r="D2512" s="5">
        <f ca="1">S0*EXP((μ-0.5*σ*σ)*T+σ*SQRT(T)*$C2512)</f>
        <v>0.65370798575334366</v>
      </c>
      <c r="E2512" s="5">
        <f ca="1">MAX(0,CP*(D2512-K))</f>
        <v>0</v>
      </c>
      <c r="F2512" s="4">
        <f ca="1">(CP*(D2512-K)&gt;0)*1</f>
        <v>0</v>
      </c>
      <c r="H2512" s="4">
        <v>2497</v>
      </c>
      <c r="I2512" s="3">
        <v>0.66774084905972397</v>
      </c>
      <c r="J2512" s="128">
        <v>1.3823848265306388E-3</v>
      </c>
      <c r="K2512" s="128"/>
      <c r="L2512" s="128">
        <v>4.2599999999999999E-2</v>
      </c>
      <c r="O2512" s="2"/>
    </row>
    <row r="2513" spans="1:15" x14ac:dyDescent="0.2">
      <c r="B2513" s="1">
        <v>2498</v>
      </c>
      <c r="C2513" s="5">
        <f ca="1">_xlfn.NORM.S.INV(RAND())</f>
        <v>0.5623094385958366</v>
      </c>
      <c r="D2513" s="5">
        <f ca="1">S0*EXP((μ-0.5*σ*σ)*T+σ*SQRT(T)*$C2513)</f>
        <v>0.7023838938033401</v>
      </c>
      <c r="E2513" s="5">
        <f ca="1">MAX(0,CP*(D2513-K))</f>
        <v>0</v>
      </c>
      <c r="F2513" s="4">
        <f ca="1">(CP*(D2513-K)&gt;0)*1</f>
        <v>0</v>
      </c>
      <c r="H2513" s="4">
        <v>2498</v>
      </c>
      <c r="I2513" s="3">
        <v>0.66778505318487291</v>
      </c>
      <c r="J2513" s="128">
        <v>1.3953078551143304E-3</v>
      </c>
      <c r="K2513" s="128"/>
      <c r="L2513" s="128">
        <v>4.4999999999999998E-2</v>
      </c>
      <c r="O2513" s="2"/>
    </row>
    <row r="2514" spans="1:15" x14ac:dyDescent="0.2">
      <c r="B2514" s="1">
        <v>2499</v>
      </c>
      <c r="C2514" s="5">
        <f ca="1">_xlfn.NORM.S.INV(RAND())</f>
        <v>0.79270344399810511</v>
      </c>
      <c r="D2514" s="5">
        <f ca="1">S0*EXP((μ-0.5*σ*σ)*T+σ*SQRT(T)*$C2514)</f>
        <v>0.71852038294215748</v>
      </c>
      <c r="E2514" s="5">
        <f ca="1">MAX(0,CP*(D2514-K))</f>
        <v>0</v>
      </c>
      <c r="F2514" s="4">
        <f ca="1">(CP*(D2514-K)&gt;0)*1</f>
        <v>0</v>
      </c>
      <c r="H2514" s="4">
        <v>2499</v>
      </c>
      <c r="I2514" s="3">
        <v>0.66767823593298459</v>
      </c>
      <c r="J2514" s="128">
        <v>1.2916196391050041E-3</v>
      </c>
      <c r="K2514" s="128"/>
      <c r="L2514" s="128">
        <v>4.0399999999999998E-2</v>
      </c>
      <c r="O2514" s="2"/>
    </row>
    <row r="2515" spans="1:15" x14ac:dyDescent="0.2">
      <c r="B2515" s="1">
        <v>2500</v>
      </c>
      <c r="C2515" s="6">
        <f ca="1">_xlfn.NORM.S.INV(RAND())</f>
        <v>0.60392049746930432</v>
      </c>
      <c r="D2515" s="5">
        <f ca="1">S0*EXP((μ-0.5*σ*σ)*T+σ*SQRT(T)*$C2515)</f>
        <v>0.70527122196116965</v>
      </c>
      <c r="E2515" s="5">
        <f ca="1">MAX(0,CP*(D2515-K))</f>
        <v>0</v>
      </c>
      <c r="F2515" s="4">
        <f ca="1">(CP*(D2515-K)&gt;0)*1</f>
        <v>0</v>
      </c>
      <c r="H2515" s="4">
        <v>2500</v>
      </c>
      <c r="I2515" s="3">
        <v>0.66782405154564317</v>
      </c>
      <c r="J2515" s="128">
        <v>1.4245068323214237E-3</v>
      </c>
      <c r="K2515" s="128"/>
      <c r="L2515" s="128">
        <v>4.3400000000000001E-2</v>
      </c>
      <c r="O2515" s="2"/>
    </row>
    <row r="2516" spans="1:15" x14ac:dyDescent="0.2">
      <c r="A2516" s="1" t="s">
        <v>12</v>
      </c>
      <c r="B2516" s="1">
        <v>2501</v>
      </c>
      <c r="C2516" s="5" cm="1">
        <f t="array" aca="1" ref="C2516:C5015" ca="1">-1*C16:C2515</f>
        <v>-0.7111902129874933</v>
      </c>
      <c r="D2516" s="5">
        <f ca="1">S0*EXP((μ-0.5*σ*σ)*T+σ*SQRT(T)*$C2516)</f>
        <v>0.6195100994106234</v>
      </c>
      <c r="E2516" s="5">
        <f ca="1">MAX(0,CP*(D2516-K))</f>
        <v>0</v>
      </c>
      <c r="F2516" s="4">
        <f ca="1">(CP*(D2516-K)&gt;0)*1</f>
        <v>0</v>
      </c>
      <c r="H2516" s="4">
        <v>2501</v>
      </c>
      <c r="I2516" s="3">
        <v>0.66782948943309983</v>
      </c>
      <c r="J2516" s="128">
        <v>1.4963649672578728E-3</v>
      </c>
      <c r="K2516" s="128"/>
      <c r="L2516" s="128">
        <v>4.2599999999999999E-2</v>
      </c>
      <c r="O2516" s="2"/>
    </row>
    <row r="2517" spans="1:15" x14ac:dyDescent="0.2">
      <c r="B2517" s="1">
        <v>2502</v>
      </c>
      <c r="C2517" s="5">
        <f ca="1"/>
        <v>0.1639702461762777</v>
      </c>
      <c r="D2517" s="5">
        <f ca="1">S0*EXP((μ-0.5*σ*σ)*T+σ*SQRT(T)*$C2517)</f>
        <v>0.67533499641325734</v>
      </c>
      <c r="E2517" s="5">
        <f ca="1">MAX(0,CP*(D2517-K))</f>
        <v>0</v>
      </c>
      <c r="F2517" s="4">
        <f ca="1">(CP*(D2517-K)&gt;0)*1</f>
        <v>0</v>
      </c>
      <c r="H2517" s="4">
        <v>2502</v>
      </c>
      <c r="I2517" s="3">
        <v>0.66787763272775869</v>
      </c>
      <c r="J2517" s="128">
        <v>1.4513391902092924E-3</v>
      </c>
      <c r="K2517" s="128"/>
      <c r="L2517" s="128">
        <v>4.4200000000000003E-2</v>
      </c>
      <c r="O2517" s="2"/>
    </row>
    <row r="2518" spans="1:15" x14ac:dyDescent="0.2">
      <c r="B2518" s="1">
        <v>2503</v>
      </c>
      <c r="C2518" s="5">
        <f ca="1"/>
        <v>1.8504496605965601</v>
      </c>
      <c r="D2518" s="5">
        <f ca="1">S0*EXP((μ-0.5*σ*σ)*T+σ*SQRT(T)*$C2518)</f>
        <v>0.79749422797565506</v>
      </c>
      <c r="E2518" s="5">
        <f ca="1">MAX(0,CP*(D2518-K))</f>
        <v>9.294227975655045E-3</v>
      </c>
      <c r="F2518" s="4">
        <f ca="1">(CP*(D2518-K)&gt;0)*1</f>
        <v>1</v>
      </c>
      <c r="H2518" s="4">
        <v>2503</v>
      </c>
      <c r="I2518" s="3">
        <v>0.66761269975726023</v>
      </c>
      <c r="J2518" s="128">
        <v>1.1774280876245555E-3</v>
      </c>
      <c r="K2518" s="128"/>
      <c r="L2518" s="128">
        <v>3.9199999999999999E-2</v>
      </c>
      <c r="O2518" s="2"/>
    </row>
    <row r="2519" spans="1:15" x14ac:dyDescent="0.2">
      <c r="B2519" s="1">
        <v>2504</v>
      </c>
      <c r="C2519" s="5">
        <f ca="1"/>
        <v>-0.49828868755782552</v>
      </c>
      <c r="D2519" s="5">
        <f ca="1">S0*EXP((μ-0.5*σ*σ)*T+σ*SQRT(T)*$C2519)</f>
        <v>0.63265068295662585</v>
      </c>
      <c r="E2519" s="5">
        <f ca="1">MAX(0,CP*(D2519-K))</f>
        <v>0</v>
      </c>
      <c r="F2519" s="4">
        <f ca="1">(CP*(D2519-K)&gt;0)*1</f>
        <v>0</v>
      </c>
      <c r="H2519" s="4">
        <v>2504</v>
      </c>
      <c r="I2519" s="3">
        <v>0.66795541102612721</v>
      </c>
      <c r="J2519" s="128">
        <v>1.7668187141856304E-3</v>
      </c>
      <c r="K2519" s="128"/>
      <c r="L2519" s="128">
        <v>4.9599999999999998E-2</v>
      </c>
      <c r="O2519" s="2"/>
    </row>
    <row r="2520" spans="1:15" x14ac:dyDescent="0.2">
      <c r="B2520" s="1">
        <v>2505</v>
      </c>
      <c r="C2520" s="5">
        <f ca="1"/>
        <v>-0.54350523155964425</v>
      </c>
      <c r="D2520" s="5">
        <f ca="1">S0*EXP((μ-0.5*σ*σ)*T+σ*SQRT(T)*$C2520)</f>
        <v>0.62983673908246463</v>
      </c>
      <c r="E2520" s="5">
        <f ca="1">MAX(0,CP*(D2520-K))</f>
        <v>0</v>
      </c>
      <c r="F2520" s="4">
        <f ca="1">(CP*(D2520-K)&gt;0)*1</f>
        <v>0</v>
      </c>
      <c r="H2520" s="4">
        <v>2505</v>
      </c>
      <c r="I2520" s="3">
        <v>0.66786311858756486</v>
      </c>
      <c r="J2520" s="128">
        <v>1.4953795496559041E-3</v>
      </c>
      <c r="K2520" s="128"/>
      <c r="L2520" s="128">
        <v>4.4999999999999998E-2</v>
      </c>
      <c r="O2520" s="2"/>
    </row>
    <row r="2521" spans="1:15" x14ac:dyDescent="0.2">
      <c r="B2521" s="1">
        <v>2506</v>
      </c>
      <c r="C2521" s="5">
        <f ca="1"/>
        <v>-1.5016821348680239E-2</v>
      </c>
      <c r="D2521" s="5">
        <f ca="1">S0*EXP((μ-0.5*σ*σ)*T+σ*SQRT(T)*$C2521)</f>
        <v>0.66352264090869795</v>
      </c>
      <c r="E2521" s="5">
        <f ca="1">MAX(0,CP*(D2521-K))</f>
        <v>0</v>
      </c>
      <c r="F2521" s="4">
        <f ca="1">(CP*(D2521-K)&gt;0)*1</f>
        <v>0</v>
      </c>
      <c r="H2521" s="4">
        <v>2506</v>
      </c>
      <c r="I2521" s="3">
        <v>0.66760969042658136</v>
      </c>
      <c r="J2521" s="128">
        <v>1.1868841786811411E-3</v>
      </c>
      <c r="K2521" s="128"/>
      <c r="L2521" s="128">
        <v>3.7600000000000001E-2</v>
      </c>
      <c r="O2521" s="2"/>
    </row>
    <row r="2522" spans="1:15" x14ac:dyDescent="0.2">
      <c r="B2522" s="1">
        <v>2507</v>
      </c>
      <c r="C2522" s="5">
        <f ca="1"/>
        <v>-0.63624434754299364</v>
      </c>
      <c r="D2522" s="5">
        <f ca="1">S0*EXP((μ-0.5*σ*σ)*T+σ*SQRT(T)*$C2522)</f>
        <v>0.62410444033585721</v>
      </c>
      <c r="E2522" s="5">
        <f ca="1">MAX(0,CP*(D2522-K))</f>
        <v>0</v>
      </c>
      <c r="F2522" s="4">
        <f ca="1">(CP*(D2522-K)&gt;0)*1</f>
        <v>0</v>
      </c>
      <c r="H2522" s="4">
        <v>2507</v>
      </c>
      <c r="I2522" s="3">
        <v>0.66790874234027453</v>
      </c>
      <c r="J2522" s="128">
        <v>1.4946048920399869E-3</v>
      </c>
      <c r="K2522" s="128"/>
      <c r="L2522" s="128">
        <v>4.6199999999999998E-2</v>
      </c>
      <c r="O2522" s="2"/>
    </row>
    <row r="2523" spans="1:15" x14ac:dyDescent="0.2">
      <c r="B2523" s="1">
        <v>2508</v>
      </c>
      <c r="C2523" s="5">
        <f ca="1"/>
        <v>1.0390196025733829</v>
      </c>
      <c r="D2523" s="5">
        <f ca="1">S0*EXP((μ-0.5*σ*σ)*T+σ*SQRT(T)*$C2523)</f>
        <v>0.73618228705405286</v>
      </c>
      <c r="E2523" s="5">
        <f ca="1">MAX(0,CP*(D2523-K))</f>
        <v>0</v>
      </c>
      <c r="F2523" s="4">
        <f ca="1">(CP*(D2523-K)&gt;0)*1</f>
        <v>0</v>
      </c>
      <c r="H2523" s="4">
        <v>2508</v>
      </c>
      <c r="I2523" s="3">
        <v>0.66769418924429358</v>
      </c>
      <c r="J2523" s="128">
        <v>1.2678866663522466E-3</v>
      </c>
      <c r="K2523" s="128"/>
      <c r="L2523" s="128">
        <v>4.1399999999999999E-2</v>
      </c>
      <c r="O2523" s="2"/>
    </row>
    <row r="2524" spans="1:15" x14ac:dyDescent="0.2">
      <c r="B2524" s="1">
        <v>2509</v>
      </c>
      <c r="C2524" s="5">
        <f ca="1"/>
        <v>-1.7922171077627289</v>
      </c>
      <c r="D2524" s="5">
        <f ca="1">S0*EXP((μ-0.5*σ*σ)*T+σ*SQRT(T)*$C2524)</f>
        <v>0.5568819603965357</v>
      </c>
      <c r="E2524" s="5">
        <f ca="1">MAX(0,CP*(D2524-K))</f>
        <v>0</v>
      </c>
      <c r="F2524" s="4">
        <f ca="1">(CP*(D2524-K)&gt;0)*1</f>
        <v>0</v>
      </c>
      <c r="H2524" s="4">
        <v>2509</v>
      </c>
      <c r="I2524" s="3">
        <v>0.66778147725937065</v>
      </c>
      <c r="J2524" s="128">
        <v>1.2084597010658263E-3</v>
      </c>
      <c r="K2524" s="128"/>
      <c r="L2524" s="128">
        <v>4.36E-2</v>
      </c>
      <c r="O2524" s="2"/>
    </row>
    <row r="2525" spans="1:15" x14ac:dyDescent="0.2">
      <c r="B2525" s="1">
        <v>2510</v>
      </c>
      <c r="C2525" s="5">
        <f ca="1"/>
        <v>-0.27911675982508788</v>
      </c>
      <c r="D2525" s="5">
        <f ca="1">S0*EXP((μ-0.5*σ*σ)*T+σ*SQRT(T)*$C2525)</f>
        <v>0.64646950772809986</v>
      </c>
      <c r="E2525" s="5">
        <f ca="1">MAX(0,CP*(D2525-K))</f>
        <v>0</v>
      </c>
      <c r="F2525" s="4">
        <f ca="1">(CP*(D2525-K)&gt;0)*1</f>
        <v>0</v>
      </c>
      <c r="H2525" s="4">
        <v>2510</v>
      </c>
      <c r="I2525" s="3">
        <v>0.66774858664092385</v>
      </c>
      <c r="J2525" s="128">
        <v>1.3270898061738166E-3</v>
      </c>
      <c r="K2525" s="128"/>
      <c r="L2525" s="128">
        <v>4.1599999999999998E-2</v>
      </c>
      <c r="O2525" s="2"/>
    </row>
    <row r="2526" spans="1:15" x14ac:dyDescent="0.2">
      <c r="B2526" s="1">
        <v>2511</v>
      </c>
      <c r="C2526" s="5">
        <f ca="1"/>
        <v>1.2358474520159428</v>
      </c>
      <c r="D2526" s="5">
        <f ca="1">S0*EXP((μ-0.5*σ*σ)*T+σ*SQRT(T)*$C2526)</f>
        <v>0.75060723104608573</v>
      </c>
      <c r="E2526" s="5">
        <f ca="1">MAX(0,CP*(D2526-K))</f>
        <v>0</v>
      </c>
      <c r="F2526" s="4">
        <f ca="1">(CP*(D2526-K)&gt;0)*1</f>
        <v>0</v>
      </c>
      <c r="H2526" s="4">
        <v>2511</v>
      </c>
      <c r="I2526" s="3">
        <v>0.66776676774254251</v>
      </c>
      <c r="J2526" s="128">
        <v>1.4048805794050379E-3</v>
      </c>
      <c r="K2526" s="128"/>
      <c r="L2526" s="128">
        <v>4.36E-2</v>
      </c>
      <c r="O2526" s="2"/>
    </row>
    <row r="2527" spans="1:15" x14ac:dyDescent="0.2">
      <c r="B2527" s="1">
        <v>2512</v>
      </c>
      <c r="C2527" s="5">
        <f ca="1"/>
        <v>0.90441572240278012</v>
      </c>
      <c r="D2527" s="5">
        <f ca="1">S0*EXP((μ-0.5*σ*σ)*T+σ*SQRT(T)*$C2527)</f>
        <v>0.72647749462593725</v>
      </c>
      <c r="E2527" s="5">
        <f ca="1">MAX(0,CP*(D2527-K))</f>
        <v>0</v>
      </c>
      <c r="F2527" s="4">
        <f ca="1">(CP*(D2527-K)&gt;0)*1</f>
        <v>0</v>
      </c>
      <c r="H2527" s="4">
        <v>2512</v>
      </c>
      <c r="I2527" s="3">
        <v>0.66769157993396866</v>
      </c>
      <c r="J2527" s="128">
        <v>1.267971139506351E-3</v>
      </c>
      <c r="K2527" s="128"/>
      <c r="L2527" s="128">
        <v>3.6600000000000001E-2</v>
      </c>
      <c r="O2527" s="2"/>
    </row>
    <row r="2528" spans="1:15" x14ac:dyDescent="0.2">
      <c r="B2528" s="1">
        <v>2513</v>
      </c>
      <c r="C2528" s="5">
        <f ca="1"/>
        <v>-2.8497429760639417</v>
      </c>
      <c r="D2528" s="5">
        <f ca="1">S0*EXP((μ-0.5*σ*σ)*T+σ*SQRT(T)*$C2528)</f>
        <v>0.50174624188428407</v>
      </c>
      <c r="E2528" s="5">
        <f ca="1">MAX(0,CP*(D2528-K))</f>
        <v>0</v>
      </c>
      <c r="F2528" s="4">
        <f ca="1">(CP*(D2528-K)&gt;0)*1</f>
        <v>0</v>
      </c>
      <c r="H2528" s="4">
        <v>2513</v>
      </c>
      <c r="I2528" s="3">
        <v>0.66779981827456525</v>
      </c>
      <c r="J2528" s="128">
        <v>1.3577250214844973E-3</v>
      </c>
      <c r="K2528" s="128"/>
      <c r="L2528" s="128">
        <v>4.2799999999999998E-2</v>
      </c>
      <c r="O2528" s="2"/>
    </row>
    <row r="2529" spans="2:15" x14ac:dyDescent="0.2">
      <c r="B2529" s="1">
        <v>2514</v>
      </c>
      <c r="C2529" s="5">
        <f ca="1"/>
        <v>-0.49281105191933566</v>
      </c>
      <c r="D2529" s="5">
        <f ca="1">S0*EXP((μ-0.5*σ*σ)*T+σ*SQRT(T)*$C2529)</f>
        <v>0.6329924231908084</v>
      </c>
      <c r="E2529" s="5">
        <f ca="1">MAX(0,CP*(D2529-K))</f>
        <v>0</v>
      </c>
      <c r="F2529" s="4">
        <f ca="1">(CP*(D2529-K)&gt;0)*1</f>
        <v>0</v>
      </c>
      <c r="H2529" s="4">
        <v>2514</v>
      </c>
      <c r="I2529" s="3">
        <v>0.66774142451102436</v>
      </c>
      <c r="J2529" s="128">
        <v>1.3756652522019671E-3</v>
      </c>
      <c r="K2529" s="128"/>
      <c r="L2529" s="128">
        <v>4.1200000000000001E-2</v>
      </c>
      <c r="O2529" s="2"/>
    </row>
    <row r="2530" spans="2:15" x14ac:dyDescent="0.2">
      <c r="B2530" s="1">
        <v>2515</v>
      </c>
      <c r="C2530" s="5">
        <f ca="1"/>
        <v>1.5361554223202278</v>
      </c>
      <c r="D2530" s="5">
        <f ca="1">S0*EXP((μ-0.5*σ*σ)*T+σ*SQRT(T)*$C2530)</f>
        <v>0.77316240479400566</v>
      </c>
      <c r="E2530" s="5">
        <f ca="1">MAX(0,CP*(D2530-K))</f>
        <v>0</v>
      </c>
      <c r="F2530" s="4">
        <f ca="1">(CP*(D2530-K)&gt;0)*1</f>
        <v>0</v>
      </c>
      <c r="H2530" s="4">
        <v>2515</v>
      </c>
      <c r="I2530" s="3">
        <v>0.66769302726610791</v>
      </c>
      <c r="J2530" s="128">
        <v>1.3958382838959932E-3</v>
      </c>
      <c r="K2530" s="128"/>
      <c r="L2530" s="128">
        <v>4.1200000000000001E-2</v>
      </c>
      <c r="O2530" s="2"/>
    </row>
    <row r="2531" spans="2:15" x14ac:dyDescent="0.2">
      <c r="B2531" s="1">
        <v>2516</v>
      </c>
      <c r="C2531" s="5">
        <f ca="1"/>
        <v>0.95795559237076477</v>
      </c>
      <c r="D2531" s="5">
        <f ca="1">S0*EXP((μ-0.5*σ*σ)*T+σ*SQRT(T)*$C2531)</f>
        <v>0.73032224265618462</v>
      </c>
      <c r="E2531" s="5">
        <f ca="1">MAX(0,CP*(D2531-K))</f>
        <v>0</v>
      </c>
      <c r="F2531" s="4">
        <f ca="1">(CP*(D2531-K)&gt;0)*1</f>
        <v>0</v>
      </c>
      <c r="H2531" s="4">
        <v>2516</v>
      </c>
      <c r="I2531" s="3">
        <v>0.66767303043214665</v>
      </c>
      <c r="J2531" s="128">
        <v>1.4275779085138262E-3</v>
      </c>
      <c r="K2531" s="128"/>
      <c r="L2531" s="128">
        <v>4.4999999999999998E-2</v>
      </c>
      <c r="O2531" s="2"/>
    </row>
    <row r="2532" spans="2:15" x14ac:dyDescent="0.2">
      <c r="B2532" s="1">
        <v>2517</v>
      </c>
      <c r="C2532" s="5">
        <f ca="1"/>
        <v>0.91881464916974986</v>
      </c>
      <c r="D2532" s="5">
        <f ca="1">S0*EXP((μ-0.5*σ*σ)*T+σ*SQRT(T)*$C2532)</f>
        <v>0.72750950080360799</v>
      </c>
      <c r="E2532" s="5">
        <f ca="1">MAX(0,CP*(D2532-K))</f>
        <v>0</v>
      </c>
      <c r="F2532" s="4">
        <f ca="1">(CP*(D2532-K)&gt;0)*1</f>
        <v>0</v>
      </c>
      <c r="H2532" s="4">
        <v>2517</v>
      </c>
      <c r="I2532" s="3">
        <v>0.66773724853054284</v>
      </c>
      <c r="J2532" s="128">
        <v>1.3745365000527099E-3</v>
      </c>
      <c r="K2532" s="128"/>
      <c r="L2532" s="128">
        <v>4.0599999999999997E-2</v>
      </c>
      <c r="O2532" s="2"/>
    </row>
    <row r="2533" spans="2:15" x14ac:dyDescent="0.2">
      <c r="B2533" s="1">
        <v>2518</v>
      </c>
      <c r="C2533" s="5">
        <f ca="1"/>
        <v>0.17404256458529641</v>
      </c>
      <c r="D2533" s="5">
        <f ca="1">S0*EXP((μ-0.5*σ*σ)*T+σ*SQRT(T)*$C2533)</f>
        <v>0.67600594009685655</v>
      </c>
      <c r="E2533" s="5">
        <f ca="1">MAX(0,CP*(D2533-K))</f>
        <v>0</v>
      </c>
      <c r="F2533" s="4">
        <f ca="1">(CP*(D2533-K)&gt;0)*1</f>
        <v>0</v>
      </c>
      <c r="H2533" s="4">
        <v>2518</v>
      </c>
      <c r="I2533" s="3">
        <v>0.66788170258452284</v>
      </c>
      <c r="J2533" s="128">
        <v>1.3166164039290545E-3</v>
      </c>
      <c r="K2533" s="128"/>
      <c r="L2533" s="128">
        <v>4.3799999999999999E-2</v>
      </c>
      <c r="O2533" s="2"/>
    </row>
    <row r="2534" spans="2:15" x14ac:dyDescent="0.2">
      <c r="B2534" s="1">
        <v>2519</v>
      </c>
      <c r="C2534" s="5">
        <f ca="1"/>
        <v>0.6388890829507281</v>
      </c>
      <c r="D2534" s="5">
        <f ca="1">S0*EXP((μ-0.5*σ*σ)*T+σ*SQRT(T)*$C2534)</f>
        <v>0.70770681526350543</v>
      </c>
      <c r="E2534" s="5">
        <f ca="1">MAX(0,CP*(D2534-K))</f>
        <v>0</v>
      </c>
      <c r="F2534" s="4">
        <f ca="1">(CP*(D2534-K)&gt;0)*1</f>
        <v>0</v>
      </c>
      <c r="H2534" s="4">
        <v>2519</v>
      </c>
      <c r="I2534" s="3">
        <v>0.66764562996214616</v>
      </c>
      <c r="J2534" s="128">
        <v>1.1865771856082741E-3</v>
      </c>
      <c r="K2534" s="128"/>
      <c r="L2534" s="128">
        <v>3.8199999999999998E-2</v>
      </c>
      <c r="O2534" s="2"/>
    </row>
    <row r="2535" spans="2:15" x14ac:dyDescent="0.2">
      <c r="B2535" s="1">
        <v>2520</v>
      </c>
      <c r="C2535" s="5">
        <f ca="1"/>
        <v>0.91331122369530704</v>
      </c>
      <c r="D2535" s="5">
        <f ca="1">S0*EXP((μ-0.5*σ*σ)*T+σ*SQRT(T)*$C2535)</f>
        <v>0.72711488391535029</v>
      </c>
      <c r="E2535" s="5">
        <f ca="1">MAX(0,CP*(D2535-K))</f>
        <v>0</v>
      </c>
      <c r="F2535" s="4">
        <f ca="1">(CP*(D2535-K)&gt;0)*1</f>
        <v>0</v>
      </c>
      <c r="H2535" s="4">
        <v>2520</v>
      </c>
      <c r="I2535" s="3">
        <v>0.66768414782712693</v>
      </c>
      <c r="J2535" s="128">
        <v>1.369275551901391E-3</v>
      </c>
      <c r="K2535" s="128"/>
      <c r="L2535" s="128">
        <v>4.1799999999999997E-2</v>
      </c>
      <c r="O2535" s="2"/>
    </row>
    <row r="2536" spans="2:15" x14ac:dyDescent="0.2">
      <c r="B2536" s="1">
        <v>2521</v>
      </c>
      <c r="C2536" s="5">
        <f ca="1"/>
        <v>1.008244517590531</v>
      </c>
      <c r="D2536" s="5">
        <f ca="1">S0*EXP((μ-0.5*σ*σ)*T+σ*SQRT(T)*$C2536)</f>
        <v>0.73395206719366479</v>
      </c>
      <c r="E2536" s="5">
        <f ca="1">MAX(0,CP*(D2536-K))</f>
        <v>0</v>
      </c>
      <c r="F2536" s="4">
        <f ca="1">(CP*(D2536-K)&gt;0)*1</f>
        <v>0</v>
      </c>
      <c r="H2536" s="4">
        <v>2521</v>
      </c>
      <c r="I2536" s="3">
        <v>0.66791511240170032</v>
      </c>
      <c r="J2536" s="128">
        <v>1.5586959583925907E-3</v>
      </c>
      <c r="K2536" s="128"/>
      <c r="L2536" s="128">
        <v>4.5199999999999997E-2</v>
      </c>
      <c r="O2536" s="2"/>
    </row>
    <row r="2537" spans="2:15" x14ac:dyDescent="0.2">
      <c r="B2537" s="1">
        <v>2522</v>
      </c>
      <c r="C2537" s="5">
        <f ca="1"/>
        <v>-5.5091463648639816E-2</v>
      </c>
      <c r="D2537" s="5">
        <f ca="1">S0*EXP((μ-0.5*σ*σ)*T+σ*SQRT(T)*$C2537)</f>
        <v>0.66090632919063286</v>
      </c>
      <c r="E2537" s="5">
        <f ca="1">MAX(0,CP*(D2537-K))</f>
        <v>0</v>
      </c>
      <c r="F2537" s="4">
        <f ca="1">(CP*(D2537-K)&gt;0)*1</f>
        <v>0</v>
      </c>
      <c r="H2537" s="4">
        <v>2522</v>
      </c>
      <c r="I2537" s="3">
        <v>0.66763371406516325</v>
      </c>
      <c r="J2537" s="128">
        <v>1.3650816766861025E-3</v>
      </c>
      <c r="K2537" s="128"/>
      <c r="L2537" s="128">
        <v>4.0399999999999998E-2</v>
      </c>
      <c r="O2537" s="2"/>
    </row>
    <row r="2538" spans="2:15" x14ac:dyDescent="0.2">
      <c r="B2538" s="1">
        <v>2523</v>
      </c>
      <c r="C2538" s="5">
        <f ca="1"/>
        <v>-0.48107032081805523</v>
      </c>
      <c r="D2538" s="5">
        <f ca="1">S0*EXP((μ-0.5*σ*σ)*T+σ*SQRT(T)*$C2538)</f>
        <v>0.6337255291393179</v>
      </c>
      <c r="E2538" s="5">
        <f ca="1">MAX(0,CP*(D2538-K))</f>
        <v>0</v>
      </c>
      <c r="F2538" s="4">
        <f ca="1">(CP*(D2538-K)&gt;0)*1</f>
        <v>0</v>
      </c>
      <c r="H2538" s="4">
        <v>2523</v>
      </c>
      <c r="I2538" s="3">
        <v>0.66800559598980713</v>
      </c>
      <c r="J2538" s="128">
        <v>1.668734538874117E-3</v>
      </c>
      <c r="K2538" s="128"/>
      <c r="L2538" s="128">
        <v>4.6600000000000003E-2</v>
      </c>
      <c r="O2538" s="2"/>
    </row>
    <row r="2539" spans="2:15" x14ac:dyDescent="0.2">
      <c r="B2539" s="1">
        <v>2524</v>
      </c>
      <c r="C2539" s="5">
        <f ca="1"/>
        <v>-2.1544773424963495</v>
      </c>
      <c r="D2539" s="5">
        <f ca="1">S0*EXP((μ-0.5*σ*σ)*T+σ*SQRT(T)*$C2539)</f>
        <v>0.53734426433387605</v>
      </c>
      <c r="E2539" s="5">
        <f ca="1">MAX(0,CP*(D2539-K))</f>
        <v>0</v>
      </c>
      <c r="F2539" s="4">
        <f ca="1">(CP*(D2539-K)&gt;0)*1</f>
        <v>0</v>
      </c>
      <c r="H2539" s="4">
        <v>2524</v>
      </c>
      <c r="I2539" s="3">
        <v>0.66782731636625448</v>
      </c>
      <c r="J2539" s="128">
        <v>1.5248224646401602E-3</v>
      </c>
      <c r="K2539" s="128"/>
      <c r="L2539" s="128">
        <v>4.3400000000000001E-2</v>
      </c>
      <c r="O2539" s="2"/>
    </row>
    <row r="2540" spans="2:15" x14ac:dyDescent="0.2">
      <c r="B2540" s="1">
        <v>2525</v>
      </c>
      <c r="C2540" s="5">
        <f ca="1"/>
        <v>0.48662160385809083</v>
      </c>
      <c r="D2540" s="5">
        <f ca="1">S0*EXP((μ-0.5*σ*σ)*T+σ*SQRT(T)*$C2540)</f>
        <v>0.69716230066873464</v>
      </c>
      <c r="E2540" s="5">
        <f ca="1">MAX(0,CP*(D2540-K))</f>
        <v>0</v>
      </c>
      <c r="F2540" s="4">
        <f ca="1">(CP*(D2540-K)&gt;0)*1</f>
        <v>0</v>
      </c>
      <c r="H2540" s="4">
        <v>2525</v>
      </c>
      <c r="I2540" s="3">
        <v>0.66760650221658624</v>
      </c>
      <c r="J2540" s="128">
        <v>1.2249713923671685E-3</v>
      </c>
      <c r="K2540" s="128"/>
      <c r="L2540" s="128">
        <v>4.1200000000000001E-2</v>
      </c>
      <c r="O2540" s="2"/>
    </row>
    <row r="2541" spans="2:15" x14ac:dyDescent="0.2">
      <c r="B2541" s="1">
        <v>2526</v>
      </c>
      <c r="C2541" s="5">
        <f ca="1"/>
        <v>0.10062225794914115</v>
      </c>
      <c r="D2541" s="5">
        <f ca="1">S0*EXP((μ-0.5*σ*σ)*T+σ*SQRT(T)*$C2541)</f>
        <v>0.67113045769669111</v>
      </c>
      <c r="E2541" s="5">
        <f ca="1">MAX(0,CP*(D2541-K))</f>
        <v>0</v>
      </c>
      <c r="F2541" s="4">
        <f ca="1">(CP*(D2541-K)&gt;0)*1</f>
        <v>0</v>
      </c>
      <c r="H2541" s="4">
        <v>2526</v>
      </c>
      <c r="I2541" s="3">
        <v>0.66763520935225962</v>
      </c>
      <c r="J2541" s="128">
        <v>1.2921561154403119E-3</v>
      </c>
      <c r="K2541" s="128"/>
      <c r="L2541" s="128">
        <v>3.9199999999999999E-2</v>
      </c>
      <c r="O2541" s="2"/>
    </row>
    <row r="2542" spans="2:15" x14ac:dyDescent="0.2">
      <c r="B2542" s="1">
        <v>2527</v>
      </c>
      <c r="C2542" s="5">
        <f ca="1"/>
        <v>-1.317746903907925</v>
      </c>
      <c r="D2542" s="5">
        <f ca="1">S0*EXP((μ-0.5*σ*σ)*T+σ*SQRT(T)*$C2542)</f>
        <v>0.58354998610195574</v>
      </c>
      <c r="E2542" s="5">
        <f ca="1">MAX(0,CP*(D2542-K))</f>
        <v>0</v>
      </c>
      <c r="F2542" s="4">
        <f ca="1">(CP*(D2542-K)&gt;0)*1</f>
        <v>0</v>
      </c>
      <c r="H2542" s="4">
        <v>2527</v>
      </c>
      <c r="I2542" s="3">
        <v>0.66782597307138836</v>
      </c>
      <c r="J2542" s="128">
        <v>1.3533992573365374E-3</v>
      </c>
      <c r="K2542" s="128"/>
      <c r="L2542" s="128">
        <v>4.2200000000000001E-2</v>
      </c>
      <c r="O2542" s="2"/>
    </row>
    <row r="2543" spans="2:15" x14ac:dyDescent="0.2">
      <c r="B2543" s="1">
        <v>2528</v>
      </c>
      <c r="C2543" s="5">
        <f ca="1"/>
        <v>-0.21572519258755857</v>
      </c>
      <c r="D2543" s="5">
        <f ca="1">S0*EXP((μ-0.5*σ*σ)*T+σ*SQRT(T)*$C2543)</f>
        <v>0.65052234389451935</v>
      </c>
      <c r="E2543" s="5">
        <f ca="1">MAX(0,CP*(D2543-K))</f>
        <v>0</v>
      </c>
      <c r="F2543" s="4">
        <f ca="1">(CP*(D2543-K)&gt;0)*1</f>
        <v>0</v>
      </c>
      <c r="H2543" s="4">
        <v>2528</v>
      </c>
      <c r="I2543" s="3">
        <v>0.66779096047483666</v>
      </c>
      <c r="J2543" s="128">
        <v>1.4678353089831678E-3</v>
      </c>
      <c r="K2543" s="128"/>
      <c r="L2543" s="128">
        <v>3.9E-2</v>
      </c>
      <c r="O2543" s="2"/>
    </row>
    <row r="2544" spans="2:15" x14ac:dyDescent="0.2">
      <c r="B2544" s="1">
        <v>2529</v>
      </c>
      <c r="C2544" s="5">
        <f ca="1"/>
        <v>-0.66914640945350889</v>
      </c>
      <c r="D2544" s="5">
        <f ca="1">S0*EXP((μ-0.5*σ*σ)*T+σ*SQRT(T)*$C2544)</f>
        <v>0.62208329319587885</v>
      </c>
      <c r="E2544" s="5">
        <f ca="1">MAX(0,CP*(D2544-K))</f>
        <v>0</v>
      </c>
      <c r="F2544" s="4">
        <f ca="1">(CP*(D2544-K)&gt;0)*1</f>
        <v>0</v>
      </c>
      <c r="H2544" s="4">
        <v>2529</v>
      </c>
      <c r="I2544" s="3">
        <v>0.66781344645623164</v>
      </c>
      <c r="J2544" s="128">
        <v>1.2761097773682924E-3</v>
      </c>
      <c r="K2544" s="128"/>
      <c r="L2544" s="128">
        <v>4.3999999999999997E-2</v>
      </c>
      <c r="O2544" s="2"/>
    </row>
    <row r="2545" spans="2:15" x14ac:dyDescent="0.2">
      <c r="B2545" s="1">
        <v>2530</v>
      </c>
      <c r="C2545" s="5">
        <f ca="1"/>
        <v>-0.47225189716845944</v>
      </c>
      <c r="D2545" s="5">
        <f ca="1">S0*EXP((μ-0.5*σ*σ)*T+σ*SQRT(T)*$C2545)</f>
        <v>0.63427672085403886</v>
      </c>
      <c r="E2545" s="5">
        <f ca="1">MAX(0,CP*(D2545-K))</f>
        <v>0</v>
      </c>
      <c r="F2545" s="4">
        <f ca="1">(CP*(D2545-K)&gt;0)*1</f>
        <v>0</v>
      </c>
      <c r="H2545" s="4">
        <v>2530</v>
      </c>
      <c r="I2545" s="3">
        <v>0.66771178536163756</v>
      </c>
      <c r="J2545" s="128">
        <v>1.2264286901348387E-3</v>
      </c>
      <c r="K2545" s="128"/>
      <c r="L2545" s="128">
        <v>3.7999999999999999E-2</v>
      </c>
      <c r="O2545" s="2"/>
    </row>
    <row r="2546" spans="2:15" x14ac:dyDescent="0.2">
      <c r="B2546" s="1">
        <v>2531</v>
      </c>
      <c r="C2546" s="5">
        <f ca="1"/>
        <v>0.88191116665840086</v>
      </c>
      <c r="D2546" s="5">
        <f ca="1">S0*EXP((μ-0.5*σ*σ)*T+σ*SQRT(T)*$C2546)</f>
        <v>0.72486746954624592</v>
      </c>
      <c r="E2546" s="5">
        <f ca="1">MAX(0,CP*(D2546-K))</f>
        <v>0</v>
      </c>
      <c r="F2546" s="4">
        <f ca="1">(CP*(D2546-K)&gt;0)*1</f>
        <v>0</v>
      </c>
      <c r="H2546" s="4">
        <v>2531</v>
      </c>
      <c r="I2546" s="3">
        <v>0.66774650895671739</v>
      </c>
      <c r="J2546" s="128">
        <v>1.4401743557804652E-3</v>
      </c>
      <c r="K2546" s="128"/>
      <c r="L2546" s="128">
        <v>4.1000000000000002E-2</v>
      </c>
      <c r="O2546" s="2"/>
    </row>
    <row r="2547" spans="2:15" x14ac:dyDescent="0.2">
      <c r="B2547" s="1">
        <v>2532</v>
      </c>
      <c r="C2547" s="5">
        <f ca="1"/>
        <v>-2.82407170880405E-2</v>
      </c>
      <c r="D2547" s="5">
        <f ca="1">S0*EXP((μ-0.5*σ*σ)*T+σ*SQRT(T)*$C2547)</f>
        <v>0.66265816316388315</v>
      </c>
      <c r="E2547" s="5">
        <f ca="1">MAX(0,CP*(D2547-K))</f>
        <v>0</v>
      </c>
      <c r="F2547" s="4">
        <f ca="1">(CP*(D2547-K)&gt;0)*1</f>
        <v>0</v>
      </c>
      <c r="H2547" s="4">
        <v>2532</v>
      </c>
      <c r="I2547" s="3">
        <v>0.6675784066391488</v>
      </c>
      <c r="J2547" s="128">
        <v>1.260566608685447E-3</v>
      </c>
      <c r="K2547" s="128"/>
      <c r="L2547" s="128">
        <v>3.7600000000000001E-2</v>
      </c>
      <c r="O2547" s="2"/>
    </row>
    <row r="2548" spans="2:15" x14ac:dyDescent="0.2">
      <c r="B2548" s="1">
        <v>2533</v>
      </c>
      <c r="C2548" s="5">
        <f ca="1"/>
        <v>-0.30580444591684935</v>
      </c>
      <c r="D2548" s="5">
        <f ca="1">S0*EXP((μ-0.5*σ*σ)*T+σ*SQRT(T)*$C2548)</f>
        <v>0.64477083590958584</v>
      </c>
      <c r="E2548" s="5">
        <f ca="1">MAX(0,CP*(D2548-K))</f>
        <v>0</v>
      </c>
      <c r="F2548" s="4">
        <f ca="1">(CP*(D2548-K)&gt;0)*1</f>
        <v>0</v>
      </c>
      <c r="H2548" s="4">
        <v>2533</v>
      </c>
      <c r="I2548" s="3">
        <v>0.66768814189847359</v>
      </c>
      <c r="J2548" s="128">
        <v>1.3860851968301707E-3</v>
      </c>
      <c r="K2548" s="128"/>
      <c r="L2548" s="128">
        <v>3.9399999999999998E-2</v>
      </c>
      <c r="O2548" s="2"/>
    </row>
    <row r="2549" spans="2:15" x14ac:dyDescent="0.2">
      <c r="B2549" s="1">
        <v>2534</v>
      </c>
      <c r="C2549" s="5">
        <f ca="1"/>
        <v>1.8575445287739465</v>
      </c>
      <c r="D2549" s="5">
        <f ca="1">S0*EXP((μ-0.5*σ*σ)*T+σ*SQRT(T)*$C2549)</f>
        <v>0.79805224249007434</v>
      </c>
      <c r="E2549" s="5">
        <f ca="1">MAX(0,CP*(D2549-K))</f>
        <v>9.8522424900743255E-3</v>
      </c>
      <c r="F2549" s="4">
        <f ca="1">(CP*(D2549-K)&gt;0)*1</f>
        <v>1</v>
      </c>
      <c r="H2549" s="4">
        <v>2534</v>
      </c>
      <c r="I2549" s="3">
        <v>0.6678244341157431</v>
      </c>
      <c r="J2549" s="128">
        <v>1.4167028442587234E-3</v>
      </c>
      <c r="K2549" s="128"/>
      <c r="L2549" s="128">
        <v>4.2799999999999998E-2</v>
      </c>
      <c r="O2549" s="2"/>
    </row>
    <row r="2550" spans="2:15" x14ac:dyDescent="0.2">
      <c r="B2550" s="1">
        <v>2535</v>
      </c>
      <c r="C2550" s="5">
        <f ca="1"/>
        <v>-1.2489566216315569</v>
      </c>
      <c r="D2550" s="5">
        <f ca="1">S0*EXP((μ-0.5*σ*σ)*T+σ*SQRT(T)*$C2550)</f>
        <v>0.58752099051399143</v>
      </c>
      <c r="E2550" s="5">
        <f ca="1">MAX(0,CP*(D2550-K))</f>
        <v>0</v>
      </c>
      <c r="F2550" s="4">
        <f ca="1">(CP*(D2550-K)&gt;0)*1</f>
        <v>0</v>
      </c>
      <c r="H2550" s="4">
        <v>2535</v>
      </c>
      <c r="I2550" s="3">
        <v>0.66786374501469503</v>
      </c>
      <c r="J2550" s="128">
        <v>1.5055056838132401E-3</v>
      </c>
      <c r="K2550" s="128"/>
      <c r="L2550" s="128">
        <v>4.48E-2</v>
      </c>
      <c r="O2550" s="2"/>
    </row>
    <row r="2551" spans="2:15" x14ac:dyDescent="0.2">
      <c r="B2551" s="1">
        <v>2536</v>
      </c>
      <c r="C2551" s="5">
        <f ca="1"/>
        <v>3.0210479168451805</v>
      </c>
      <c r="D2551" s="5">
        <f ca="1">S0*EXP((μ-0.5*σ*σ)*T+σ*SQRT(T)*$C2551)</f>
        <v>0.89505119446074055</v>
      </c>
      <c r="E2551" s="5">
        <f ca="1">MAX(0,CP*(D2551-K))</f>
        <v>0.10685119446074054</v>
      </c>
      <c r="F2551" s="4">
        <f ca="1">(CP*(D2551-K)&gt;0)*1</f>
        <v>1</v>
      </c>
      <c r="H2551" s="4">
        <v>2536</v>
      </c>
      <c r="I2551" s="3">
        <v>0.66793024486284058</v>
      </c>
      <c r="J2551" s="128">
        <v>1.6945809464826525E-3</v>
      </c>
      <c r="K2551" s="128"/>
      <c r="L2551" s="128">
        <v>4.7600000000000003E-2</v>
      </c>
      <c r="O2551" s="2"/>
    </row>
    <row r="2552" spans="2:15" x14ac:dyDescent="0.2">
      <c r="B2552" s="1">
        <v>2537</v>
      </c>
      <c r="C2552" s="5">
        <f ca="1"/>
        <v>0.20800539196048201</v>
      </c>
      <c r="D2552" s="5">
        <f ca="1">S0*EXP((μ-0.5*σ*σ)*T+σ*SQRT(T)*$C2552)</f>
        <v>0.67827321065954294</v>
      </c>
      <c r="E2552" s="5">
        <f ca="1">MAX(0,CP*(D2552-K))</f>
        <v>0</v>
      </c>
      <c r="F2552" s="4">
        <f ca="1">(CP*(D2552-K)&gt;0)*1</f>
        <v>0</v>
      </c>
      <c r="H2552" s="4">
        <v>2537</v>
      </c>
      <c r="I2552" s="3">
        <v>0.66770349779621685</v>
      </c>
      <c r="J2552" s="128">
        <v>1.420363187304002E-3</v>
      </c>
      <c r="K2552" s="128"/>
      <c r="L2552" s="128">
        <v>4.1799999999999997E-2</v>
      </c>
      <c r="O2552" s="2"/>
    </row>
    <row r="2553" spans="2:15" x14ac:dyDescent="0.2">
      <c r="B2553" s="1">
        <v>2538</v>
      </c>
      <c r="C2553" s="5">
        <f ca="1"/>
        <v>-0.82675643050953995</v>
      </c>
      <c r="D2553" s="5">
        <f ca="1">S0*EXP((μ-0.5*σ*σ)*T+σ*SQRT(T)*$C2553)</f>
        <v>0.61249184159312886</v>
      </c>
      <c r="E2553" s="5">
        <f ca="1">MAX(0,CP*(D2553-K))</f>
        <v>0</v>
      </c>
      <c r="F2553" s="4">
        <f ca="1">(CP*(D2553-K)&gt;0)*1</f>
        <v>0</v>
      </c>
      <c r="H2553" s="4">
        <v>2538</v>
      </c>
      <c r="I2553" s="3">
        <v>0.66763226424892652</v>
      </c>
      <c r="J2553" s="128">
        <v>1.3266100397040458E-3</v>
      </c>
      <c r="K2553" s="128"/>
      <c r="L2553" s="128">
        <v>3.8399999999999997E-2</v>
      </c>
      <c r="O2553" s="2"/>
    </row>
    <row r="2554" spans="2:15" x14ac:dyDescent="0.2">
      <c r="B2554" s="1">
        <v>2539</v>
      </c>
      <c r="C2554" s="5">
        <f ca="1"/>
        <v>-1.0628532195580702</v>
      </c>
      <c r="D2554" s="5">
        <f ca="1">S0*EXP((μ-0.5*σ*σ)*T+σ*SQRT(T)*$C2554)</f>
        <v>0.59840000644789593</v>
      </c>
      <c r="E2554" s="5">
        <f ca="1">MAX(0,CP*(D2554-K))</f>
        <v>0</v>
      </c>
      <c r="F2554" s="4">
        <f ca="1">(CP*(D2554-K)&gt;0)*1</f>
        <v>0</v>
      </c>
      <c r="H2554" s="4">
        <v>2539</v>
      </c>
      <c r="I2554" s="3">
        <v>0.66770666814320156</v>
      </c>
      <c r="J2554" s="128">
        <v>1.320283294471073E-3</v>
      </c>
      <c r="K2554" s="128"/>
      <c r="L2554" s="128">
        <v>4.0399999999999998E-2</v>
      </c>
      <c r="O2554" s="2"/>
    </row>
    <row r="2555" spans="2:15" x14ac:dyDescent="0.2">
      <c r="B2555" s="1">
        <v>2540</v>
      </c>
      <c r="C2555" s="5">
        <f ca="1"/>
        <v>0.54006325175176295</v>
      </c>
      <c r="D2555" s="5">
        <f ca="1">S0*EXP((μ-0.5*σ*σ)*T+σ*SQRT(T)*$C2555)</f>
        <v>0.70084511680407746</v>
      </c>
      <c r="E2555" s="5">
        <f ca="1">MAX(0,CP*(D2555-K))</f>
        <v>0</v>
      </c>
      <c r="F2555" s="4">
        <f ca="1">(CP*(D2555-K)&gt;0)*1</f>
        <v>0</v>
      </c>
      <c r="H2555" s="4">
        <v>2540</v>
      </c>
      <c r="I2555" s="3">
        <v>0.6678990464305482</v>
      </c>
      <c r="J2555" s="128">
        <v>1.4834562321523032E-3</v>
      </c>
      <c r="K2555" s="128"/>
      <c r="L2555" s="128">
        <v>4.7399999999999998E-2</v>
      </c>
      <c r="O2555" s="2"/>
    </row>
    <row r="2556" spans="2:15" x14ac:dyDescent="0.2">
      <c r="B2556" s="1">
        <v>2541</v>
      </c>
      <c r="C2556" s="5">
        <f ca="1"/>
        <v>-3.4430598812903966E-2</v>
      </c>
      <c r="D2556" s="5">
        <f ca="1">S0*EXP((μ-0.5*σ*σ)*T+σ*SQRT(T)*$C2556)</f>
        <v>0.66225390284212271</v>
      </c>
      <c r="E2556" s="5">
        <f ca="1">MAX(0,CP*(D2556-K))</f>
        <v>0</v>
      </c>
      <c r="F2556" s="4">
        <f ca="1">(CP*(D2556-K)&gt;0)*1</f>
        <v>0</v>
      </c>
      <c r="H2556" s="4">
        <v>2541</v>
      </c>
      <c r="I2556" s="3">
        <v>0.66763947977257199</v>
      </c>
      <c r="J2556" s="128">
        <v>1.2672195470731398E-3</v>
      </c>
      <c r="K2556" s="128"/>
      <c r="L2556" s="128">
        <v>3.7199999999999997E-2</v>
      </c>
      <c r="O2556" s="2"/>
    </row>
    <row r="2557" spans="2:15" x14ac:dyDescent="0.2">
      <c r="B2557" s="1">
        <v>2542</v>
      </c>
      <c r="C2557" s="5">
        <f ca="1"/>
        <v>0.75416775905443767</v>
      </c>
      <c r="D2557" s="5">
        <f ca="1">S0*EXP((μ-0.5*σ*σ)*T+σ*SQRT(T)*$C2557)</f>
        <v>0.71579580532035403</v>
      </c>
      <c r="E2557" s="5">
        <f ca="1">MAX(0,CP*(D2557-K))</f>
        <v>0</v>
      </c>
      <c r="F2557" s="4">
        <f ca="1">(CP*(D2557-K)&gt;0)*1</f>
        <v>0</v>
      </c>
      <c r="H2557" s="4">
        <v>2542</v>
      </c>
      <c r="I2557" s="3">
        <v>0.66784106560755985</v>
      </c>
      <c r="J2557" s="128">
        <v>1.4723334402930422E-3</v>
      </c>
      <c r="K2557" s="128"/>
      <c r="L2557" s="128">
        <v>4.2599999999999999E-2</v>
      </c>
      <c r="O2557" s="2"/>
    </row>
    <row r="2558" spans="2:15" x14ac:dyDescent="0.2">
      <c r="B2558" s="1">
        <v>2543</v>
      </c>
      <c r="C2558" s="5">
        <f ca="1"/>
        <v>-1.0253226804756614</v>
      </c>
      <c r="D2558" s="5">
        <f ca="1">S0*EXP((μ-0.5*σ*σ)*T+σ*SQRT(T)*$C2558)</f>
        <v>0.60061821213327571</v>
      </c>
      <c r="E2558" s="5">
        <f ca="1">MAX(0,CP*(D2558-K))</f>
        <v>0</v>
      </c>
      <c r="F2558" s="4">
        <f ca="1">(CP*(D2558-K)&gt;0)*1</f>
        <v>0</v>
      </c>
      <c r="H2558" s="4">
        <v>2543</v>
      </c>
      <c r="I2558" s="3">
        <v>0.66778244740688775</v>
      </c>
      <c r="J2558" s="128">
        <v>1.3554290522148824E-3</v>
      </c>
      <c r="K2558" s="128"/>
      <c r="L2558" s="128">
        <v>4.0800000000000003E-2</v>
      </c>
      <c r="O2558" s="2"/>
    </row>
    <row r="2559" spans="2:15" x14ac:dyDescent="0.2">
      <c r="B2559" s="1">
        <v>2544</v>
      </c>
      <c r="C2559" s="5">
        <f ca="1"/>
        <v>4.1529755584930959E-2</v>
      </c>
      <c r="D2559" s="5">
        <f ca="1">S0*EXP((μ-0.5*σ*σ)*T+σ*SQRT(T)*$C2559)</f>
        <v>0.66723196600913481</v>
      </c>
      <c r="E2559" s="5">
        <f ca="1">MAX(0,CP*(D2559-K))</f>
        <v>0</v>
      </c>
      <c r="F2559" s="4">
        <f ca="1">(CP*(D2559-K)&gt;0)*1</f>
        <v>0</v>
      </c>
      <c r="H2559" s="4">
        <v>2544</v>
      </c>
      <c r="I2559" s="3">
        <v>0.66780047552087762</v>
      </c>
      <c r="J2559" s="128">
        <v>1.445803949438166E-3</v>
      </c>
      <c r="K2559" s="128"/>
      <c r="L2559" s="128">
        <v>4.0399999999999998E-2</v>
      </c>
      <c r="O2559" s="2"/>
    </row>
    <row r="2560" spans="2:15" x14ac:dyDescent="0.2">
      <c r="B2560" s="1">
        <v>2545</v>
      </c>
      <c r="C2560" s="5">
        <f ca="1"/>
        <v>-1.5380517217320529E-2</v>
      </c>
      <c r="D2560" s="5">
        <f ca="1">S0*EXP((μ-0.5*σ*σ)*T+σ*SQRT(T)*$C2560)</f>
        <v>0.66349885016332211</v>
      </c>
      <c r="E2560" s="5">
        <f ca="1">MAX(0,CP*(D2560-K))</f>
        <v>0</v>
      </c>
      <c r="F2560" s="4">
        <f ca="1">(CP*(D2560-K)&gt;0)*1</f>
        <v>0</v>
      </c>
      <c r="H2560" s="4">
        <v>2545</v>
      </c>
      <c r="I2560" s="3">
        <v>0.66778074302899748</v>
      </c>
      <c r="J2560" s="128">
        <v>1.4951560728462166E-3</v>
      </c>
      <c r="K2560" s="128"/>
      <c r="L2560" s="128">
        <v>4.1399999999999999E-2</v>
      </c>
      <c r="O2560" s="2"/>
    </row>
    <row r="2561" spans="2:15" x14ac:dyDescent="0.2">
      <c r="B2561" s="1">
        <v>2546</v>
      </c>
      <c r="C2561" s="5">
        <f ca="1"/>
        <v>0.94530395657590272</v>
      </c>
      <c r="D2561" s="5">
        <f ca="1">S0*EXP((μ-0.5*σ*σ)*T+σ*SQRT(T)*$C2561)</f>
        <v>0.72941188486899355</v>
      </c>
      <c r="E2561" s="5">
        <f ca="1">MAX(0,CP*(D2561-K))</f>
        <v>0</v>
      </c>
      <c r="F2561" s="4">
        <f ca="1">(CP*(D2561-K)&gt;0)*1</f>
        <v>0</v>
      </c>
      <c r="H2561" s="4">
        <v>2546</v>
      </c>
      <c r="I2561" s="3">
        <v>0.66782579537494335</v>
      </c>
      <c r="J2561" s="128">
        <v>1.3779553767354613E-3</v>
      </c>
      <c r="K2561" s="128"/>
      <c r="L2561" s="128">
        <v>4.2599999999999999E-2</v>
      </c>
      <c r="O2561" s="2"/>
    </row>
    <row r="2562" spans="2:15" x14ac:dyDescent="0.2">
      <c r="B2562" s="1">
        <v>2547</v>
      </c>
      <c r="C2562" s="5">
        <f ca="1"/>
        <v>0.98825811275778086</v>
      </c>
      <c r="D2562" s="5">
        <f ca="1">S0*EXP((μ-0.5*σ*σ)*T+σ*SQRT(T)*$C2562)</f>
        <v>0.7325073052284109</v>
      </c>
      <c r="E2562" s="5">
        <f ca="1">MAX(0,CP*(D2562-K))</f>
        <v>0</v>
      </c>
      <c r="F2562" s="4">
        <f ca="1">(CP*(D2562-K)&gt;0)*1</f>
        <v>0</v>
      </c>
      <c r="H2562" s="4">
        <v>2547</v>
      </c>
      <c r="I2562" s="3">
        <v>0.66788441744430604</v>
      </c>
      <c r="J2562" s="128">
        <v>1.5811261077882423E-3</v>
      </c>
      <c r="K2562" s="128"/>
      <c r="L2562" s="128">
        <v>4.3200000000000002E-2</v>
      </c>
      <c r="O2562" s="2"/>
    </row>
    <row r="2563" spans="2:15" x14ac:dyDescent="0.2">
      <c r="B2563" s="1">
        <v>2548</v>
      </c>
      <c r="C2563" s="5">
        <f ca="1"/>
        <v>0.43553467622410164</v>
      </c>
      <c r="D2563" s="5">
        <f ca="1">S0*EXP((μ-0.5*σ*σ)*T+σ*SQRT(T)*$C2563)</f>
        <v>0.69365984868419506</v>
      </c>
      <c r="E2563" s="5">
        <f ca="1">MAX(0,CP*(D2563-K))</f>
        <v>0</v>
      </c>
      <c r="F2563" s="4">
        <f ca="1">(CP*(D2563-K)&gt;0)*1</f>
        <v>0</v>
      </c>
      <c r="H2563" s="4">
        <v>2548</v>
      </c>
      <c r="I2563" s="3">
        <v>0.66774268828422867</v>
      </c>
      <c r="J2563" s="128">
        <v>1.2928302909770227E-3</v>
      </c>
      <c r="K2563" s="128"/>
      <c r="L2563" s="128">
        <v>4.4600000000000001E-2</v>
      </c>
      <c r="O2563" s="2"/>
    </row>
    <row r="2564" spans="2:15" x14ac:dyDescent="0.2">
      <c r="B2564" s="1">
        <v>2549</v>
      </c>
      <c r="C2564" s="5">
        <f ca="1"/>
        <v>0.23594250102454115</v>
      </c>
      <c r="D2564" s="5">
        <f ca="1">S0*EXP((μ-0.5*σ*σ)*T+σ*SQRT(T)*$C2564)</f>
        <v>0.68014391891570181</v>
      </c>
      <c r="E2564" s="5">
        <f ca="1">MAX(0,CP*(D2564-K))</f>
        <v>0</v>
      </c>
      <c r="F2564" s="4">
        <f ca="1">(CP*(D2564-K)&gt;0)*1</f>
        <v>0</v>
      </c>
      <c r="H2564" s="4">
        <v>2549</v>
      </c>
      <c r="I2564" s="3">
        <v>0.66769254648818388</v>
      </c>
      <c r="J2564" s="128">
        <v>1.3115172474093017E-3</v>
      </c>
      <c r="K2564" s="128"/>
      <c r="L2564" s="128">
        <v>4.0599999999999997E-2</v>
      </c>
      <c r="O2564" s="2"/>
    </row>
    <row r="2565" spans="2:15" x14ac:dyDescent="0.2">
      <c r="B2565" s="1">
        <v>2550</v>
      </c>
      <c r="C2565" s="5">
        <f ca="1"/>
        <v>-0.32490895877595954</v>
      </c>
      <c r="D2565" s="5">
        <f ca="1">S0*EXP((μ-0.5*σ*σ)*T+σ*SQRT(T)*$C2565)</f>
        <v>0.64355757515703715</v>
      </c>
      <c r="E2565" s="5">
        <f ca="1">MAX(0,CP*(D2565-K))</f>
        <v>0</v>
      </c>
      <c r="F2565" s="4">
        <f ca="1">(CP*(D2565-K)&gt;0)*1</f>
        <v>0</v>
      </c>
      <c r="H2565" s="4">
        <v>2550</v>
      </c>
      <c r="I2565" s="3">
        <v>0.66772278978634902</v>
      </c>
      <c r="J2565" s="128">
        <v>1.2684027584181283E-3</v>
      </c>
      <c r="K2565" s="128"/>
      <c r="L2565" s="128">
        <v>3.8600000000000002E-2</v>
      </c>
      <c r="O2565" s="2"/>
    </row>
    <row r="2566" spans="2:15" x14ac:dyDescent="0.2">
      <c r="B2566" s="1">
        <v>2551</v>
      </c>
      <c r="C2566" s="5">
        <f ca="1"/>
        <v>2.3291897029918069</v>
      </c>
      <c r="D2566" s="5">
        <f ca="1">S0*EXP((μ-0.5*σ*σ)*T+σ*SQRT(T)*$C2566)</f>
        <v>0.83603657859612601</v>
      </c>
      <c r="E2566" s="5">
        <f ca="1">MAX(0,CP*(D2566-K))</f>
        <v>4.7836578596126E-2</v>
      </c>
      <c r="F2566" s="4">
        <f ca="1">(CP*(D2566-K)&gt;0)*1</f>
        <v>1</v>
      </c>
      <c r="H2566" s="4">
        <v>2551</v>
      </c>
      <c r="I2566" s="3">
        <v>0.6677830550092313</v>
      </c>
      <c r="J2566" s="128">
        <v>1.4716315131792247E-3</v>
      </c>
      <c r="K2566" s="128"/>
      <c r="L2566" s="128">
        <v>4.3799999999999999E-2</v>
      </c>
      <c r="O2566" s="2"/>
    </row>
    <row r="2567" spans="2:15" x14ac:dyDescent="0.2">
      <c r="B2567" s="1">
        <v>2552</v>
      </c>
      <c r="C2567" s="5">
        <f ca="1"/>
        <v>1.5342809660066299</v>
      </c>
      <c r="D2567" s="5">
        <f ca="1">S0*EXP((μ-0.5*σ*σ)*T+σ*SQRT(T)*$C2567)</f>
        <v>0.77301953920233435</v>
      </c>
      <c r="E2567" s="5">
        <f ca="1">MAX(0,CP*(D2567-K))</f>
        <v>0</v>
      </c>
      <c r="F2567" s="4">
        <f ca="1">(CP*(D2567-K)&gt;0)*1</f>
        <v>0</v>
      </c>
      <c r="H2567" s="4">
        <v>2552</v>
      </c>
      <c r="I2567" s="3">
        <v>0.66775398583057544</v>
      </c>
      <c r="J2567" s="128">
        <v>1.2848326837352618E-3</v>
      </c>
      <c r="K2567" s="128"/>
      <c r="L2567" s="128">
        <v>4.3200000000000002E-2</v>
      </c>
      <c r="O2567" s="2"/>
    </row>
    <row r="2568" spans="2:15" x14ac:dyDescent="0.2">
      <c r="B2568" s="1">
        <v>2553</v>
      </c>
      <c r="C2568" s="5">
        <f ca="1"/>
        <v>1.0838470551204542</v>
      </c>
      <c r="D2568" s="5">
        <f ca="1">S0*EXP((μ-0.5*σ*σ)*T+σ*SQRT(T)*$C2568)</f>
        <v>0.73944298945546749</v>
      </c>
      <c r="E2568" s="5">
        <f ca="1">MAX(0,CP*(D2568-K))</f>
        <v>0</v>
      </c>
      <c r="F2568" s="4">
        <f ca="1">(CP*(D2568-K)&gt;0)*1</f>
        <v>0</v>
      </c>
      <c r="H2568" s="4">
        <v>2553</v>
      </c>
      <c r="I2568" s="3">
        <v>0.66767068444926236</v>
      </c>
      <c r="J2568" s="128">
        <v>1.3793027786548904E-3</v>
      </c>
      <c r="K2568" s="128"/>
      <c r="L2568" s="128">
        <v>0.04</v>
      </c>
      <c r="O2568" s="2"/>
    </row>
    <row r="2569" spans="2:15" x14ac:dyDescent="0.2">
      <c r="B2569" s="1">
        <v>2554</v>
      </c>
      <c r="C2569" s="5">
        <f ca="1"/>
        <v>-0.65416667612754864</v>
      </c>
      <c r="D2569" s="5">
        <f ca="1">S0*EXP((μ-0.5*σ*σ)*T+σ*SQRT(T)*$C2569)</f>
        <v>0.62300267322574465</v>
      </c>
      <c r="E2569" s="5">
        <f ca="1">MAX(0,CP*(D2569-K))</f>
        <v>0</v>
      </c>
      <c r="F2569" s="4">
        <f ca="1">(CP*(D2569-K)&gt;0)*1</f>
        <v>0</v>
      </c>
      <c r="H2569" s="4">
        <v>2554</v>
      </c>
      <c r="I2569" s="3">
        <v>0.66758846491034018</v>
      </c>
      <c r="J2569" s="128">
        <v>1.223481309609544E-3</v>
      </c>
      <c r="K2569" s="128"/>
      <c r="L2569" s="128">
        <v>3.9800000000000002E-2</v>
      </c>
      <c r="O2569" s="2"/>
    </row>
    <row r="2570" spans="2:15" x14ac:dyDescent="0.2">
      <c r="B2570" s="1">
        <v>2555</v>
      </c>
      <c r="C2570" s="5">
        <f ca="1"/>
        <v>-0.80551394830604373</v>
      </c>
      <c r="D2570" s="5">
        <f ca="1">S0*EXP((μ-0.5*σ*σ)*T+σ*SQRT(T)*$C2570)</f>
        <v>0.61377589216987705</v>
      </c>
      <c r="E2570" s="5">
        <f ca="1">MAX(0,CP*(D2570-K))</f>
        <v>0</v>
      </c>
      <c r="F2570" s="4">
        <f ca="1">(CP*(D2570-K)&gt;0)*1</f>
        <v>0</v>
      </c>
      <c r="H2570" s="4">
        <v>2555</v>
      </c>
      <c r="I2570" s="3">
        <v>0.66773954146140313</v>
      </c>
      <c r="J2570" s="128">
        <v>1.2855198652551734E-3</v>
      </c>
      <c r="K2570" s="128"/>
      <c r="L2570" s="128">
        <v>0.04</v>
      </c>
      <c r="O2570" s="2"/>
    </row>
    <row r="2571" spans="2:15" x14ac:dyDescent="0.2">
      <c r="B2571" s="1">
        <v>2556</v>
      </c>
      <c r="C2571" s="5">
        <f ca="1"/>
        <v>-9.6004825149609466E-2</v>
      </c>
      <c r="D2571" s="5">
        <f ca="1">S0*EXP((μ-0.5*σ*σ)*T+σ*SQRT(T)*$C2571)</f>
        <v>0.65824590299156527</v>
      </c>
      <c r="E2571" s="5">
        <f ca="1">MAX(0,CP*(D2571-K))</f>
        <v>0</v>
      </c>
      <c r="F2571" s="4">
        <f ca="1">(CP*(D2571-K)&gt;0)*1</f>
        <v>0</v>
      </c>
      <c r="H2571" s="4">
        <v>2556</v>
      </c>
      <c r="I2571" s="3">
        <v>0.66780064576697429</v>
      </c>
      <c r="J2571" s="128">
        <v>1.370922802895019E-3</v>
      </c>
      <c r="K2571" s="128"/>
      <c r="L2571" s="128">
        <v>4.4600000000000001E-2</v>
      </c>
      <c r="O2571" s="2"/>
    </row>
    <row r="2572" spans="2:15" x14ac:dyDescent="0.2">
      <c r="B2572" s="1">
        <v>2557</v>
      </c>
      <c r="C2572" s="5">
        <f ca="1"/>
        <v>1.097906115421599</v>
      </c>
      <c r="D2572" s="5">
        <f ca="1">S0*EXP((μ-0.5*σ*σ)*T+σ*SQRT(T)*$C2572)</f>
        <v>0.74046860293743511</v>
      </c>
      <c r="E2572" s="5">
        <f ca="1">MAX(0,CP*(D2572-K))</f>
        <v>0</v>
      </c>
      <c r="F2572" s="4">
        <f ca="1">(CP*(D2572-K)&gt;0)*1</f>
        <v>0</v>
      </c>
      <c r="H2572" s="4">
        <v>2557</v>
      </c>
      <c r="I2572" s="3">
        <v>0.6677350178795447</v>
      </c>
      <c r="J2572" s="128">
        <v>1.4246512688592084E-3</v>
      </c>
      <c r="K2572" s="128"/>
      <c r="L2572" s="128">
        <v>4.1000000000000002E-2</v>
      </c>
      <c r="O2572" s="2"/>
    </row>
    <row r="2573" spans="2:15" x14ac:dyDescent="0.2">
      <c r="B2573" s="1">
        <v>2558</v>
      </c>
      <c r="C2573" s="5">
        <f ca="1"/>
        <v>0.92850315732861222</v>
      </c>
      <c r="D2573" s="5">
        <f ca="1">S0*EXP((μ-0.5*σ*σ)*T+σ*SQRT(T)*$C2573)</f>
        <v>0.72820472475742326</v>
      </c>
      <c r="E2573" s="5">
        <f ca="1">MAX(0,CP*(D2573-K))</f>
        <v>0</v>
      </c>
      <c r="F2573" s="4">
        <f ca="1">(CP*(D2573-K)&gt;0)*1</f>
        <v>0</v>
      </c>
      <c r="H2573" s="4">
        <v>2558</v>
      </c>
      <c r="I2573" s="3">
        <v>0.66771077127486811</v>
      </c>
      <c r="J2573" s="128">
        <v>1.2724220575268837E-3</v>
      </c>
      <c r="K2573" s="128"/>
      <c r="L2573" s="128">
        <v>4.02E-2</v>
      </c>
      <c r="O2573" s="2"/>
    </row>
    <row r="2574" spans="2:15" x14ac:dyDescent="0.2">
      <c r="B2574" s="1">
        <v>2559</v>
      </c>
      <c r="C2574" s="5">
        <f ca="1"/>
        <v>-0.85679197483643599</v>
      </c>
      <c r="D2574" s="5">
        <f ca="1">S0*EXP((μ-0.5*σ*σ)*T+σ*SQRT(T)*$C2574)</f>
        <v>0.61068085725849108</v>
      </c>
      <c r="E2574" s="5">
        <f ca="1">MAX(0,CP*(D2574-K))</f>
        <v>0</v>
      </c>
      <c r="F2574" s="4">
        <f ca="1">(CP*(D2574-K)&gt;0)*1</f>
        <v>0</v>
      </c>
      <c r="H2574" s="4">
        <v>2559</v>
      </c>
      <c r="I2574" s="3">
        <v>0.66784938849133746</v>
      </c>
      <c r="J2574" s="128">
        <v>1.4215349709975323E-3</v>
      </c>
      <c r="K2574" s="128"/>
      <c r="L2574" s="128">
        <v>4.3799999999999999E-2</v>
      </c>
      <c r="O2574" s="2"/>
    </row>
    <row r="2575" spans="2:15" x14ac:dyDescent="0.2">
      <c r="B2575" s="1">
        <v>2560</v>
      </c>
      <c r="C2575" s="5">
        <f ca="1"/>
        <v>-0.32535859246971877</v>
      </c>
      <c r="D2575" s="5">
        <f ca="1">S0*EXP((μ-0.5*σ*σ)*T+σ*SQRT(T)*$C2575)</f>
        <v>0.64352904800941213</v>
      </c>
      <c r="E2575" s="5">
        <f ca="1">MAX(0,CP*(D2575-K))</f>
        <v>0</v>
      </c>
      <c r="F2575" s="4">
        <f ca="1">(CP*(D2575-K)&gt;0)*1</f>
        <v>0</v>
      </c>
      <c r="H2575" s="4">
        <v>2560</v>
      </c>
      <c r="I2575" s="3">
        <v>0.66767487869245656</v>
      </c>
      <c r="J2575" s="128">
        <v>1.3598442145994665E-3</v>
      </c>
      <c r="K2575" s="128"/>
      <c r="L2575" s="128">
        <v>4.0599999999999997E-2</v>
      </c>
      <c r="O2575" s="2"/>
    </row>
    <row r="2576" spans="2:15" x14ac:dyDescent="0.2">
      <c r="B2576" s="1">
        <v>2561</v>
      </c>
      <c r="C2576" s="5">
        <f ca="1"/>
        <v>-1.007054721769671</v>
      </c>
      <c r="D2576" s="5">
        <f ca="1">S0*EXP((μ-0.5*σ*σ)*T+σ*SQRT(T)*$C2576)</f>
        <v>0.60170089528309478</v>
      </c>
      <c r="E2576" s="5">
        <f ca="1">MAX(0,CP*(D2576-K))</f>
        <v>0</v>
      </c>
      <c r="F2576" s="4">
        <f ca="1">(CP*(D2576-K)&gt;0)*1</f>
        <v>0</v>
      </c>
      <c r="H2576" s="4">
        <v>2561</v>
      </c>
      <c r="I2576" s="3">
        <v>0.66775871093743966</v>
      </c>
      <c r="J2576" s="128">
        <v>1.3753680011878732E-3</v>
      </c>
      <c r="K2576" s="128"/>
      <c r="L2576" s="128">
        <v>4.36E-2</v>
      </c>
      <c r="O2576" s="2"/>
    </row>
    <row r="2577" spans="2:15" x14ac:dyDescent="0.2">
      <c r="B2577" s="1">
        <v>2562</v>
      </c>
      <c r="C2577" s="5">
        <f ca="1"/>
        <v>0.21509295822112309</v>
      </c>
      <c r="D2577" s="5">
        <f ca="1">S0*EXP((μ-0.5*σ*σ)*T+σ*SQRT(T)*$C2577)</f>
        <v>0.67874731644653019</v>
      </c>
      <c r="E2577" s="5">
        <f ca="1">MAX(0,CP*(D2577-K))</f>
        <v>0</v>
      </c>
      <c r="F2577" s="4">
        <f ca="1">(CP*(D2577-K)&gt;0)*1</f>
        <v>0</v>
      </c>
      <c r="H2577" s="4">
        <v>2562</v>
      </c>
      <c r="I2577" s="3">
        <v>0.66784255992705543</v>
      </c>
      <c r="J2577" s="128">
        <v>1.3925345484659345E-3</v>
      </c>
      <c r="K2577" s="128"/>
      <c r="L2577" s="128">
        <v>4.1399999999999999E-2</v>
      </c>
      <c r="O2577" s="2"/>
    </row>
    <row r="2578" spans="2:15" x14ac:dyDescent="0.2">
      <c r="B2578" s="1">
        <v>2563</v>
      </c>
      <c r="C2578" s="5">
        <f ca="1"/>
        <v>0.3699818669017047</v>
      </c>
      <c r="D2578" s="5">
        <f ca="1">S0*EXP((μ-0.5*σ*σ)*T+σ*SQRT(T)*$C2578)</f>
        <v>0.68919139781400141</v>
      </c>
      <c r="E2578" s="5">
        <f ca="1">MAX(0,CP*(D2578-K))</f>
        <v>0</v>
      </c>
      <c r="F2578" s="4">
        <f ca="1">(CP*(D2578-K)&gt;0)*1</f>
        <v>0</v>
      </c>
      <c r="H2578" s="4">
        <v>2563</v>
      </c>
      <c r="I2578" s="3">
        <v>0.66781577242030665</v>
      </c>
      <c r="J2578" s="128">
        <v>1.361061908278181E-3</v>
      </c>
      <c r="K2578" s="128"/>
      <c r="L2578" s="128">
        <v>4.4400000000000002E-2</v>
      </c>
      <c r="O2578" s="2"/>
    </row>
    <row r="2579" spans="2:15" x14ac:dyDescent="0.2">
      <c r="B2579" s="1">
        <v>2564</v>
      </c>
      <c r="C2579" s="5">
        <f ca="1"/>
        <v>1.2040115556430127</v>
      </c>
      <c r="D2579" s="5">
        <f ca="1">S0*EXP((μ-0.5*σ*σ)*T+σ*SQRT(T)*$C2579)</f>
        <v>0.74825505305341888</v>
      </c>
      <c r="E2579" s="5">
        <f ca="1">MAX(0,CP*(D2579-K))</f>
        <v>0</v>
      </c>
      <c r="F2579" s="4">
        <f ca="1">(CP*(D2579-K)&gt;0)*1</f>
        <v>0</v>
      </c>
      <c r="H2579" s="4">
        <v>2564</v>
      </c>
      <c r="I2579" s="3">
        <v>0.66785633946641942</v>
      </c>
      <c r="J2579" s="128">
        <v>1.5778518792007098E-3</v>
      </c>
      <c r="K2579" s="128"/>
      <c r="L2579" s="128">
        <v>4.36E-2</v>
      </c>
      <c r="O2579" s="2"/>
    </row>
    <row r="2580" spans="2:15" x14ac:dyDescent="0.2">
      <c r="B2580" s="1">
        <v>2565</v>
      </c>
      <c r="C2580" s="5">
        <f ca="1"/>
        <v>-0.22080553602752434</v>
      </c>
      <c r="D2580" s="5">
        <f ca="1">S0*EXP((μ-0.5*σ*σ)*T+σ*SQRT(T)*$C2580)</f>
        <v>0.65019660602198504</v>
      </c>
      <c r="E2580" s="5">
        <f ca="1">MAX(0,CP*(D2580-K))</f>
        <v>0</v>
      </c>
      <c r="F2580" s="4">
        <f ca="1">(CP*(D2580-K)&gt;0)*1</f>
        <v>0</v>
      </c>
      <c r="H2580" s="4">
        <v>2565</v>
      </c>
      <c r="I2580" s="3">
        <v>0.6678192253716666</v>
      </c>
      <c r="J2580" s="128">
        <v>1.4392974307315179E-3</v>
      </c>
      <c r="K2580" s="128"/>
      <c r="L2580" s="128">
        <v>4.36E-2</v>
      </c>
      <c r="O2580" s="2"/>
    </row>
    <row r="2581" spans="2:15" x14ac:dyDescent="0.2">
      <c r="B2581" s="1">
        <v>2566</v>
      </c>
      <c r="C2581" s="5">
        <f ca="1"/>
        <v>8.9025992764748388E-2</v>
      </c>
      <c r="D2581" s="5">
        <f ca="1">S0*EXP((μ-0.5*σ*σ)*T+σ*SQRT(T)*$C2581)</f>
        <v>0.67036362860897702</v>
      </c>
      <c r="E2581" s="5">
        <f ca="1">MAX(0,CP*(D2581-K))</f>
        <v>0</v>
      </c>
      <c r="F2581" s="4">
        <f ca="1">(CP*(D2581-K)&gt;0)*1</f>
        <v>0</v>
      </c>
      <c r="H2581" s="4">
        <v>2566</v>
      </c>
      <c r="I2581" s="3">
        <v>0.66782019497659673</v>
      </c>
      <c r="J2581" s="128">
        <v>1.3356865027365655E-3</v>
      </c>
      <c r="K2581" s="128"/>
      <c r="L2581" s="128">
        <v>4.2999999999999997E-2</v>
      </c>
      <c r="O2581" s="2"/>
    </row>
    <row r="2582" spans="2:15" x14ac:dyDescent="0.2">
      <c r="B2582" s="1">
        <v>2567</v>
      </c>
      <c r="C2582" s="5">
        <f ca="1"/>
        <v>-5.8840358924923841E-2</v>
      </c>
      <c r="D2582" s="5">
        <f ca="1">S0*EXP((μ-0.5*σ*σ)*T+σ*SQRT(T)*$C2582)</f>
        <v>0.66066210724523755</v>
      </c>
      <c r="E2582" s="5">
        <f ca="1">MAX(0,CP*(D2582-K))</f>
        <v>0</v>
      </c>
      <c r="F2582" s="4">
        <f ca="1">(CP*(D2582-K)&gt;0)*1</f>
        <v>0</v>
      </c>
      <c r="H2582" s="4">
        <v>2567</v>
      </c>
      <c r="I2582" s="3">
        <v>0.6676474062521307</v>
      </c>
      <c r="J2582" s="128">
        <v>1.3029794606620915E-3</v>
      </c>
      <c r="K2582" s="128"/>
      <c r="L2582" s="128">
        <v>3.7999999999999999E-2</v>
      </c>
      <c r="O2582" s="2"/>
    </row>
    <row r="2583" spans="2:15" x14ac:dyDescent="0.2">
      <c r="B2583" s="1">
        <v>2568</v>
      </c>
      <c r="C2583" s="5">
        <f ca="1"/>
        <v>-0.47058679384897723</v>
      </c>
      <c r="D2583" s="5">
        <f ca="1">S0*EXP((μ-0.5*σ*σ)*T+σ*SQRT(T)*$C2583)</f>
        <v>0.63438085120363152</v>
      </c>
      <c r="E2583" s="5">
        <f ca="1">MAX(0,CP*(D2583-K))</f>
        <v>0</v>
      </c>
      <c r="F2583" s="4">
        <f ca="1">(CP*(D2583-K)&gt;0)*1</f>
        <v>0</v>
      </c>
      <c r="H2583" s="4">
        <v>2568</v>
      </c>
      <c r="I2583" s="3">
        <v>0.66780684433250515</v>
      </c>
      <c r="J2583" s="128">
        <v>1.3447197881795768E-3</v>
      </c>
      <c r="K2583" s="128"/>
      <c r="L2583" s="128">
        <v>4.4400000000000002E-2</v>
      </c>
      <c r="O2583" s="2"/>
    </row>
    <row r="2584" spans="2:15" x14ac:dyDescent="0.2">
      <c r="B2584" s="1">
        <v>2569</v>
      </c>
      <c r="C2584" s="5">
        <f ca="1"/>
        <v>0.37817235130525279</v>
      </c>
      <c r="D2584" s="5">
        <f ca="1">S0*EXP((μ-0.5*σ*σ)*T+σ*SQRT(T)*$C2584)</f>
        <v>0.68974813023125092</v>
      </c>
      <c r="E2584" s="5">
        <f ca="1">MAX(0,CP*(D2584-K))</f>
        <v>0</v>
      </c>
      <c r="F2584" s="4">
        <f ca="1">(CP*(D2584-K)&gt;0)*1</f>
        <v>0</v>
      </c>
      <c r="H2584" s="4">
        <v>2569</v>
      </c>
      <c r="I2584" s="3">
        <v>0.66769106392756017</v>
      </c>
      <c r="J2584" s="128">
        <v>1.389100395694548E-3</v>
      </c>
      <c r="K2584" s="128"/>
      <c r="L2584" s="128">
        <v>3.9E-2</v>
      </c>
      <c r="O2584" s="2"/>
    </row>
    <row r="2585" spans="2:15" x14ac:dyDescent="0.2">
      <c r="B2585" s="1">
        <v>2570</v>
      </c>
      <c r="C2585" s="5">
        <f ca="1"/>
        <v>-0.59281303948464403</v>
      </c>
      <c r="D2585" s="5">
        <f ca="1">S0*EXP((μ-0.5*σ*σ)*T+σ*SQRT(T)*$C2585)</f>
        <v>0.62678244920925485</v>
      </c>
      <c r="E2585" s="5">
        <f ca="1">MAX(0,CP*(D2585-K))</f>
        <v>0</v>
      </c>
      <c r="F2585" s="4">
        <f ca="1">(CP*(D2585-K)&gt;0)*1</f>
        <v>0</v>
      </c>
      <c r="H2585" s="4">
        <v>2570</v>
      </c>
      <c r="I2585" s="3">
        <v>0.66764884437721495</v>
      </c>
      <c r="J2585" s="128">
        <v>1.337287171534821E-3</v>
      </c>
      <c r="K2585" s="128"/>
      <c r="L2585" s="128">
        <v>3.8399999999999997E-2</v>
      </c>
      <c r="O2585" s="2"/>
    </row>
    <row r="2586" spans="2:15" x14ac:dyDescent="0.2">
      <c r="B2586" s="1">
        <v>2571</v>
      </c>
      <c r="C2586" s="5">
        <f ca="1"/>
        <v>0.85560071284595784</v>
      </c>
      <c r="D2586" s="5">
        <f ca="1">S0*EXP((μ-0.5*σ*σ)*T+σ*SQRT(T)*$C2586)</f>
        <v>0.72298968596582769</v>
      </c>
      <c r="E2586" s="5">
        <f ca="1">MAX(0,CP*(D2586-K))</f>
        <v>0</v>
      </c>
      <c r="F2586" s="4">
        <f ca="1">(CP*(D2586-K)&gt;0)*1</f>
        <v>0</v>
      </c>
      <c r="H2586" s="4">
        <v>2571</v>
      </c>
      <c r="I2586" s="3">
        <v>0.66763301354246218</v>
      </c>
      <c r="J2586" s="128">
        <v>1.1551333236523552E-3</v>
      </c>
      <c r="K2586" s="128"/>
      <c r="L2586" s="128">
        <v>0.04</v>
      </c>
      <c r="O2586" s="2"/>
    </row>
    <row r="2587" spans="2:15" x14ac:dyDescent="0.2">
      <c r="B2587" s="1">
        <v>2572</v>
      </c>
      <c r="C2587" s="5">
        <f ca="1"/>
        <v>-0.40158554311196254</v>
      </c>
      <c r="D2587" s="5">
        <f ca="1">S0*EXP((μ-0.5*σ*σ)*T+σ*SQRT(T)*$C2587)</f>
        <v>0.63871103932971351</v>
      </c>
      <c r="E2587" s="5">
        <f ca="1">MAX(0,CP*(D2587-K))</f>
        <v>0</v>
      </c>
      <c r="F2587" s="4">
        <f ca="1">(CP*(D2587-K)&gt;0)*1</f>
        <v>0</v>
      </c>
      <c r="H2587" s="4">
        <v>2572</v>
      </c>
      <c r="I2587" s="3">
        <v>0.66766473278602456</v>
      </c>
      <c r="J2587" s="128">
        <v>1.222436445519043E-3</v>
      </c>
      <c r="K2587" s="128"/>
      <c r="L2587" s="128">
        <v>4.2200000000000001E-2</v>
      </c>
      <c r="O2587" s="2"/>
    </row>
    <row r="2588" spans="2:15" x14ac:dyDescent="0.2">
      <c r="B2588" s="1">
        <v>2573</v>
      </c>
      <c r="C2588" s="5">
        <f ca="1"/>
        <v>1.5641437694683059E-2</v>
      </c>
      <c r="D2588" s="5">
        <f ca="1">S0*EXP((μ-0.5*σ*σ)*T+σ*SQRT(T)*$C2588)</f>
        <v>0.66553118538859324</v>
      </c>
      <c r="E2588" s="5">
        <f ca="1">MAX(0,CP*(D2588-K))</f>
        <v>0</v>
      </c>
      <c r="F2588" s="4">
        <f ca="1">(CP*(D2588-K)&gt;0)*1</f>
        <v>0</v>
      </c>
      <c r="H2588" s="4">
        <v>2573</v>
      </c>
      <c r="I2588" s="3">
        <v>0.66768266116272579</v>
      </c>
      <c r="J2588" s="128">
        <v>1.4009889676524778E-3</v>
      </c>
      <c r="K2588" s="128"/>
      <c r="L2588" s="128">
        <v>4.02E-2</v>
      </c>
      <c r="O2588" s="2"/>
    </row>
    <row r="2589" spans="2:15" x14ac:dyDescent="0.2">
      <c r="B2589" s="1">
        <v>2574</v>
      </c>
      <c r="C2589" s="5">
        <f ca="1"/>
        <v>0.82982118174153086</v>
      </c>
      <c r="D2589" s="5">
        <f ca="1">S0*EXP((μ-0.5*σ*σ)*T+σ*SQRT(T)*$C2589)</f>
        <v>0.7211545127381157</v>
      </c>
      <c r="E2589" s="5">
        <f ca="1">MAX(0,CP*(D2589-K))</f>
        <v>0</v>
      </c>
      <c r="F2589" s="4">
        <f ca="1">(CP*(D2589-K)&gt;0)*1</f>
        <v>0</v>
      </c>
      <c r="H2589" s="4">
        <v>2574</v>
      </c>
      <c r="I2589" s="3">
        <v>0.66774958498055115</v>
      </c>
      <c r="J2589" s="128">
        <v>1.3925575747402903E-3</v>
      </c>
      <c r="K2589" s="128"/>
      <c r="L2589" s="128">
        <v>4.1399999999999999E-2</v>
      </c>
      <c r="O2589" s="2"/>
    </row>
    <row r="2590" spans="2:15" x14ac:dyDescent="0.2">
      <c r="B2590" s="1">
        <v>2575</v>
      </c>
      <c r="C2590" s="5">
        <f ca="1"/>
        <v>0.60000473932250442</v>
      </c>
      <c r="D2590" s="5">
        <f ca="1">S0*EXP((μ-0.5*σ*σ)*T+σ*SQRT(T)*$C2590)</f>
        <v>0.70499900829916029</v>
      </c>
      <c r="E2590" s="5">
        <f ca="1">MAX(0,CP*(D2590-K))</f>
        <v>0</v>
      </c>
      <c r="F2590" s="4">
        <f ca="1">(CP*(D2590-K)&gt;0)*1</f>
        <v>0</v>
      </c>
      <c r="H2590" s="4">
        <v>2575</v>
      </c>
      <c r="I2590" s="3">
        <v>0.66800856714829604</v>
      </c>
      <c r="J2590" s="128">
        <v>1.5991040782316506E-3</v>
      </c>
      <c r="K2590" s="128"/>
      <c r="L2590" s="128">
        <v>5.0200000000000002E-2</v>
      </c>
      <c r="O2590" s="2"/>
    </row>
    <row r="2591" spans="2:15" x14ac:dyDescent="0.2">
      <c r="B2591" s="1">
        <v>2576</v>
      </c>
      <c r="C2591" s="5">
        <f ca="1"/>
        <v>-1.0513399458866863</v>
      </c>
      <c r="D2591" s="5">
        <f ca="1">S0*EXP((μ-0.5*σ*σ)*T+σ*SQRT(T)*$C2591)</f>
        <v>0.59907961469045101</v>
      </c>
      <c r="E2591" s="5">
        <f ca="1">MAX(0,CP*(D2591-K))</f>
        <v>0</v>
      </c>
      <c r="F2591" s="4">
        <f ca="1">(CP*(D2591-K)&gt;0)*1</f>
        <v>0</v>
      </c>
      <c r="H2591" s="4">
        <v>2576</v>
      </c>
      <c r="I2591" s="3">
        <v>0.66786885477153324</v>
      </c>
      <c r="J2591" s="128">
        <v>1.533966573099868E-3</v>
      </c>
      <c r="K2591" s="128"/>
      <c r="L2591" s="128">
        <v>4.6800000000000001E-2</v>
      </c>
      <c r="O2591" s="2"/>
    </row>
    <row r="2592" spans="2:15" x14ac:dyDescent="0.2">
      <c r="B2592" s="1">
        <v>2577</v>
      </c>
      <c r="C2592" s="5">
        <f ca="1"/>
        <v>0.39910407811545107</v>
      </c>
      <c r="D2592" s="5">
        <f ca="1">S0*EXP((μ-0.5*σ*σ)*T+σ*SQRT(T)*$C2592)</f>
        <v>0.69117296824644192</v>
      </c>
      <c r="E2592" s="5">
        <f ca="1">MAX(0,CP*(D2592-K))</f>
        <v>0</v>
      </c>
      <c r="F2592" s="4">
        <f ca="1">(CP*(D2592-K)&gt;0)*1</f>
        <v>0</v>
      </c>
      <c r="H2592" s="4">
        <v>2577</v>
      </c>
      <c r="I2592" s="3">
        <v>0.66773665551911754</v>
      </c>
      <c r="J2592" s="128">
        <v>1.3635284354989259E-3</v>
      </c>
      <c r="K2592" s="128"/>
      <c r="L2592" s="128">
        <v>4.7E-2</v>
      </c>
      <c r="O2592" s="2"/>
    </row>
    <row r="2593" spans="2:15" x14ac:dyDescent="0.2">
      <c r="B2593" s="1">
        <v>2578</v>
      </c>
      <c r="C2593" s="5">
        <f ca="1"/>
        <v>-0.86562750345263539</v>
      </c>
      <c r="D2593" s="5">
        <f ca="1">S0*EXP((μ-0.5*σ*σ)*T+σ*SQRT(T)*$C2593)</f>
        <v>0.61014914162737832</v>
      </c>
      <c r="E2593" s="5">
        <f ca="1">MAX(0,CP*(D2593-K))</f>
        <v>0</v>
      </c>
      <c r="F2593" s="4">
        <f ca="1">(CP*(D2593-K)&gt;0)*1</f>
        <v>0</v>
      </c>
      <c r="H2593" s="4">
        <v>2578</v>
      </c>
      <c r="I2593" s="3">
        <v>0.66779260528392925</v>
      </c>
      <c r="J2593" s="128">
        <v>1.3440222039202737E-3</v>
      </c>
      <c r="K2593" s="128"/>
      <c r="L2593" s="128">
        <v>4.2599999999999999E-2</v>
      </c>
      <c r="O2593" s="2"/>
    </row>
    <row r="2594" spans="2:15" x14ac:dyDescent="0.2">
      <c r="B2594" s="1">
        <v>2579</v>
      </c>
      <c r="C2594" s="5">
        <f ca="1"/>
        <v>1.6451312761121528</v>
      </c>
      <c r="D2594" s="5">
        <f ca="1">S0*EXP((μ-0.5*σ*σ)*T+σ*SQRT(T)*$C2594)</f>
        <v>0.78151377570410407</v>
      </c>
      <c r="E2594" s="5">
        <f ca="1">MAX(0,CP*(D2594-K))</f>
        <v>0</v>
      </c>
      <c r="F2594" s="4">
        <f ca="1">(CP*(D2594-K)&gt;0)*1</f>
        <v>0</v>
      </c>
      <c r="H2594" s="4">
        <v>2579</v>
      </c>
      <c r="I2594" s="3">
        <v>0.66766695528403786</v>
      </c>
      <c r="J2594" s="128">
        <v>1.1419218465710866E-3</v>
      </c>
      <c r="K2594" s="128"/>
      <c r="L2594" s="128">
        <v>3.78E-2</v>
      </c>
      <c r="O2594" s="2"/>
    </row>
    <row r="2595" spans="2:15" x14ac:dyDescent="0.2">
      <c r="B2595" s="1">
        <v>2580</v>
      </c>
      <c r="C2595" s="5">
        <f ca="1"/>
        <v>0.51265261030418019</v>
      </c>
      <c r="D2595" s="5">
        <f ca="1">S0*EXP((μ-0.5*σ*σ)*T+σ*SQRT(T)*$C2595)</f>
        <v>0.6989537476749017</v>
      </c>
      <c r="E2595" s="5">
        <f ca="1">MAX(0,CP*(D2595-K))</f>
        <v>0</v>
      </c>
      <c r="F2595" s="4">
        <f ca="1">(CP*(D2595-K)&gt;0)*1</f>
        <v>0</v>
      </c>
      <c r="H2595" s="4">
        <v>2580</v>
      </c>
      <c r="I2595" s="3">
        <v>0.66783745693953767</v>
      </c>
      <c r="J2595" s="128">
        <v>1.4310188117569623E-3</v>
      </c>
      <c r="K2595" s="128"/>
      <c r="L2595" s="128">
        <v>4.4600000000000001E-2</v>
      </c>
      <c r="O2595" s="2"/>
    </row>
    <row r="2596" spans="2:15" x14ac:dyDescent="0.2">
      <c r="B2596" s="1">
        <v>2581</v>
      </c>
      <c r="C2596" s="5">
        <f ca="1"/>
        <v>0.1023835115199747</v>
      </c>
      <c r="D2596" s="5">
        <f ca="1">S0*EXP((μ-0.5*σ*σ)*T+σ*SQRT(T)*$C2596)</f>
        <v>0.67124700125164494</v>
      </c>
      <c r="E2596" s="5">
        <f ca="1">MAX(0,CP*(D2596-K))</f>
        <v>0</v>
      </c>
      <c r="F2596" s="4">
        <f ca="1">(CP*(D2596-K)&gt;0)*1</f>
        <v>0</v>
      </c>
      <c r="H2596" s="4">
        <v>2581</v>
      </c>
      <c r="I2596" s="3">
        <v>0.66749046575064219</v>
      </c>
      <c r="J2596" s="128">
        <v>1.0487460852929447E-3</v>
      </c>
      <c r="K2596" s="128"/>
      <c r="L2596" s="128">
        <v>3.5999999999999997E-2</v>
      </c>
      <c r="O2596" s="2"/>
    </row>
    <row r="2597" spans="2:15" x14ac:dyDescent="0.2">
      <c r="B2597" s="1">
        <v>2582</v>
      </c>
      <c r="C2597" s="5">
        <f ca="1"/>
        <v>-0.79874094405121776</v>
      </c>
      <c r="D2597" s="5">
        <f ca="1">S0*EXP((μ-0.5*σ*σ)*T+σ*SQRT(T)*$C2597)</f>
        <v>0.61418586766568095</v>
      </c>
      <c r="E2597" s="5">
        <f ca="1">MAX(0,CP*(D2597-K))</f>
        <v>0</v>
      </c>
      <c r="F2597" s="4">
        <f ca="1">(CP*(D2597-K)&gt;0)*1</f>
        <v>0</v>
      </c>
      <c r="H2597" s="4">
        <v>2582</v>
      </c>
      <c r="I2597" s="3">
        <v>0.6677663263968252</v>
      </c>
      <c r="J2597" s="128">
        <v>1.4218120072355827E-3</v>
      </c>
      <c r="K2597" s="128"/>
      <c r="L2597" s="128">
        <v>4.2000000000000003E-2</v>
      </c>
      <c r="O2597" s="2"/>
    </row>
    <row r="2598" spans="2:15" x14ac:dyDescent="0.2">
      <c r="B2598" s="1">
        <v>2583</v>
      </c>
      <c r="C2598" s="5">
        <f ca="1"/>
        <v>-2.6428447039734761E-2</v>
      </c>
      <c r="D2598" s="5">
        <f ca="1">S0*EXP((μ-0.5*σ*σ)*T+σ*SQRT(T)*$C2598)</f>
        <v>0.66277656896577819</v>
      </c>
      <c r="E2598" s="5">
        <f ca="1">MAX(0,CP*(D2598-K))</f>
        <v>0</v>
      </c>
      <c r="F2598" s="4">
        <f ca="1">(CP*(D2598-K)&gt;0)*1</f>
        <v>0</v>
      </c>
      <c r="H2598" s="4">
        <v>2583</v>
      </c>
      <c r="I2598" s="3">
        <v>0.66763751832589813</v>
      </c>
      <c r="J2598" s="128">
        <v>1.3320828670520732E-3</v>
      </c>
      <c r="K2598" s="128"/>
      <c r="L2598" s="128">
        <v>4.1599999999999998E-2</v>
      </c>
      <c r="O2598" s="2"/>
    </row>
    <row r="2599" spans="2:15" x14ac:dyDescent="0.2">
      <c r="B2599" s="1">
        <v>2584</v>
      </c>
      <c r="C2599" s="5">
        <f ca="1"/>
        <v>-0.7115190280794047</v>
      </c>
      <c r="D2599" s="5">
        <f ca="1">S0*EXP((μ-0.5*σ*σ)*T+σ*SQRT(T)*$C2599)</f>
        <v>0.61949001704754814</v>
      </c>
      <c r="E2599" s="5">
        <f ca="1">MAX(0,CP*(D2599-K))</f>
        <v>0</v>
      </c>
      <c r="F2599" s="4">
        <f ca="1">(CP*(D2599-K)&gt;0)*1</f>
        <v>0</v>
      </c>
      <c r="H2599" s="4">
        <v>2584</v>
      </c>
      <c r="I2599" s="3">
        <v>0.6677454022020487</v>
      </c>
      <c r="J2599" s="128">
        <v>1.2733892706576972E-3</v>
      </c>
      <c r="K2599" s="128"/>
      <c r="L2599" s="128">
        <v>4.1599999999999998E-2</v>
      </c>
      <c r="O2599" s="2"/>
    </row>
    <row r="2600" spans="2:15" x14ac:dyDescent="0.2">
      <c r="B2600" s="1">
        <v>2585</v>
      </c>
      <c r="C2600" s="5">
        <f ca="1"/>
        <v>1.2929766483431471</v>
      </c>
      <c r="D2600" s="5">
        <f ca="1">S0*EXP((μ-0.5*σ*σ)*T+σ*SQRT(T)*$C2600)</f>
        <v>0.75484674603205326</v>
      </c>
      <c r="E2600" s="5">
        <f ca="1">MAX(0,CP*(D2600-K))</f>
        <v>0</v>
      </c>
      <c r="F2600" s="4">
        <f ca="1">(CP*(D2600-K)&gt;0)*1</f>
        <v>0</v>
      </c>
      <c r="H2600" s="4">
        <v>2585</v>
      </c>
      <c r="I2600" s="3">
        <v>0.66774774161293138</v>
      </c>
      <c r="J2600" s="128">
        <v>1.3060260385162491E-3</v>
      </c>
      <c r="K2600" s="128"/>
      <c r="L2600" s="128">
        <v>4.2200000000000001E-2</v>
      </c>
      <c r="O2600" s="2"/>
    </row>
    <row r="2601" spans="2:15" x14ac:dyDescent="0.2">
      <c r="B2601" s="1">
        <v>2586</v>
      </c>
      <c r="C2601" s="5">
        <f ca="1"/>
        <v>-1.3848177489115381</v>
      </c>
      <c r="D2601" s="5">
        <f ca="1">S0*EXP((μ-0.5*σ*σ)*T+σ*SQRT(T)*$C2601)</f>
        <v>0.57970408156257869</v>
      </c>
      <c r="E2601" s="5">
        <f ca="1">MAX(0,CP*(D2601-K))</f>
        <v>0</v>
      </c>
      <c r="F2601" s="4">
        <f ca="1">(CP*(D2601-K)&gt;0)*1</f>
        <v>0</v>
      </c>
      <c r="H2601" s="4">
        <v>2586</v>
      </c>
      <c r="I2601" s="3">
        <v>0.66779499928752872</v>
      </c>
      <c r="J2601" s="128">
        <v>1.4414074108714207E-3</v>
      </c>
      <c r="K2601" s="128"/>
      <c r="L2601" s="128">
        <v>4.0800000000000003E-2</v>
      </c>
      <c r="O2601" s="2"/>
    </row>
    <row r="2602" spans="2:15" x14ac:dyDescent="0.2">
      <c r="B2602" s="1">
        <v>2587</v>
      </c>
      <c r="C2602" s="5">
        <f ca="1"/>
        <v>2.0113137905726526</v>
      </c>
      <c r="D2602" s="5">
        <f ca="1">S0*EXP((μ-0.5*σ*σ)*T+σ*SQRT(T)*$C2602)</f>
        <v>0.81024266120180921</v>
      </c>
      <c r="E2602" s="5">
        <f ca="1">MAX(0,CP*(D2602-K))</f>
        <v>2.2042661201809199E-2</v>
      </c>
      <c r="F2602" s="4">
        <f ca="1">(CP*(D2602-K)&gt;0)*1</f>
        <v>1</v>
      </c>
      <c r="H2602" s="4">
        <v>2587</v>
      </c>
      <c r="I2602" s="3">
        <v>0.66766984101724569</v>
      </c>
      <c r="J2602" s="128">
        <v>1.2891651669369568E-3</v>
      </c>
      <c r="K2602" s="128"/>
      <c r="L2602" s="128">
        <v>4.1000000000000002E-2</v>
      </c>
      <c r="O2602" s="2"/>
    </row>
    <row r="2603" spans="2:15" x14ac:dyDescent="0.2">
      <c r="B2603" s="1">
        <v>2588</v>
      </c>
      <c r="C2603" s="5">
        <f ca="1"/>
        <v>-0.82903381219548289</v>
      </c>
      <c r="D2603" s="5">
        <f ca="1">S0*EXP((μ-0.5*σ*σ)*T+σ*SQRT(T)*$C2603)</f>
        <v>0.61235433956645002</v>
      </c>
      <c r="E2603" s="5">
        <f ca="1">MAX(0,CP*(D2603-K))</f>
        <v>0</v>
      </c>
      <c r="F2603" s="4">
        <f ca="1">(CP*(D2603-K)&gt;0)*1</f>
        <v>0</v>
      </c>
      <c r="H2603" s="4">
        <v>2588</v>
      </c>
      <c r="I2603" s="3">
        <v>0.66779710121614066</v>
      </c>
      <c r="J2603" s="128">
        <v>1.371234565736322E-3</v>
      </c>
      <c r="K2603" s="128"/>
      <c r="L2603" s="128">
        <v>4.2000000000000003E-2</v>
      </c>
      <c r="O2603" s="2"/>
    </row>
    <row r="2604" spans="2:15" x14ac:dyDescent="0.2">
      <c r="B2604" s="1">
        <v>2589</v>
      </c>
      <c r="C2604" s="5">
        <f ca="1"/>
        <v>-1.0903739711213301</v>
      </c>
      <c r="D2604" s="5">
        <f ca="1">S0*EXP((μ-0.5*σ*σ)*T+σ*SQRT(T)*$C2604)</f>
        <v>0.59677862735373888</v>
      </c>
      <c r="E2604" s="5">
        <f ca="1">MAX(0,CP*(D2604-K))</f>
        <v>0</v>
      </c>
      <c r="F2604" s="4">
        <f ca="1">(CP*(D2604-K)&gt;0)*1</f>
        <v>0</v>
      </c>
      <c r="H2604" s="4">
        <v>2589</v>
      </c>
      <c r="I2604" s="3">
        <v>0.66776700744736195</v>
      </c>
      <c r="J2604" s="128">
        <v>1.3697154655365187E-3</v>
      </c>
      <c r="K2604" s="128"/>
      <c r="L2604" s="128">
        <v>4.2599999999999999E-2</v>
      </c>
      <c r="O2604" s="2"/>
    </row>
    <row r="2605" spans="2:15" x14ac:dyDescent="0.2">
      <c r="B2605" s="1">
        <v>2590</v>
      </c>
      <c r="C2605" s="5">
        <f ca="1"/>
        <v>1.0568517845789158</v>
      </c>
      <c r="D2605" s="5">
        <f ca="1">S0*EXP((μ-0.5*σ*σ)*T+σ*SQRT(T)*$C2605)</f>
        <v>0.73747765569684054</v>
      </c>
      <c r="E2605" s="5">
        <f ca="1">MAX(0,CP*(D2605-K))</f>
        <v>0</v>
      </c>
      <c r="F2605" s="4">
        <f ca="1">(CP*(D2605-K)&gt;0)*1</f>
        <v>0</v>
      </c>
      <c r="H2605" s="4">
        <v>2590</v>
      </c>
      <c r="I2605" s="3">
        <v>0.66783530482914977</v>
      </c>
      <c r="J2605" s="128">
        <v>1.4604320500467762E-3</v>
      </c>
      <c r="K2605" s="128"/>
      <c r="L2605" s="128">
        <v>4.4999999999999998E-2</v>
      </c>
      <c r="O2605" s="2"/>
    </row>
    <row r="2606" spans="2:15" x14ac:dyDescent="0.2">
      <c r="B2606" s="1">
        <v>2591</v>
      </c>
      <c r="C2606" s="5">
        <f ca="1"/>
        <v>0.57519592816291298</v>
      </c>
      <c r="D2606" s="5">
        <f ca="1">S0*EXP((μ-0.5*σ*σ)*T+σ*SQRT(T)*$C2606)</f>
        <v>0.70327680196872555</v>
      </c>
      <c r="E2606" s="5">
        <f ca="1">MAX(0,CP*(D2606-K))</f>
        <v>0</v>
      </c>
      <c r="F2606" s="4">
        <f ca="1">(CP*(D2606-K)&gt;0)*1</f>
        <v>0</v>
      </c>
      <c r="H2606" s="4">
        <v>2591</v>
      </c>
      <c r="I2606" s="3">
        <v>0.66773507427224954</v>
      </c>
      <c r="J2606" s="128">
        <v>1.4858322718353492E-3</v>
      </c>
      <c r="K2606" s="128"/>
      <c r="L2606" s="128">
        <v>4.1599999999999998E-2</v>
      </c>
      <c r="O2606" s="2"/>
    </row>
    <row r="2607" spans="2:15" x14ac:dyDescent="0.2">
      <c r="B2607" s="1">
        <v>2592</v>
      </c>
      <c r="C2607" s="5">
        <f ca="1"/>
        <v>1.0976039609389143</v>
      </c>
      <c r="D2607" s="5">
        <f ca="1">S0*EXP((μ-0.5*σ*σ)*T+σ*SQRT(T)*$C2607)</f>
        <v>0.74044654570893675</v>
      </c>
      <c r="E2607" s="5">
        <f ca="1">MAX(0,CP*(D2607-K))</f>
        <v>0</v>
      </c>
      <c r="F2607" s="4">
        <f ca="1">(CP*(D2607-K)&gt;0)*1</f>
        <v>0</v>
      </c>
      <c r="H2607" s="4">
        <v>2592</v>
      </c>
      <c r="I2607" s="3">
        <v>0.66790538489123197</v>
      </c>
      <c r="J2607" s="128">
        <v>1.5261657715718593E-3</v>
      </c>
      <c r="K2607" s="128"/>
      <c r="L2607" s="128">
        <v>4.3200000000000002E-2</v>
      </c>
      <c r="O2607" s="2"/>
    </row>
    <row r="2608" spans="2:15" x14ac:dyDescent="0.2">
      <c r="B2608" s="1">
        <v>2593</v>
      </c>
      <c r="C2608" s="5">
        <f ca="1"/>
        <v>-0.43214080626354373</v>
      </c>
      <c r="D2608" s="5">
        <f ca="1">S0*EXP((μ-0.5*σ*σ)*T+σ*SQRT(T)*$C2608)</f>
        <v>0.63678990289486526</v>
      </c>
      <c r="E2608" s="5">
        <f ca="1">MAX(0,CP*(D2608-K))</f>
        <v>0</v>
      </c>
      <c r="F2608" s="4">
        <f ca="1">(CP*(D2608-K)&gt;0)*1</f>
        <v>0</v>
      </c>
      <c r="H2608" s="4">
        <v>2593</v>
      </c>
      <c r="I2608" s="3">
        <v>0.66780307186891996</v>
      </c>
      <c r="J2608" s="128">
        <v>1.3356564155982045E-3</v>
      </c>
      <c r="K2608" s="128"/>
      <c r="L2608" s="128">
        <v>4.3999999999999997E-2</v>
      </c>
      <c r="O2608" s="2"/>
    </row>
    <row r="2609" spans="2:15" x14ac:dyDescent="0.2">
      <c r="B2609" s="1">
        <v>2594</v>
      </c>
      <c r="C2609" s="5">
        <f ca="1"/>
        <v>-1.3893440847796896</v>
      </c>
      <c r="D2609" s="5">
        <f ca="1">S0*EXP((μ-0.5*σ*σ)*T+σ*SQRT(T)*$C2609)</f>
        <v>0.57944545212265508</v>
      </c>
      <c r="E2609" s="5">
        <f ca="1">MAX(0,CP*(D2609-K))</f>
        <v>0</v>
      </c>
      <c r="F2609" s="4">
        <f ca="1">(CP*(D2609-K)&gt;0)*1</f>
        <v>0</v>
      </c>
      <c r="H2609" s="4">
        <v>2594</v>
      </c>
      <c r="I2609" s="3">
        <v>0.6678923355423686</v>
      </c>
      <c r="J2609" s="128">
        <v>1.5789991322700074E-3</v>
      </c>
      <c r="K2609" s="128"/>
      <c r="L2609" s="128">
        <v>4.7199999999999999E-2</v>
      </c>
      <c r="O2609" s="2"/>
    </row>
    <row r="2610" spans="2:15" x14ac:dyDescent="0.2">
      <c r="B2610" s="1">
        <v>2595</v>
      </c>
      <c r="C2610" s="5">
        <f ca="1"/>
        <v>-2.6946329243924172</v>
      </c>
      <c r="D2610" s="5">
        <f ca="1">S0*EXP((μ-0.5*σ*σ)*T+σ*SQRT(T)*$C2610)</f>
        <v>0.50947786397720252</v>
      </c>
      <c r="E2610" s="5">
        <f ca="1">MAX(0,CP*(D2610-K))</f>
        <v>0</v>
      </c>
      <c r="F2610" s="4">
        <f ca="1">(CP*(D2610-K)&gt;0)*1</f>
        <v>0</v>
      </c>
      <c r="H2610" s="4">
        <v>2595</v>
      </c>
      <c r="I2610" s="3">
        <v>0.6677363247697059</v>
      </c>
      <c r="J2610" s="128">
        <v>1.4634278315820868E-3</v>
      </c>
      <c r="K2610" s="128"/>
      <c r="L2610" s="128">
        <v>4.4400000000000002E-2</v>
      </c>
      <c r="O2610" s="2"/>
    </row>
    <row r="2611" spans="2:15" x14ac:dyDescent="0.2">
      <c r="B2611" s="1">
        <v>2596</v>
      </c>
      <c r="C2611" s="5">
        <f ca="1"/>
        <v>0.43168013083089574</v>
      </c>
      <c r="D2611" s="5">
        <f ca="1">S0*EXP((μ-0.5*σ*σ)*T+σ*SQRT(T)*$C2611)</f>
        <v>0.693396301168692</v>
      </c>
      <c r="E2611" s="5">
        <f ca="1">MAX(0,CP*(D2611-K))</f>
        <v>0</v>
      </c>
      <c r="F2611" s="4">
        <f ca="1">(CP*(D2611-K)&gt;0)*1</f>
        <v>0</v>
      </c>
      <c r="H2611" s="4">
        <v>2596</v>
      </c>
      <c r="I2611" s="3">
        <v>0.66772116340125165</v>
      </c>
      <c r="J2611" s="128">
        <v>1.3336094402236858E-3</v>
      </c>
      <c r="K2611" s="128"/>
      <c r="L2611" s="128">
        <v>3.6600000000000001E-2</v>
      </c>
      <c r="O2611" s="2"/>
    </row>
    <row r="2612" spans="2:15" x14ac:dyDescent="0.2">
      <c r="B2612" s="1">
        <v>2597</v>
      </c>
      <c r="C2612" s="5">
        <f ca="1"/>
        <v>1.6353473736862687</v>
      </c>
      <c r="D2612" s="5">
        <f ca="1">S0*EXP((μ-0.5*σ*σ)*T+σ*SQRT(T)*$C2612)</f>
        <v>0.7807603142590186</v>
      </c>
      <c r="E2612" s="5">
        <f ca="1">MAX(0,CP*(D2612-K))</f>
        <v>0</v>
      </c>
      <c r="F2612" s="4">
        <f ca="1">(CP*(D2612-K)&gt;0)*1</f>
        <v>0</v>
      </c>
      <c r="H2612" s="4">
        <v>2597</v>
      </c>
      <c r="I2612" s="3">
        <v>0.66779416865740904</v>
      </c>
      <c r="J2612" s="128">
        <v>1.5001713832770314E-3</v>
      </c>
      <c r="K2612" s="128"/>
      <c r="L2612" s="128">
        <v>4.3999999999999997E-2</v>
      </c>
      <c r="O2612" s="2"/>
    </row>
    <row r="2613" spans="2:15" x14ac:dyDescent="0.2">
      <c r="B2613" s="1">
        <v>2598</v>
      </c>
      <c r="C2613" s="5">
        <f ca="1"/>
        <v>-0.29112956698321318</v>
      </c>
      <c r="D2613" s="5">
        <f ca="1">S0*EXP((μ-0.5*σ*σ)*T+σ*SQRT(T)*$C2613)</f>
        <v>0.64570433915163916</v>
      </c>
      <c r="E2613" s="5">
        <f ca="1">MAX(0,CP*(D2613-K))</f>
        <v>0</v>
      </c>
      <c r="F2613" s="4">
        <f ca="1">(CP*(D2613-K)&gt;0)*1</f>
        <v>0</v>
      </c>
      <c r="H2613" s="4">
        <v>2598</v>
      </c>
      <c r="I2613" s="3">
        <v>0.66787860444724312</v>
      </c>
      <c r="J2613" s="128">
        <v>1.65932123211879E-3</v>
      </c>
      <c r="K2613" s="128"/>
      <c r="L2613" s="128">
        <v>4.5600000000000002E-2</v>
      </c>
      <c r="O2613" s="2"/>
    </row>
    <row r="2614" spans="2:15" x14ac:dyDescent="0.2">
      <c r="B2614" s="1">
        <v>2599</v>
      </c>
      <c r="C2614" s="5">
        <f ca="1"/>
        <v>-0.30836332714407982</v>
      </c>
      <c r="D2614" s="5">
        <f ca="1">S0*EXP((μ-0.5*σ*σ)*T+σ*SQRT(T)*$C2614)</f>
        <v>0.64460819774867395</v>
      </c>
      <c r="E2614" s="5">
        <f ca="1">MAX(0,CP*(D2614-K))</f>
        <v>0</v>
      </c>
      <c r="F2614" s="4">
        <f ca="1">(CP*(D2614-K)&gt;0)*1</f>
        <v>0</v>
      </c>
      <c r="H2614" s="4">
        <v>2599</v>
      </c>
      <c r="I2614" s="3">
        <v>0.6675935274613386</v>
      </c>
      <c r="J2614" s="128">
        <v>1.2489661895965921E-3</v>
      </c>
      <c r="K2614" s="128"/>
      <c r="L2614" s="128">
        <v>3.6999999999999998E-2</v>
      </c>
      <c r="O2614" s="2"/>
    </row>
    <row r="2615" spans="2:15" x14ac:dyDescent="0.2">
      <c r="B2615" s="1">
        <v>2600</v>
      </c>
      <c r="C2615" s="5">
        <f ca="1"/>
        <v>-0.200603773468334</v>
      </c>
      <c r="D2615" s="5">
        <f ca="1">S0*EXP((μ-0.5*σ*σ)*T+σ*SQRT(T)*$C2615)</f>
        <v>0.65149285441834337</v>
      </c>
      <c r="E2615" s="5">
        <f ca="1">MAX(0,CP*(D2615-K))</f>
        <v>0</v>
      </c>
      <c r="F2615" s="4">
        <f ca="1">(CP*(D2615-K)&gt;0)*1</f>
        <v>0</v>
      </c>
      <c r="H2615" s="4">
        <v>2600</v>
      </c>
      <c r="I2615" s="3">
        <v>0.66771433250736067</v>
      </c>
      <c r="J2615" s="128">
        <v>1.2912442020014609E-3</v>
      </c>
      <c r="K2615" s="128"/>
      <c r="L2615" s="128">
        <v>4.1799999999999997E-2</v>
      </c>
      <c r="O2615" s="2"/>
    </row>
    <row r="2616" spans="2:15" x14ac:dyDescent="0.2">
      <c r="B2616" s="1">
        <v>2601</v>
      </c>
      <c r="C2616" s="5">
        <f ca="1"/>
        <v>0.47250249812129985</v>
      </c>
      <c r="D2616" s="5">
        <f ca="1">S0*EXP((μ-0.5*σ*σ)*T+σ*SQRT(T)*$C2616)</f>
        <v>0.69619254890333138</v>
      </c>
      <c r="E2616" s="5">
        <f ca="1">MAX(0,CP*(D2616-K))</f>
        <v>0</v>
      </c>
      <c r="F2616" s="4">
        <f ca="1">(CP*(D2616-K)&gt;0)*1</f>
        <v>0</v>
      </c>
      <c r="H2616" s="4">
        <v>2601</v>
      </c>
      <c r="I2616" s="3">
        <v>0.6677532307272529</v>
      </c>
      <c r="J2616" s="128">
        <v>1.4490505196154322E-3</v>
      </c>
      <c r="K2616" s="128"/>
      <c r="L2616" s="128">
        <v>4.3200000000000002E-2</v>
      </c>
      <c r="O2616" s="2"/>
    </row>
    <row r="2617" spans="2:15" x14ac:dyDescent="0.2">
      <c r="B2617" s="1">
        <v>2602</v>
      </c>
      <c r="C2617" s="5">
        <f ca="1"/>
        <v>0.53665235775147246</v>
      </c>
      <c r="D2617" s="5">
        <f ca="1">S0*EXP((μ-0.5*σ*σ)*T+σ*SQRT(T)*$C2617)</f>
        <v>0.70060948224992614</v>
      </c>
      <c r="E2617" s="5">
        <f ca="1">MAX(0,CP*(D2617-K))</f>
        <v>0</v>
      </c>
      <c r="F2617" s="4">
        <f ca="1">(CP*(D2617-K)&gt;0)*1</f>
        <v>0</v>
      </c>
      <c r="H2617" s="4">
        <v>2602</v>
      </c>
      <c r="I2617" s="3">
        <v>0.66767324255137417</v>
      </c>
      <c r="J2617" s="128">
        <v>1.3283431820341604E-3</v>
      </c>
      <c r="K2617" s="128"/>
      <c r="L2617" s="128">
        <v>4.2599999999999999E-2</v>
      </c>
      <c r="O2617" s="2"/>
    </row>
    <row r="2618" spans="2:15" x14ac:dyDescent="0.2">
      <c r="B2618" s="1">
        <v>2603</v>
      </c>
      <c r="C2618" s="5">
        <f ca="1"/>
        <v>2.1219200099224751</v>
      </c>
      <c r="D2618" s="5">
        <f ca="1">S0*EXP((μ-0.5*σ*σ)*T+σ*SQRT(T)*$C2618)</f>
        <v>0.81912620778050027</v>
      </c>
      <c r="E2618" s="5">
        <f ca="1">MAX(0,CP*(D2618-K))</f>
        <v>3.0926207780500259E-2</v>
      </c>
      <c r="F2618" s="4">
        <f ca="1">(CP*(D2618-K)&gt;0)*1</f>
        <v>1</v>
      </c>
      <c r="H2618" s="4">
        <v>2603</v>
      </c>
      <c r="I2618" s="3">
        <v>0.66781633197517754</v>
      </c>
      <c r="J2618" s="128">
        <v>1.5203518003720354E-3</v>
      </c>
      <c r="K2618" s="128"/>
      <c r="L2618" s="128">
        <v>4.4200000000000003E-2</v>
      </c>
      <c r="O2618" s="2"/>
    </row>
    <row r="2619" spans="2:15" x14ac:dyDescent="0.2">
      <c r="B2619" s="1">
        <v>2604</v>
      </c>
      <c r="C2619" s="5">
        <f ca="1"/>
        <v>-0.90956556468727656</v>
      </c>
      <c r="D2619" s="5">
        <f ca="1">S0*EXP((μ-0.5*σ*σ)*T+σ*SQRT(T)*$C2619)</f>
        <v>0.60751184895188004</v>
      </c>
      <c r="E2619" s="5">
        <f ca="1">MAX(0,CP*(D2619-K))</f>
        <v>0</v>
      </c>
      <c r="F2619" s="4">
        <f ca="1">(CP*(D2619-K)&gt;0)*1</f>
        <v>0</v>
      </c>
      <c r="H2619" s="4">
        <v>2604</v>
      </c>
      <c r="I2619" s="3">
        <v>0.66767484972429747</v>
      </c>
      <c r="J2619" s="128">
        <v>1.2778939681416573E-3</v>
      </c>
      <c r="K2619" s="128"/>
      <c r="L2619" s="128">
        <v>3.8399999999999997E-2</v>
      </c>
      <c r="O2619" s="2"/>
    </row>
    <row r="2620" spans="2:15" x14ac:dyDescent="0.2">
      <c r="B2620" s="1">
        <v>2605</v>
      </c>
      <c r="C2620" s="5">
        <f ca="1"/>
        <v>0.7387546533648458</v>
      </c>
      <c r="D2620" s="5">
        <f ca="1">S0*EXP((μ-0.5*σ*σ)*T+σ*SQRT(T)*$C2620)</f>
        <v>0.71470895158062731</v>
      </c>
      <c r="E2620" s="5">
        <f ca="1">MAX(0,CP*(D2620-K))</f>
        <v>0</v>
      </c>
      <c r="F2620" s="4">
        <f ca="1">(CP*(D2620-K)&gt;0)*1</f>
        <v>0</v>
      </c>
      <c r="H2620" s="4">
        <v>2605</v>
      </c>
      <c r="I2620" s="3">
        <v>0.66764063101262194</v>
      </c>
      <c r="J2620" s="128">
        <v>1.2497604712062142E-3</v>
      </c>
      <c r="K2620" s="128"/>
      <c r="L2620" s="128">
        <v>3.9800000000000002E-2</v>
      </c>
      <c r="O2620" s="2"/>
    </row>
    <row r="2621" spans="2:15" x14ac:dyDescent="0.2">
      <c r="B2621" s="1">
        <v>2606</v>
      </c>
      <c r="C2621" s="5">
        <f ca="1"/>
        <v>-1.2125492142220744</v>
      </c>
      <c r="D2621" s="5">
        <f ca="1">S0*EXP((μ-0.5*σ*σ)*T+σ*SQRT(T)*$C2621)</f>
        <v>0.5896335770344816</v>
      </c>
      <c r="E2621" s="5">
        <f ca="1">MAX(0,CP*(D2621-K))</f>
        <v>0</v>
      </c>
      <c r="F2621" s="4">
        <f ca="1">(CP*(D2621-K)&gt;0)*1</f>
        <v>0</v>
      </c>
      <c r="H2621" s="4">
        <v>2606</v>
      </c>
      <c r="I2621" s="3">
        <v>0.66773401981421943</v>
      </c>
      <c r="J2621" s="128">
        <v>1.4495109011542259E-3</v>
      </c>
      <c r="K2621" s="128"/>
      <c r="L2621" s="128">
        <v>4.3200000000000002E-2</v>
      </c>
      <c r="O2621" s="2"/>
    </row>
    <row r="2622" spans="2:15" x14ac:dyDescent="0.2">
      <c r="B2622" s="1">
        <v>2607</v>
      </c>
      <c r="C2622" s="5">
        <f ca="1"/>
        <v>4.5632872560446881E-2</v>
      </c>
      <c r="D2622" s="5">
        <f ca="1">S0*EXP((μ-0.5*σ*σ)*T+σ*SQRT(T)*$C2622)</f>
        <v>0.66750192656015828</v>
      </c>
      <c r="E2622" s="5">
        <f ca="1">MAX(0,CP*(D2622-K))</f>
        <v>0</v>
      </c>
      <c r="F2622" s="4">
        <f ca="1">(CP*(D2622-K)&gt;0)*1</f>
        <v>0</v>
      </c>
      <c r="H2622" s="4">
        <v>2607</v>
      </c>
      <c r="I2622" s="3">
        <v>0.66781055536686618</v>
      </c>
      <c r="J2622" s="128">
        <v>1.4222847439597521E-3</v>
      </c>
      <c r="K2622" s="128"/>
      <c r="L2622" s="128">
        <v>4.3200000000000002E-2</v>
      </c>
      <c r="O2622" s="2"/>
    </row>
    <row r="2623" spans="2:15" x14ac:dyDescent="0.2">
      <c r="B2623" s="1">
        <v>2608</v>
      </c>
      <c r="C2623" s="5">
        <f ca="1"/>
        <v>0.92373641725236144</v>
      </c>
      <c r="D2623" s="5">
        <f ca="1">S0*EXP((μ-0.5*σ*σ)*T+σ*SQRT(T)*$C2623)</f>
        <v>0.72786259201253711</v>
      </c>
      <c r="E2623" s="5">
        <f ca="1">MAX(0,CP*(D2623-K))</f>
        <v>0</v>
      </c>
      <c r="F2623" s="4">
        <f ca="1">(CP*(D2623-K)&gt;0)*1</f>
        <v>0</v>
      </c>
      <c r="H2623" s="4">
        <v>2608</v>
      </c>
      <c r="I2623" s="3">
        <v>0.66774115373171172</v>
      </c>
      <c r="J2623" s="128">
        <v>1.5268233640572757E-3</v>
      </c>
      <c r="K2623" s="128"/>
      <c r="L2623" s="128">
        <v>4.4600000000000001E-2</v>
      </c>
      <c r="O2623" s="2"/>
    </row>
    <row r="2624" spans="2:15" x14ac:dyDescent="0.2">
      <c r="B2624" s="1">
        <v>2609</v>
      </c>
      <c r="C2624" s="5">
        <f ca="1"/>
        <v>-0.55586897542351565</v>
      </c>
      <c r="D2624" s="5">
        <f ca="1">S0*EXP((μ-0.5*σ*σ)*T+σ*SQRT(T)*$C2624)</f>
        <v>0.62906949233913445</v>
      </c>
      <c r="E2624" s="5">
        <f ca="1">MAX(0,CP*(D2624-K))</f>
        <v>0</v>
      </c>
      <c r="F2624" s="4">
        <f ca="1">(CP*(D2624-K)&gt;0)*1</f>
        <v>0</v>
      </c>
      <c r="H2624" s="4">
        <v>2609</v>
      </c>
      <c r="I2624" s="3">
        <v>0.66779173833526706</v>
      </c>
      <c r="J2624" s="128">
        <v>1.4062384108401722E-3</v>
      </c>
      <c r="K2624" s="128"/>
      <c r="L2624" s="128">
        <v>4.3799999999999999E-2</v>
      </c>
      <c r="O2624" s="2"/>
    </row>
    <row r="2625" spans="2:15" x14ac:dyDescent="0.2">
      <c r="B2625" s="1">
        <v>2610</v>
      </c>
      <c r="C2625" s="5">
        <f ca="1"/>
        <v>0.89247273073008782</v>
      </c>
      <c r="D2625" s="5">
        <f ca="1">S0*EXP((μ-0.5*σ*σ)*T+σ*SQRT(T)*$C2625)</f>
        <v>0.72562262209081529</v>
      </c>
      <c r="E2625" s="5">
        <f ca="1">MAX(0,CP*(D2625-K))</f>
        <v>0</v>
      </c>
      <c r="F2625" s="4">
        <f ca="1">(CP*(D2625-K)&gt;0)*1</f>
        <v>0</v>
      </c>
      <c r="H2625" s="4">
        <v>2610</v>
      </c>
      <c r="I2625" s="3">
        <v>0.66776199140642933</v>
      </c>
      <c r="J2625" s="128">
        <v>1.4969872949658215E-3</v>
      </c>
      <c r="K2625" s="128"/>
      <c r="L2625" s="128">
        <v>4.02E-2</v>
      </c>
      <c r="O2625" s="2"/>
    </row>
    <row r="2626" spans="2:15" x14ac:dyDescent="0.2">
      <c r="B2626" s="1">
        <v>2611</v>
      </c>
      <c r="C2626" s="5">
        <f ca="1"/>
        <v>1.087016246203917</v>
      </c>
      <c r="D2626" s="5">
        <f ca="1">S0*EXP((μ-0.5*σ*σ)*T+σ*SQRT(T)*$C2626)</f>
        <v>0.73967405899001637</v>
      </c>
      <c r="E2626" s="5">
        <f ca="1">MAX(0,CP*(D2626-K))</f>
        <v>0</v>
      </c>
      <c r="F2626" s="4">
        <f ca="1">(CP*(D2626-K)&gt;0)*1</f>
        <v>0</v>
      </c>
      <c r="H2626" s="4">
        <v>2611</v>
      </c>
      <c r="I2626" s="3">
        <v>0.6677213891703736</v>
      </c>
      <c r="J2626" s="128">
        <v>1.2924227710843584E-3</v>
      </c>
      <c r="K2626" s="128"/>
      <c r="L2626" s="128">
        <v>4.2200000000000001E-2</v>
      </c>
      <c r="O2626" s="2"/>
    </row>
    <row r="2627" spans="2:15" x14ac:dyDescent="0.2">
      <c r="B2627" s="1">
        <v>2612</v>
      </c>
      <c r="C2627" s="5">
        <f ca="1"/>
        <v>-1.0589621402376659</v>
      </c>
      <c r="D2627" s="5">
        <f ca="1">S0*EXP((μ-0.5*σ*σ)*T+σ*SQRT(T)*$C2627)</f>
        <v>0.59862960370584395</v>
      </c>
      <c r="E2627" s="5">
        <f ca="1">MAX(0,CP*(D2627-K))</f>
        <v>0</v>
      </c>
      <c r="F2627" s="4">
        <f ca="1">(CP*(D2627-K)&gt;0)*1</f>
        <v>0</v>
      </c>
      <c r="H2627" s="4">
        <v>2612</v>
      </c>
      <c r="I2627" s="3">
        <v>0.66781292864238151</v>
      </c>
      <c r="J2627" s="128">
        <v>1.4952869153821511E-3</v>
      </c>
      <c r="K2627" s="128"/>
      <c r="L2627" s="128">
        <v>4.48E-2</v>
      </c>
      <c r="O2627" s="2"/>
    </row>
    <row r="2628" spans="2:15" x14ac:dyDescent="0.2">
      <c r="B2628" s="1">
        <v>2613</v>
      </c>
      <c r="C2628" s="5">
        <f ca="1"/>
        <v>-0.60381983666033123</v>
      </c>
      <c r="D2628" s="5">
        <f ca="1">S0*EXP((μ-0.5*σ*σ)*T+σ*SQRT(T)*$C2628)</f>
        <v>0.62610267622737881</v>
      </c>
      <c r="E2628" s="5">
        <f ca="1">MAX(0,CP*(D2628-K))</f>
        <v>0</v>
      </c>
      <c r="F2628" s="4">
        <f ca="1">(CP*(D2628-K)&gt;0)*1</f>
        <v>0</v>
      </c>
      <c r="H2628" s="4">
        <v>2613</v>
      </c>
      <c r="I2628" s="3">
        <v>0.66754905628147754</v>
      </c>
      <c r="J2628" s="128">
        <v>1.0646284283282762E-3</v>
      </c>
      <c r="K2628" s="128"/>
      <c r="L2628" s="128">
        <v>3.7400000000000003E-2</v>
      </c>
      <c r="O2628" s="2"/>
    </row>
    <row r="2629" spans="2:15" x14ac:dyDescent="0.2">
      <c r="B2629" s="1">
        <v>2614</v>
      </c>
      <c r="C2629" s="5">
        <f ca="1"/>
        <v>-0.4191942875427892</v>
      </c>
      <c r="D2629" s="5">
        <f ca="1">S0*EXP((μ-0.5*σ*σ)*T+σ*SQRT(T)*$C2629)</f>
        <v>0.63760319785531239</v>
      </c>
      <c r="E2629" s="5">
        <f ca="1">MAX(0,CP*(D2629-K))</f>
        <v>0</v>
      </c>
      <c r="F2629" s="4">
        <f ca="1">(CP*(D2629-K)&gt;0)*1</f>
        <v>0</v>
      </c>
      <c r="H2629" s="4">
        <v>2614</v>
      </c>
      <c r="I2629" s="3">
        <v>0.66768185268167768</v>
      </c>
      <c r="J2629" s="128">
        <v>1.3435090867890611E-3</v>
      </c>
      <c r="K2629" s="128"/>
      <c r="L2629" s="128">
        <v>4.2200000000000001E-2</v>
      </c>
      <c r="O2629" s="2"/>
    </row>
    <row r="2630" spans="2:15" x14ac:dyDescent="0.2">
      <c r="B2630" s="1">
        <v>2615</v>
      </c>
      <c r="C2630" s="5">
        <f ca="1"/>
        <v>-2.174431747813987</v>
      </c>
      <c r="D2630" s="5">
        <f ca="1">S0*EXP((μ-0.5*σ*σ)*T+σ*SQRT(T)*$C2630)</f>
        <v>0.53628821060662013</v>
      </c>
      <c r="E2630" s="5">
        <f ca="1">MAX(0,CP*(D2630-K))</f>
        <v>0</v>
      </c>
      <c r="F2630" s="4">
        <f ca="1">(CP*(D2630-K)&gt;0)*1</f>
        <v>0</v>
      </c>
      <c r="H2630" s="4">
        <v>2615</v>
      </c>
      <c r="I2630" s="3">
        <v>0.66780411951740326</v>
      </c>
      <c r="J2630" s="128">
        <v>1.4134467489352802E-3</v>
      </c>
      <c r="K2630" s="128"/>
      <c r="L2630" s="128">
        <v>4.2799999999999998E-2</v>
      </c>
      <c r="O2630" s="2"/>
    </row>
    <row r="2631" spans="2:15" x14ac:dyDescent="0.2">
      <c r="B2631" s="1">
        <v>2616</v>
      </c>
      <c r="C2631" s="5">
        <f ca="1"/>
        <v>-0.30276261027269474</v>
      </c>
      <c r="D2631" s="5">
        <f ca="1">S0*EXP((μ-0.5*σ*σ)*T+σ*SQRT(T)*$C2631)</f>
        <v>0.64496422321928848</v>
      </c>
      <c r="E2631" s="5">
        <f ca="1">MAX(0,CP*(D2631-K))</f>
        <v>0</v>
      </c>
      <c r="F2631" s="4">
        <f ca="1">(CP*(D2631-K)&gt;0)*1</f>
        <v>0</v>
      </c>
      <c r="H2631" s="4">
        <v>2616</v>
      </c>
      <c r="I2631" s="3">
        <v>0.66777482433551028</v>
      </c>
      <c r="J2631" s="128">
        <v>1.4903184858702119E-3</v>
      </c>
      <c r="K2631" s="128"/>
      <c r="L2631" s="128">
        <v>4.3400000000000001E-2</v>
      </c>
      <c r="O2631" s="2"/>
    </row>
    <row r="2632" spans="2:15" x14ac:dyDescent="0.2">
      <c r="B2632" s="1">
        <v>2617</v>
      </c>
      <c r="C2632" s="5">
        <f ca="1"/>
        <v>-4.6238380229940763E-2</v>
      </c>
      <c r="D2632" s="5">
        <f ca="1">S0*EXP((μ-0.5*σ*σ)*T+σ*SQRT(T)*$C2632)</f>
        <v>0.66148342208697586</v>
      </c>
      <c r="E2632" s="5">
        <f ca="1">MAX(0,CP*(D2632-K))</f>
        <v>0</v>
      </c>
      <c r="F2632" s="4">
        <f ca="1">(CP*(D2632-K)&gt;0)*1</f>
        <v>0</v>
      </c>
      <c r="H2632" s="4">
        <v>2617</v>
      </c>
      <c r="I2632" s="3">
        <v>0.66786953380951453</v>
      </c>
      <c r="J2632" s="128">
        <v>1.4493368393647024E-3</v>
      </c>
      <c r="K2632" s="128"/>
      <c r="L2632" s="128">
        <v>4.5199999999999997E-2</v>
      </c>
      <c r="O2632" s="2"/>
    </row>
    <row r="2633" spans="2:15" x14ac:dyDescent="0.2">
      <c r="B2633" s="1">
        <v>2618</v>
      </c>
      <c r="C2633" s="5">
        <f ca="1"/>
        <v>0.20823867776121163</v>
      </c>
      <c r="D2633" s="5">
        <f ca="1">S0*EXP((μ-0.5*σ*σ)*T+σ*SQRT(T)*$C2633)</f>
        <v>0.6782888104830449</v>
      </c>
      <c r="E2633" s="5">
        <f ca="1">MAX(0,CP*(D2633-K))</f>
        <v>0</v>
      </c>
      <c r="F2633" s="4">
        <f ca="1">(CP*(D2633-K)&gt;0)*1</f>
        <v>0</v>
      </c>
      <c r="H2633" s="4">
        <v>2618</v>
      </c>
      <c r="I2633" s="3">
        <v>0.66786802307633553</v>
      </c>
      <c r="J2633" s="128">
        <v>1.3622334160287915E-3</v>
      </c>
      <c r="K2633" s="128"/>
      <c r="L2633" s="128">
        <v>4.4600000000000001E-2</v>
      </c>
      <c r="O2633" s="2"/>
    </row>
    <row r="2634" spans="2:15" x14ac:dyDescent="0.2">
      <c r="B2634" s="1">
        <v>2619</v>
      </c>
      <c r="C2634" s="5">
        <f ca="1"/>
        <v>-0.14012845448024799</v>
      </c>
      <c r="D2634" s="5">
        <f ca="1">S0*EXP((μ-0.5*σ*σ)*T+σ*SQRT(T)*$C2634)</f>
        <v>0.65538872789130265</v>
      </c>
      <c r="E2634" s="5">
        <f ca="1">MAX(0,CP*(D2634-K))</f>
        <v>0</v>
      </c>
      <c r="F2634" s="4">
        <f ca="1">(CP*(D2634-K)&gt;0)*1</f>
        <v>0</v>
      </c>
      <c r="H2634" s="4">
        <v>2619</v>
      </c>
      <c r="I2634" s="3">
        <v>0.66769985576401414</v>
      </c>
      <c r="J2634" s="128">
        <v>1.3906568281173391E-3</v>
      </c>
      <c r="K2634" s="128"/>
      <c r="L2634" s="128">
        <v>4.2799999999999998E-2</v>
      </c>
      <c r="O2634" s="2"/>
    </row>
    <row r="2635" spans="2:15" x14ac:dyDescent="0.2">
      <c r="B2635" s="1">
        <v>2620</v>
      </c>
      <c r="C2635" s="5">
        <f ca="1"/>
        <v>-6.0233565162522609E-2</v>
      </c>
      <c r="D2635" s="5">
        <f ca="1">S0*EXP((μ-0.5*σ*σ)*T+σ*SQRT(T)*$C2635)</f>
        <v>0.6605713697673502</v>
      </c>
      <c r="E2635" s="5">
        <f ca="1">MAX(0,CP*(D2635-K))</f>
        <v>0</v>
      </c>
      <c r="F2635" s="4">
        <f ca="1">(CP*(D2635-K)&gt;0)*1</f>
        <v>0</v>
      </c>
      <c r="H2635" s="4">
        <v>2620</v>
      </c>
      <c r="I2635" s="3">
        <v>0.66768588145977104</v>
      </c>
      <c r="J2635" s="128">
        <v>1.3732683043184467E-3</v>
      </c>
      <c r="K2635" s="128"/>
      <c r="L2635" s="128">
        <v>4.0399999999999998E-2</v>
      </c>
      <c r="O2635" s="2"/>
    </row>
    <row r="2636" spans="2:15" x14ac:dyDescent="0.2">
      <c r="B2636" s="1">
        <v>2621</v>
      </c>
      <c r="C2636" s="5">
        <f ca="1"/>
        <v>-0.27100453060288349</v>
      </c>
      <c r="D2636" s="5">
        <f ca="1">S0*EXP((μ-0.5*σ*σ)*T+σ*SQRT(T)*$C2636)</f>
        <v>0.64698673766979675</v>
      </c>
      <c r="E2636" s="5">
        <f ca="1">MAX(0,CP*(D2636-K))</f>
        <v>0</v>
      </c>
      <c r="F2636" s="4">
        <f ca="1">(CP*(D2636-K)&gt;0)*1</f>
        <v>0</v>
      </c>
      <c r="H2636" s="4">
        <v>2621</v>
      </c>
      <c r="I2636" s="3">
        <v>0.6676903933946966</v>
      </c>
      <c r="J2636" s="128">
        <v>1.3667028305436716E-3</v>
      </c>
      <c r="K2636" s="128"/>
      <c r="L2636" s="128">
        <v>4.3799999999999999E-2</v>
      </c>
      <c r="O2636" s="2"/>
    </row>
    <row r="2637" spans="2:15" x14ac:dyDescent="0.2">
      <c r="B2637" s="1">
        <v>2622</v>
      </c>
      <c r="C2637" s="5">
        <f ca="1"/>
        <v>-0.8174660231557993</v>
      </c>
      <c r="D2637" s="5">
        <f ca="1">S0*EXP((μ-0.5*σ*σ)*T+σ*SQRT(T)*$C2637)</f>
        <v>0.6130530907347449</v>
      </c>
      <c r="E2637" s="5">
        <f ca="1">MAX(0,CP*(D2637-K))</f>
        <v>0</v>
      </c>
      <c r="F2637" s="4">
        <f ca="1">(CP*(D2637-K)&gt;0)*1</f>
        <v>0</v>
      </c>
      <c r="H2637" s="4">
        <v>2622</v>
      </c>
      <c r="I2637" s="3">
        <v>0.66761388194812421</v>
      </c>
      <c r="J2637" s="128">
        <v>1.2761593130612961E-3</v>
      </c>
      <c r="K2637" s="128"/>
      <c r="L2637" s="128">
        <v>3.9199999999999999E-2</v>
      </c>
      <c r="O2637" s="2"/>
    </row>
    <row r="2638" spans="2:15" x14ac:dyDescent="0.2">
      <c r="B2638" s="1">
        <v>2623</v>
      </c>
      <c r="C2638" s="5">
        <f ca="1"/>
        <v>-0.82942078082671877</v>
      </c>
      <c r="D2638" s="5">
        <f ca="1">S0*EXP((μ-0.5*σ*σ)*T+σ*SQRT(T)*$C2638)</f>
        <v>0.61233097853588891</v>
      </c>
      <c r="E2638" s="5">
        <f ca="1">MAX(0,CP*(D2638-K))</f>
        <v>0</v>
      </c>
      <c r="F2638" s="4">
        <f ca="1">(CP*(D2638-K)&gt;0)*1</f>
        <v>0</v>
      </c>
      <c r="H2638" s="4">
        <v>2623</v>
      </c>
      <c r="I2638" s="3">
        <v>0.66778145325811267</v>
      </c>
      <c r="J2638" s="128">
        <v>1.4059585390208754E-3</v>
      </c>
      <c r="K2638" s="128"/>
      <c r="L2638" s="128">
        <v>4.48E-2</v>
      </c>
      <c r="O2638" s="2"/>
    </row>
    <row r="2639" spans="2:15" x14ac:dyDescent="0.2">
      <c r="B2639" s="1">
        <v>2624</v>
      </c>
      <c r="C2639" s="5">
        <f ca="1"/>
        <v>-0.13886743955444952</v>
      </c>
      <c r="D2639" s="5">
        <f ca="1">S0*EXP((μ-0.5*σ*σ)*T+σ*SQRT(T)*$C2639)</f>
        <v>0.65547021106036107</v>
      </c>
      <c r="E2639" s="5">
        <f ca="1">MAX(0,CP*(D2639-K))</f>
        <v>0</v>
      </c>
      <c r="F2639" s="4">
        <f ca="1">(CP*(D2639-K)&gt;0)*1</f>
        <v>0</v>
      </c>
      <c r="H2639" s="4">
        <v>2624</v>
      </c>
      <c r="I2639" s="3">
        <v>0.66777368748661925</v>
      </c>
      <c r="J2639" s="128">
        <v>1.3592495655838999E-3</v>
      </c>
      <c r="K2639" s="128"/>
      <c r="L2639" s="128">
        <v>4.3799999999999999E-2</v>
      </c>
      <c r="O2639" s="2"/>
    </row>
    <row r="2640" spans="2:15" x14ac:dyDescent="0.2">
      <c r="B2640" s="1">
        <v>2625</v>
      </c>
      <c r="C2640" s="5">
        <f ca="1"/>
        <v>0.81827718138782324</v>
      </c>
      <c r="D2640" s="5">
        <f ca="1">S0*EXP((μ-0.5*σ*σ)*T+σ*SQRT(T)*$C2640)</f>
        <v>0.72033423813197772</v>
      </c>
      <c r="E2640" s="5">
        <f ca="1">MAX(0,CP*(D2640-K))</f>
        <v>0</v>
      </c>
      <c r="F2640" s="4">
        <f ca="1">(CP*(D2640-K)&gt;0)*1</f>
        <v>0</v>
      </c>
      <c r="H2640" s="4">
        <v>2625</v>
      </c>
      <c r="I2640" s="3">
        <v>0.66779551123901582</v>
      </c>
      <c r="J2640" s="128">
        <v>1.3762902359156573E-3</v>
      </c>
      <c r="K2640" s="128"/>
      <c r="L2640" s="128">
        <v>3.8600000000000002E-2</v>
      </c>
      <c r="O2640" s="2"/>
    </row>
    <row r="2641" spans="2:15" x14ac:dyDescent="0.2">
      <c r="B2641" s="1">
        <v>2626</v>
      </c>
      <c r="C2641" s="5">
        <f ca="1"/>
        <v>1.7039584777001908</v>
      </c>
      <c r="D2641" s="5">
        <f ca="1">S0*EXP((μ-0.5*σ*σ)*T+σ*SQRT(T)*$C2641)</f>
        <v>0.78605943130913414</v>
      </c>
      <c r="E2641" s="5">
        <f ca="1">MAX(0,CP*(D2641-K))</f>
        <v>0</v>
      </c>
      <c r="F2641" s="4">
        <f ca="1">(CP*(D2641-K)&gt;0)*1</f>
        <v>0</v>
      </c>
      <c r="H2641" s="4">
        <v>2626</v>
      </c>
      <c r="I2641" s="3">
        <v>0.66768539283126416</v>
      </c>
      <c r="J2641" s="128">
        <v>1.2906497489032886E-3</v>
      </c>
      <c r="K2641" s="128"/>
      <c r="L2641" s="128">
        <v>4.1599999999999998E-2</v>
      </c>
      <c r="O2641" s="2"/>
    </row>
    <row r="2642" spans="2:15" x14ac:dyDescent="0.2">
      <c r="B2642" s="1">
        <v>2627</v>
      </c>
      <c r="C2642" s="5">
        <f ca="1"/>
        <v>-0.17045902420083175</v>
      </c>
      <c r="D2642" s="5">
        <f ca="1">S0*EXP((μ-0.5*σ*σ)*T+σ*SQRT(T)*$C2642)</f>
        <v>0.65343190238174831</v>
      </c>
      <c r="E2642" s="5">
        <f ca="1">MAX(0,CP*(D2642-K))</f>
        <v>0</v>
      </c>
      <c r="F2642" s="4">
        <f ca="1">(CP*(D2642-K)&gt;0)*1</f>
        <v>0</v>
      </c>
      <c r="H2642" s="4">
        <v>2627</v>
      </c>
      <c r="I2642" s="3">
        <v>0.66766754566692765</v>
      </c>
      <c r="J2642" s="128">
        <v>1.2725516874946931E-3</v>
      </c>
      <c r="K2642" s="128"/>
      <c r="L2642" s="128">
        <v>4.0800000000000003E-2</v>
      </c>
      <c r="O2642" s="2"/>
    </row>
    <row r="2643" spans="2:15" x14ac:dyDescent="0.2">
      <c r="B2643" s="1">
        <v>2628</v>
      </c>
      <c r="C2643" s="5">
        <f ca="1"/>
        <v>-0.53580086015483985</v>
      </c>
      <c r="D2643" s="5">
        <f ca="1">S0*EXP((μ-0.5*σ*σ)*T+σ*SQRT(T)*$C2643)</f>
        <v>0.63031531613070391</v>
      </c>
      <c r="E2643" s="5">
        <f ca="1">MAX(0,CP*(D2643-K))</f>
        <v>0</v>
      </c>
      <c r="F2643" s="4">
        <f ca="1">(CP*(D2643-K)&gt;0)*1</f>
        <v>0</v>
      </c>
      <c r="H2643" s="4">
        <v>2628</v>
      </c>
      <c r="I2643" s="3">
        <v>0.66777680618591606</v>
      </c>
      <c r="J2643" s="128">
        <v>1.3830751060444684E-3</v>
      </c>
      <c r="K2643" s="128"/>
      <c r="L2643" s="128">
        <v>4.3799999999999999E-2</v>
      </c>
      <c r="O2643" s="2"/>
    </row>
    <row r="2644" spans="2:15" x14ac:dyDescent="0.2">
      <c r="B2644" s="1">
        <v>2629</v>
      </c>
      <c r="C2644" s="5">
        <f ca="1"/>
        <v>-4.2017490853471437E-2</v>
      </c>
      <c r="D2644" s="5">
        <f ca="1">S0*EXP((μ-0.5*σ*σ)*T+σ*SQRT(T)*$C2644)</f>
        <v>0.66175874034878468</v>
      </c>
      <c r="E2644" s="5">
        <f ca="1">MAX(0,CP*(D2644-K))</f>
        <v>0</v>
      </c>
      <c r="F2644" s="4">
        <f ca="1">(CP*(D2644-K)&gt;0)*1</f>
        <v>0</v>
      </c>
      <c r="H2644" s="4">
        <v>2629</v>
      </c>
      <c r="I2644" s="3">
        <v>0.66780666360381435</v>
      </c>
      <c r="J2644" s="128">
        <v>1.3756190113926022E-3</v>
      </c>
      <c r="K2644" s="128"/>
      <c r="L2644" s="128">
        <v>4.5400000000000003E-2</v>
      </c>
      <c r="O2644" s="2"/>
    </row>
    <row r="2645" spans="2:15" x14ac:dyDescent="0.2">
      <c r="B2645" s="1">
        <v>2630</v>
      </c>
      <c r="C2645" s="5">
        <f ca="1"/>
        <v>1.387990068057106</v>
      </c>
      <c r="D2645" s="5">
        <f ca="1">S0*EXP((μ-0.5*σ*σ)*T+σ*SQRT(T)*$C2645)</f>
        <v>0.76195071559485705</v>
      </c>
      <c r="E2645" s="5">
        <f ca="1">MAX(0,CP*(D2645-K))</f>
        <v>0</v>
      </c>
      <c r="F2645" s="4">
        <f ca="1">(CP*(D2645-K)&gt;0)*1</f>
        <v>0</v>
      </c>
      <c r="H2645" s="4">
        <v>2630</v>
      </c>
      <c r="I2645" s="3">
        <v>0.66782468743347667</v>
      </c>
      <c r="J2645" s="128">
        <v>1.4558899314491447E-3</v>
      </c>
      <c r="K2645" s="128"/>
      <c r="L2645" s="128">
        <v>4.2000000000000003E-2</v>
      </c>
      <c r="O2645" s="2"/>
    </row>
    <row r="2646" spans="2:15" x14ac:dyDescent="0.2">
      <c r="B2646" s="1">
        <v>2631</v>
      </c>
      <c r="C2646" s="5">
        <f ca="1"/>
        <v>-1.0471404418944006</v>
      </c>
      <c r="D2646" s="5">
        <f ca="1">S0*EXP((μ-0.5*σ*σ)*T+σ*SQRT(T)*$C2646)</f>
        <v>0.59932769606918879</v>
      </c>
      <c r="E2646" s="5">
        <f ca="1">MAX(0,CP*(D2646-K))</f>
        <v>0</v>
      </c>
      <c r="F2646" s="4">
        <f ca="1">(CP*(D2646-K)&gt;0)*1</f>
        <v>0</v>
      </c>
      <c r="H2646" s="4">
        <v>2631</v>
      </c>
      <c r="I2646" s="3">
        <v>0.66760874791140323</v>
      </c>
      <c r="J2646" s="128">
        <v>1.1595224181323086E-3</v>
      </c>
      <c r="K2646" s="128"/>
      <c r="L2646" s="128">
        <v>4.1000000000000002E-2</v>
      </c>
      <c r="O2646" s="2"/>
    </row>
    <row r="2647" spans="2:15" x14ac:dyDescent="0.2">
      <c r="B2647" s="1">
        <v>2632</v>
      </c>
      <c r="C2647" s="5">
        <f ca="1"/>
        <v>-0.82497641925263332</v>
      </c>
      <c r="D2647" s="5">
        <f ca="1">S0*EXP((μ-0.5*σ*σ)*T+σ*SQRT(T)*$C2647)</f>
        <v>0.61259933526165411</v>
      </c>
      <c r="E2647" s="5">
        <f ca="1">MAX(0,CP*(D2647-K))</f>
        <v>0</v>
      </c>
      <c r="F2647" s="4">
        <f ca="1">(CP*(D2647-K)&gt;0)*1</f>
        <v>0</v>
      </c>
      <c r="H2647" s="4">
        <v>2632</v>
      </c>
      <c r="I2647" s="3">
        <v>0.66774711396150599</v>
      </c>
      <c r="J2647" s="128">
        <v>1.377026243057512E-3</v>
      </c>
      <c r="K2647" s="128"/>
      <c r="L2647" s="128">
        <v>3.9399999999999998E-2</v>
      </c>
      <c r="O2647" s="2"/>
    </row>
    <row r="2648" spans="2:15" x14ac:dyDescent="0.2">
      <c r="B2648" s="1">
        <v>2633</v>
      </c>
      <c r="C2648" s="5">
        <f ca="1"/>
        <v>-0.25262216851574826</v>
      </c>
      <c r="D2648" s="5">
        <f ca="1">S0*EXP((μ-0.5*σ*σ)*T+σ*SQRT(T)*$C2648)</f>
        <v>0.6481603157904543</v>
      </c>
      <c r="E2648" s="5">
        <f ca="1">MAX(0,CP*(D2648-K))</f>
        <v>0</v>
      </c>
      <c r="F2648" s="4">
        <f ca="1">(CP*(D2648-K)&gt;0)*1</f>
        <v>0</v>
      </c>
      <c r="H2648" s="4">
        <v>2633</v>
      </c>
      <c r="I2648" s="3">
        <v>0.66759209750839443</v>
      </c>
      <c r="J2648" s="128">
        <v>1.1756032726508061E-3</v>
      </c>
      <c r="K2648" s="128"/>
      <c r="L2648" s="128">
        <v>4.0399999999999998E-2</v>
      </c>
      <c r="O2648" s="2"/>
    </row>
    <row r="2649" spans="2:15" x14ac:dyDescent="0.2">
      <c r="B2649" s="1">
        <v>2634</v>
      </c>
      <c r="C2649" s="5">
        <f ca="1"/>
        <v>1.0640114673573997</v>
      </c>
      <c r="D2649" s="5">
        <f ca="1">S0*EXP((μ-0.5*σ*σ)*T+σ*SQRT(T)*$C2649)</f>
        <v>0.73799839175481252</v>
      </c>
      <c r="E2649" s="5">
        <f ca="1">MAX(0,CP*(D2649-K))</f>
        <v>0</v>
      </c>
      <c r="F2649" s="4">
        <f ca="1">(CP*(D2649-K)&gt;0)*1</f>
        <v>0</v>
      </c>
      <c r="H2649" s="4">
        <v>2634</v>
      </c>
      <c r="I2649" s="3">
        <v>0.66790992311853969</v>
      </c>
      <c r="J2649" s="128">
        <v>1.5274160712944161E-3</v>
      </c>
      <c r="K2649" s="128"/>
      <c r="L2649" s="128">
        <v>4.7199999999999999E-2</v>
      </c>
      <c r="O2649" s="2"/>
    </row>
    <row r="2650" spans="2:15" x14ac:dyDescent="0.2">
      <c r="B2650" s="1">
        <v>2635</v>
      </c>
      <c r="C2650" s="5">
        <f ca="1"/>
        <v>-1.4816827190584192</v>
      </c>
      <c r="D2650" s="5">
        <f ca="1">S0*EXP((μ-0.5*σ*σ)*T+σ*SQRT(T)*$C2650)</f>
        <v>0.57419444701851907</v>
      </c>
      <c r="E2650" s="5">
        <f ca="1">MAX(0,CP*(D2650-K))</f>
        <v>0</v>
      </c>
      <c r="F2650" s="4">
        <f ca="1">(CP*(D2650-K)&gt;0)*1</f>
        <v>0</v>
      </c>
      <c r="H2650" s="4">
        <v>2635</v>
      </c>
      <c r="I2650" s="3">
        <v>0.66767586568174864</v>
      </c>
      <c r="J2650" s="128">
        <v>1.3596326247290384E-3</v>
      </c>
      <c r="K2650" s="128"/>
      <c r="L2650" s="128">
        <v>4.0399999999999998E-2</v>
      </c>
      <c r="O2650" s="2"/>
    </row>
    <row r="2651" spans="2:15" x14ac:dyDescent="0.2">
      <c r="B2651" s="1">
        <v>2636</v>
      </c>
      <c r="C2651" s="5">
        <f ca="1"/>
        <v>0.42771358185632524</v>
      </c>
      <c r="D2651" s="5">
        <f ca="1">S0*EXP((μ-0.5*σ*σ)*T+σ*SQRT(T)*$C2651)</f>
        <v>0.69312520015035184</v>
      </c>
      <c r="E2651" s="5">
        <f ca="1">MAX(0,CP*(D2651-K))</f>
        <v>0</v>
      </c>
      <c r="F2651" s="4">
        <f ca="1">(CP*(D2651-K)&gt;0)*1</f>
        <v>0</v>
      </c>
      <c r="H2651" s="4">
        <v>2636</v>
      </c>
      <c r="I2651" s="3">
        <v>0.66764509814787576</v>
      </c>
      <c r="J2651" s="128">
        <v>1.2327698735932785E-3</v>
      </c>
      <c r="K2651" s="128"/>
      <c r="L2651" s="128">
        <v>0.04</v>
      </c>
      <c r="O2651" s="2"/>
    </row>
    <row r="2652" spans="2:15" x14ac:dyDescent="0.2">
      <c r="B2652" s="1">
        <v>2637</v>
      </c>
      <c r="C2652" s="5">
        <f ca="1"/>
        <v>-2.1662222542912382</v>
      </c>
      <c r="D2652" s="5">
        <f ca="1">S0*EXP((μ-0.5*σ*σ)*T+σ*SQRT(T)*$C2652)</f>
        <v>0.53672243287881694</v>
      </c>
      <c r="E2652" s="5">
        <f ca="1">MAX(0,CP*(D2652-K))</f>
        <v>0</v>
      </c>
      <c r="F2652" s="4">
        <f ca="1">(CP*(D2652-K)&gt;0)*1</f>
        <v>0</v>
      </c>
      <c r="H2652" s="4">
        <v>2637</v>
      </c>
      <c r="I2652" s="3">
        <v>0.66774525023322684</v>
      </c>
      <c r="J2652" s="128">
        <v>1.248694632367397E-3</v>
      </c>
      <c r="K2652" s="128"/>
      <c r="L2652" s="128">
        <v>3.8600000000000002E-2</v>
      </c>
      <c r="O2652" s="2"/>
    </row>
    <row r="2653" spans="2:15" x14ac:dyDescent="0.2">
      <c r="B2653" s="1">
        <v>2638</v>
      </c>
      <c r="C2653" s="5">
        <f ca="1"/>
        <v>-0.16693430169622725</v>
      </c>
      <c r="D2653" s="5">
        <f ca="1">S0*EXP((μ-0.5*σ*σ)*T+σ*SQRT(T)*$C2653)</f>
        <v>0.65365900515913677</v>
      </c>
      <c r="E2653" s="5">
        <f ca="1">MAX(0,CP*(D2653-K))</f>
        <v>0</v>
      </c>
      <c r="F2653" s="4">
        <f ca="1">(CP*(D2653-K)&gt;0)*1</f>
        <v>0</v>
      </c>
      <c r="H2653" s="4">
        <v>2638</v>
      </c>
      <c r="I2653" s="3">
        <v>0.66772981204173032</v>
      </c>
      <c r="J2653" s="128">
        <v>1.3156437676442557E-3</v>
      </c>
      <c r="K2653" s="128"/>
      <c r="L2653" s="128">
        <v>3.9600000000000003E-2</v>
      </c>
      <c r="O2653" s="2"/>
    </row>
    <row r="2654" spans="2:15" x14ac:dyDescent="0.2">
      <c r="B2654" s="1">
        <v>2639</v>
      </c>
      <c r="C2654" s="5">
        <f ca="1"/>
        <v>5.2763149848645441E-2</v>
      </c>
      <c r="D2654" s="5">
        <f ca="1">S0*EXP((μ-0.5*σ*σ)*T+σ*SQRT(T)*$C2654)</f>
        <v>0.66797131600278092</v>
      </c>
      <c r="E2654" s="5">
        <f ca="1">MAX(0,CP*(D2654-K))</f>
        <v>0</v>
      </c>
      <c r="F2654" s="4">
        <f ca="1">(CP*(D2654-K)&gt;0)*1</f>
        <v>0</v>
      </c>
      <c r="H2654" s="4">
        <v>2639</v>
      </c>
      <c r="I2654" s="3">
        <v>0.66787863065727149</v>
      </c>
      <c r="J2654" s="128">
        <v>1.3715571701875427E-3</v>
      </c>
      <c r="K2654" s="128"/>
      <c r="L2654" s="128">
        <v>4.4999999999999998E-2</v>
      </c>
      <c r="O2654" s="2"/>
    </row>
    <row r="2655" spans="2:15" x14ac:dyDescent="0.2">
      <c r="B2655" s="1">
        <v>2640</v>
      </c>
      <c r="C2655" s="5">
        <f ca="1"/>
        <v>0.51052840449431436</v>
      </c>
      <c r="D2655" s="5">
        <f ca="1">S0*EXP((μ-0.5*σ*σ)*T+σ*SQRT(T)*$C2655)</f>
        <v>0.69880738805379405</v>
      </c>
      <c r="E2655" s="5">
        <f ca="1">MAX(0,CP*(D2655-K))</f>
        <v>0</v>
      </c>
      <c r="F2655" s="4">
        <f ca="1">(CP*(D2655-K)&gt;0)*1</f>
        <v>0</v>
      </c>
      <c r="H2655" s="4">
        <v>2640</v>
      </c>
      <c r="I2655" s="3">
        <v>0.6676833349617064</v>
      </c>
      <c r="J2655" s="128">
        <v>1.3259077208083098E-3</v>
      </c>
      <c r="K2655" s="128"/>
      <c r="L2655" s="128">
        <v>3.7600000000000001E-2</v>
      </c>
      <c r="O2655" s="2"/>
    </row>
    <row r="2656" spans="2:15" x14ac:dyDescent="0.2">
      <c r="B2656" s="1">
        <v>2641</v>
      </c>
      <c r="C2656" s="5">
        <f ca="1"/>
        <v>-0.56336537124689556</v>
      </c>
      <c r="D2656" s="5">
        <f ca="1">S0*EXP((μ-0.5*σ*σ)*T+σ*SQRT(T)*$C2656)</f>
        <v>0.62860474984800974</v>
      </c>
      <c r="E2656" s="5">
        <f ca="1">MAX(0,CP*(D2656-K))</f>
        <v>0</v>
      </c>
      <c r="F2656" s="4">
        <f ca="1">(CP*(D2656-K)&gt;0)*1</f>
        <v>0</v>
      </c>
      <c r="H2656" s="4">
        <v>2641</v>
      </c>
      <c r="I2656" s="3">
        <v>0.66775618748788268</v>
      </c>
      <c r="J2656" s="128">
        <v>1.3950290530300813E-3</v>
      </c>
      <c r="K2656" s="128"/>
      <c r="L2656" s="128">
        <v>4.5199999999999997E-2</v>
      </c>
      <c r="O2656" s="2"/>
    </row>
    <row r="2657" spans="2:15" x14ac:dyDescent="0.2">
      <c r="B2657" s="1">
        <v>2642</v>
      </c>
      <c r="C2657" s="5">
        <f ca="1"/>
        <v>-0.71954358281976738</v>
      </c>
      <c r="D2657" s="5">
        <f ca="1">S0*EXP((μ-0.5*σ*σ)*T+σ*SQRT(T)*$C2657)</f>
        <v>0.61900011957551715</v>
      </c>
      <c r="E2657" s="5">
        <f ca="1">MAX(0,CP*(D2657-K))</f>
        <v>0</v>
      </c>
      <c r="F2657" s="4">
        <f ca="1">(CP*(D2657-K)&gt;0)*1</f>
        <v>0</v>
      </c>
      <c r="H2657" s="4">
        <v>2642</v>
      </c>
      <c r="I2657" s="3">
        <v>0.66773434197461612</v>
      </c>
      <c r="J2657" s="128">
        <v>1.4681817176322111E-3</v>
      </c>
      <c r="K2657" s="128"/>
      <c r="L2657" s="128">
        <v>4.0399999999999998E-2</v>
      </c>
      <c r="O2657" s="2"/>
    </row>
    <row r="2658" spans="2:15" x14ac:dyDescent="0.2">
      <c r="B2658" s="1">
        <v>2643</v>
      </c>
      <c r="C2658" s="5">
        <f ca="1"/>
        <v>0.69438605979993839</v>
      </c>
      <c r="D2658" s="5">
        <f ca="1">S0*EXP((μ-0.5*σ*σ)*T+σ*SQRT(T)*$C2658)</f>
        <v>0.71158950819614364</v>
      </c>
      <c r="E2658" s="5">
        <f ca="1">MAX(0,CP*(D2658-K))</f>
        <v>0</v>
      </c>
      <c r="F2658" s="4">
        <f ca="1">(CP*(D2658-K)&gt;0)*1</f>
        <v>0</v>
      </c>
      <c r="H2658" s="4">
        <v>2643</v>
      </c>
      <c r="I2658" s="3">
        <v>0.6678452204023656</v>
      </c>
      <c r="J2658" s="128">
        <v>1.3952043874695104E-3</v>
      </c>
      <c r="K2658" s="128"/>
      <c r="L2658" s="128">
        <v>4.4200000000000003E-2</v>
      </c>
      <c r="O2658" s="2"/>
    </row>
    <row r="2659" spans="2:15" x14ac:dyDescent="0.2">
      <c r="B2659" s="1">
        <v>2644</v>
      </c>
      <c r="C2659" s="5">
        <f ca="1"/>
        <v>0.97918842265857675</v>
      </c>
      <c r="D2659" s="5">
        <f ca="1">S0*EXP((μ-0.5*σ*σ)*T+σ*SQRT(T)*$C2659)</f>
        <v>0.73185262084836955</v>
      </c>
      <c r="E2659" s="5">
        <f ca="1">MAX(0,CP*(D2659-K))</f>
        <v>0</v>
      </c>
      <c r="F2659" s="4">
        <f ca="1">(CP*(D2659-K)&gt;0)*1</f>
        <v>0</v>
      </c>
      <c r="H2659" s="4">
        <v>2644</v>
      </c>
      <c r="I2659" s="3">
        <v>0.66761338074693244</v>
      </c>
      <c r="J2659" s="128">
        <v>1.2115899348235845E-3</v>
      </c>
      <c r="K2659" s="128"/>
      <c r="L2659" s="128">
        <v>3.8399999999999997E-2</v>
      </c>
      <c r="O2659" s="2"/>
    </row>
    <row r="2660" spans="2:15" x14ac:dyDescent="0.2">
      <c r="B2660" s="1">
        <v>2645</v>
      </c>
      <c r="C2660" s="5">
        <f ca="1"/>
        <v>0.4166501187360066</v>
      </c>
      <c r="D2660" s="5">
        <f ca="1">S0*EXP((μ-0.5*σ*σ)*T+σ*SQRT(T)*$C2660)</f>
        <v>0.69236960758353161</v>
      </c>
      <c r="E2660" s="5">
        <f ca="1">MAX(0,CP*(D2660-K))</f>
        <v>0</v>
      </c>
      <c r="F2660" s="4">
        <f ca="1">(CP*(D2660-K)&gt;0)*1</f>
        <v>0</v>
      </c>
      <c r="H2660" s="4">
        <v>2645</v>
      </c>
      <c r="I2660" s="3">
        <v>0.66760798934690235</v>
      </c>
      <c r="J2660" s="128">
        <v>1.2659752278651214E-3</v>
      </c>
      <c r="K2660" s="128"/>
      <c r="L2660" s="128">
        <v>0.04</v>
      </c>
      <c r="O2660" s="2"/>
    </row>
    <row r="2661" spans="2:15" x14ac:dyDescent="0.2">
      <c r="B2661" s="1">
        <v>2646</v>
      </c>
      <c r="C2661" s="5">
        <f ca="1"/>
        <v>-0.62171392502301148</v>
      </c>
      <c r="D2661" s="5">
        <f ca="1">S0*EXP((μ-0.5*σ*σ)*T+σ*SQRT(T)*$C2661)</f>
        <v>0.62499912159529547</v>
      </c>
      <c r="E2661" s="5">
        <f ca="1">MAX(0,CP*(D2661-K))</f>
        <v>0</v>
      </c>
      <c r="F2661" s="4">
        <f ca="1">(CP*(D2661-K)&gt;0)*1</f>
        <v>0</v>
      </c>
      <c r="H2661" s="4">
        <v>2646</v>
      </c>
      <c r="I2661" s="3">
        <v>0.66779846697229783</v>
      </c>
      <c r="J2661" s="128">
        <v>1.4836549135594981E-3</v>
      </c>
      <c r="K2661" s="128"/>
      <c r="L2661" s="128">
        <v>4.4200000000000003E-2</v>
      </c>
      <c r="O2661" s="2"/>
    </row>
    <row r="2662" spans="2:15" x14ac:dyDescent="0.2">
      <c r="B2662" s="1">
        <v>2647</v>
      </c>
      <c r="C2662" s="5">
        <f ca="1"/>
        <v>1.1771486623218854</v>
      </c>
      <c r="D2662" s="5">
        <f ca="1">S0*EXP((μ-0.5*σ*σ)*T+σ*SQRT(T)*$C2662)</f>
        <v>0.7462760374768872</v>
      </c>
      <c r="E2662" s="5">
        <f ca="1">MAX(0,CP*(D2662-K))</f>
        <v>0</v>
      </c>
      <c r="F2662" s="4">
        <f ca="1">(CP*(D2662-K)&gt;0)*1</f>
        <v>0</v>
      </c>
      <c r="H2662" s="4">
        <v>2647</v>
      </c>
      <c r="I2662" s="3">
        <v>0.6677616861382818</v>
      </c>
      <c r="J2662" s="128">
        <v>1.4321286285701236E-3</v>
      </c>
      <c r="K2662" s="128"/>
      <c r="L2662" s="128">
        <v>4.2999999999999997E-2</v>
      </c>
      <c r="O2662" s="2"/>
    </row>
    <row r="2663" spans="2:15" x14ac:dyDescent="0.2">
      <c r="B2663" s="1">
        <v>2648</v>
      </c>
      <c r="C2663" s="5">
        <f ca="1"/>
        <v>0.88243882517587624</v>
      </c>
      <c r="D2663" s="5">
        <f ca="1">S0*EXP((μ-0.5*σ*σ)*T+σ*SQRT(T)*$C2663)</f>
        <v>0.72490517850839598</v>
      </c>
      <c r="E2663" s="5">
        <f ca="1">MAX(0,CP*(D2663-K))</f>
        <v>0</v>
      </c>
      <c r="F2663" s="4">
        <f ca="1">(CP*(D2663-K)&gt;0)*1</f>
        <v>0</v>
      </c>
      <c r="H2663" s="4">
        <v>2648</v>
      </c>
      <c r="I2663" s="3">
        <v>0.66756836942330677</v>
      </c>
      <c r="J2663" s="128">
        <v>1.1782190558398333E-3</v>
      </c>
      <c r="K2663" s="128"/>
      <c r="L2663" s="128">
        <v>3.5000000000000003E-2</v>
      </c>
      <c r="O2663" s="2"/>
    </row>
    <row r="2664" spans="2:15" x14ac:dyDescent="0.2">
      <c r="B2664" s="1">
        <v>2649</v>
      </c>
      <c r="C2664" s="5">
        <f ca="1"/>
        <v>-0.55324875472263413</v>
      </c>
      <c r="D2664" s="5">
        <f ca="1">S0*EXP((μ-0.5*σ*σ)*T+σ*SQRT(T)*$C2664)</f>
        <v>0.62923201514546112</v>
      </c>
      <c r="E2664" s="5">
        <f ca="1">MAX(0,CP*(D2664-K))</f>
        <v>0</v>
      </c>
      <c r="F2664" s="4">
        <f ca="1">(CP*(D2664-K)&gt;0)*1</f>
        <v>0</v>
      </c>
      <c r="H2664" s="4">
        <v>2649</v>
      </c>
      <c r="I2664" s="3">
        <v>0.66774750320525633</v>
      </c>
      <c r="J2664" s="128">
        <v>1.349400252121378E-3</v>
      </c>
      <c r="K2664" s="128"/>
      <c r="L2664" s="128">
        <v>3.8600000000000002E-2</v>
      </c>
      <c r="O2664" s="2"/>
    </row>
    <row r="2665" spans="2:15" x14ac:dyDescent="0.2">
      <c r="B2665" s="1">
        <v>2650</v>
      </c>
      <c r="C2665" s="5">
        <f ca="1"/>
        <v>9.7068865672173418E-2</v>
      </c>
      <c r="D2665" s="5">
        <f ca="1">S0*EXP((μ-0.5*σ*σ)*T+σ*SQRT(T)*$C2665)</f>
        <v>0.67089538848301988</v>
      </c>
      <c r="E2665" s="5">
        <f ca="1">MAX(0,CP*(D2665-K))</f>
        <v>0</v>
      </c>
      <c r="F2665" s="4">
        <f ca="1">(CP*(D2665-K)&gt;0)*1</f>
        <v>0</v>
      </c>
      <c r="H2665" s="4">
        <v>2650</v>
      </c>
      <c r="I2665" s="3">
        <v>0.66767802345380656</v>
      </c>
      <c r="J2665" s="128">
        <v>1.2072431776787916E-3</v>
      </c>
      <c r="K2665" s="128"/>
      <c r="L2665" s="128">
        <v>4.02E-2</v>
      </c>
      <c r="O2665" s="2"/>
    </row>
    <row r="2666" spans="2:15" x14ac:dyDescent="0.2">
      <c r="B2666" s="1">
        <v>2651</v>
      </c>
      <c r="C2666" s="5">
        <f ca="1"/>
        <v>1.134712391150112</v>
      </c>
      <c r="D2666" s="5">
        <f ca="1">S0*EXP((μ-0.5*σ*σ)*T+σ*SQRT(T)*$C2666)</f>
        <v>0.74316037592856077</v>
      </c>
      <c r="E2666" s="5">
        <f ca="1">MAX(0,CP*(D2666-K))</f>
        <v>0</v>
      </c>
      <c r="F2666" s="4">
        <f ca="1">(CP*(D2666-K)&gt;0)*1</f>
        <v>0</v>
      </c>
      <c r="H2666" s="4">
        <v>2651</v>
      </c>
      <c r="I2666" s="3">
        <v>0.66791367662488021</v>
      </c>
      <c r="J2666" s="128">
        <v>1.4988596563340901E-3</v>
      </c>
      <c r="K2666" s="128"/>
      <c r="L2666" s="128">
        <v>4.5400000000000003E-2</v>
      </c>
      <c r="O2666" s="2"/>
    </row>
    <row r="2667" spans="2:15" x14ac:dyDescent="0.2">
      <c r="B2667" s="1">
        <v>2652</v>
      </c>
      <c r="C2667" s="5">
        <f ca="1"/>
        <v>0.89082640132339352</v>
      </c>
      <c r="D2667" s="5">
        <f ca="1">S0*EXP((μ-0.5*σ*σ)*T+σ*SQRT(T)*$C2667)</f>
        <v>0.72550485769022666</v>
      </c>
      <c r="E2667" s="5">
        <f ca="1">MAX(0,CP*(D2667-K))</f>
        <v>0</v>
      </c>
      <c r="F2667" s="4">
        <f ca="1">(CP*(D2667-K)&gt;0)*1</f>
        <v>0</v>
      </c>
      <c r="H2667" s="4">
        <v>2652</v>
      </c>
      <c r="I2667" s="3">
        <v>0.66773458677967268</v>
      </c>
      <c r="J2667" s="128">
        <v>1.3683847381674812E-3</v>
      </c>
      <c r="K2667" s="128"/>
      <c r="L2667" s="128">
        <v>4.36E-2</v>
      </c>
      <c r="O2667" s="2"/>
    </row>
    <row r="2668" spans="2:15" x14ac:dyDescent="0.2">
      <c r="B2668" s="1">
        <v>2653</v>
      </c>
      <c r="C2668" s="5">
        <f ca="1"/>
        <v>-3.3043326414790961</v>
      </c>
      <c r="D2668" s="5">
        <f ca="1">S0*EXP((μ-0.5*σ*σ)*T+σ*SQRT(T)*$C2668)</f>
        <v>0.47975600548075431</v>
      </c>
      <c r="E2668" s="5">
        <f ca="1">MAX(0,CP*(D2668-K))</f>
        <v>0</v>
      </c>
      <c r="F2668" s="4">
        <f ca="1">(CP*(D2668-K)&gt;0)*1</f>
        <v>0</v>
      </c>
      <c r="H2668" s="4">
        <v>2653</v>
      </c>
      <c r="I2668" s="3">
        <v>0.66785230016041752</v>
      </c>
      <c r="J2668" s="128">
        <v>1.3510077055270075E-3</v>
      </c>
      <c r="K2668" s="128"/>
      <c r="L2668" s="128">
        <v>4.3999999999999997E-2</v>
      </c>
      <c r="O2668" s="2"/>
    </row>
    <row r="2669" spans="2:15" x14ac:dyDescent="0.2">
      <c r="B2669" s="1">
        <v>2654</v>
      </c>
      <c r="C2669" s="5">
        <f ca="1"/>
        <v>-0.63449729417076872</v>
      </c>
      <c r="D2669" s="5">
        <f ca="1">S0*EXP((μ-0.5*σ*σ)*T+σ*SQRT(T)*$C2669)</f>
        <v>0.62421194382681089</v>
      </c>
      <c r="E2669" s="5">
        <f ca="1">MAX(0,CP*(D2669-K))</f>
        <v>0</v>
      </c>
      <c r="F2669" s="4">
        <f ca="1">(CP*(D2669-K)&gt;0)*1</f>
        <v>0</v>
      </c>
      <c r="H2669" s="4">
        <v>2654</v>
      </c>
      <c r="I2669" s="3">
        <v>0.66777627535908635</v>
      </c>
      <c r="J2669" s="128">
        <v>1.3964572969651775E-3</v>
      </c>
      <c r="K2669" s="128"/>
      <c r="L2669" s="128">
        <v>4.5600000000000002E-2</v>
      </c>
      <c r="O2669" s="2"/>
    </row>
    <row r="2670" spans="2:15" x14ac:dyDescent="0.2">
      <c r="B2670" s="1">
        <v>2655</v>
      </c>
      <c r="C2670" s="5">
        <f ca="1"/>
        <v>1.1926117854765759</v>
      </c>
      <c r="D2670" s="5">
        <f ca="1">S0*EXP((μ-0.5*σ*σ)*T+σ*SQRT(T)*$C2670)</f>
        <v>0.7474145806637279</v>
      </c>
      <c r="E2670" s="5">
        <f ca="1">MAX(0,CP*(D2670-K))</f>
        <v>0</v>
      </c>
      <c r="F2670" s="4">
        <f ca="1">(CP*(D2670-K)&gt;0)*1</f>
        <v>0</v>
      </c>
      <c r="H2670" s="4">
        <v>2655</v>
      </c>
      <c r="I2670" s="3">
        <v>0.66759123530215991</v>
      </c>
      <c r="J2670" s="128">
        <v>1.1523748552585927E-3</v>
      </c>
      <c r="K2670" s="128"/>
      <c r="L2670" s="128">
        <v>3.4000000000000002E-2</v>
      </c>
      <c r="O2670" s="2"/>
    </row>
    <row r="2671" spans="2:15" x14ac:dyDescent="0.2">
      <c r="B2671" s="1">
        <v>2656</v>
      </c>
      <c r="C2671" s="5">
        <f ca="1"/>
        <v>1.1381445491102469</v>
      </c>
      <c r="D2671" s="5">
        <f ca="1">S0*EXP((μ-0.5*σ*σ)*T+σ*SQRT(T)*$C2671)</f>
        <v>0.74341187999504366</v>
      </c>
      <c r="E2671" s="5">
        <f ca="1">MAX(0,CP*(D2671-K))</f>
        <v>0</v>
      </c>
      <c r="F2671" s="4">
        <f ca="1">(CP*(D2671-K)&gt;0)*1</f>
        <v>0</v>
      </c>
      <c r="H2671" s="4">
        <v>2656</v>
      </c>
      <c r="I2671" s="3">
        <v>0.66783053796473846</v>
      </c>
      <c r="J2671" s="128">
        <v>1.5236643743526742E-3</v>
      </c>
      <c r="K2671" s="128"/>
      <c r="L2671" s="128">
        <v>4.5199999999999997E-2</v>
      </c>
      <c r="O2671" s="2"/>
    </row>
    <row r="2672" spans="2:15" x14ac:dyDescent="0.2">
      <c r="B2672" s="1">
        <v>2657</v>
      </c>
      <c r="C2672" s="5">
        <f ca="1"/>
        <v>1.0810971161742808</v>
      </c>
      <c r="D2672" s="5">
        <f ca="1">S0*EXP((μ-0.5*σ*σ)*T+σ*SQRT(T)*$C2672)</f>
        <v>0.73924254659178101</v>
      </c>
      <c r="E2672" s="5">
        <f ca="1">MAX(0,CP*(D2672-K))</f>
        <v>0</v>
      </c>
      <c r="F2672" s="4">
        <f ca="1">(CP*(D2672-K)&gt;0)*1</f>
        <v>0</v>
      </c>
      <c r="H2672" s="4">
        <v>2657</v>
      </c>
      <c r="I2672" s="3">
        <v>0.66755151636226107</v>
      </c>
      <c r="J2672" s="128">
        <v>1.329995669888505E-3</v>
      </c>
      <c r="K2672" s="128"/>
      <c r="L2672" s="128">
        <v>3.8399999999999997E-2</v>
      </c>
      <c r="O2672" s="2"/>
    </row>
    <row r="2673" spans="2:15" x14ac:dyDescent="0.2">
      <c r="B2673" s="1">
        <v>2658</v>
      </c>
      <c r="C2673" s="5">
        <f ca="1"/>
        <v>-1.726413451624051</v>
      </c>
      <c r="D2673" s="5">
        <f ca="1">S0*EXP((μ-0.5*σ*σ)*T+σ*SQRT(T)*$C2673)</f>
        <v>0.56050642932042904</v>
      </c>
      <c r="E2673" s="5">
        <f ca="1">MAX(0,CP*(D2673-K))</f>
        <v>0</v>
      </c>
      <c r="F2673" s="4">
        <f ca="1">(CP*(D2673-K)&gt;0)*1</f>
        <v>0</v>
      </c>
      <c r="H2673" s="4">
        <v>2658</v>
      </c>
      <c r="I2673" s="3">
        <v>0.66767378253111742</v>
      </c>
      <c r="J2673" s="128">
        <v>1.3117630149618771E-3</v>
      </c>
      <c r="K2673" s="128"/>
      <c r="L2673" s="128">
        <v>3.6600000000000001E-2</v>
      </c>
      <c r="O2673" s="2"/>
    </row>
    <row r="2674" spans="2:15" x14ac:dyDescent="0.2">
      <c r="B2674" s="1">
        <v>2659</v>
      </c>
      <c r="C2674" s="5">
        <f ca="1"/>
        <v>0.26066506165366243</v>
      </c>
      <c r="D2674" s="5">
        <f ca="1">S0*EXP((μ-0.5*σ*σ)*T+σ*SQRT(T)*$C2674)</f>
        <v>0.68180367916285878</v>
      </c>
      <c r="E2674" s="5">
        <f ca="1">MAX(0,CP*(D2674-K))</f>
        <v>0</v>
      </c>
      <c r="F2674" s="4">
        <f ca="1">(CP*(D2674-K)&gt;0)*1</f>
        <v>0</v>
      </c>
      <c r="H2674" s="4">
        <v>2659</v>
      </c>
      <c r="I2674" s="3">
        <v>0.66787163775355918</v>
      </c>
      <c r="J2674" s="128">
        <v>1.4969762040362366E-3</v>
      </c>
      <c r="K2674" s="128"/>
      <c r="L2674" s="128">
        <v>4.2799999999999998E-2</v>
      </c>
      <c r="O2674" s="2"/>
    </row>
    <row r="2675" spans="2:15" x14ac:dyDescent="0.2">
      <c r="B2675" s="1">
        <v>2660</v>
      </c>
      <c r="C2675" s="5">
        <f ca="1"/>
        <v>1.1944192276980645</v>
      </c>
      <c r="D2675" s="5">
        <f ca="1">S0*EXP((μ-0.5*σ*σ)*T+σ*SQRT(T)*$C2675)</f>
        <v>0.74754777519805327</v>
      </c>
      <c r="E2675" s="5">
        <f ca="1">MAX(0,CP*(D2675-K))</f>
        <v>0</v>
      </c>
      <c r="F2675" s="4">
        <f ca="1">(CP*(D2675-K)&gt;0)*1</f>
        <v>0</v>
      </c>
      <c r="H2675" s="4">
        <v>2660</v>
      </c>
      <c r="I2675" s="3">
        <v>0.66768609929724076</v>
      </c>
      <c r="J2675" s="128">
        <v>1.1945987206807074E-3</v>
      </c>
      <c r="K2675" s="128"/>
      <c r="L2675" s="128">
        <v>4.1399999999999999E-2</v>
      </c>
      <c r="O2675" s="2"/>
    </row>
    <row r="2676" spans="2:15" x14ac:dyDescent="0.2">
      <c r="B2676" s="1">
        <v>2661</v>
      </c>
      <c r="C2676" s="5">
        <f ca="1"/>
        <v>-0.25926362210600523</v>
      </c>
      <c r="D2676" s="5">
        <f ca="1">S0*EXP((μ-0.5*σ*σ)*T+σ*SQRT(T)*$C2676)</f>
        <v>0.64773606258950867</v>
      </c>
      <c r="E2676" s="5">
        <f ca="1">MAX(0,CP*(D2676-K))</f>
        <v>0</v>
      </c>
      <c r="F2676" s="4">
        <f ca="1">(CP*(D2676-K)&gt;0)*1</f>
        <v>0</v>
      </c>
      <c r="H2676" s="4">
        <v>2661</v>
      </c>
      <c r="I2676" s="3">
        <v>0.66759899822119828</v>
      </c>
      <c r="J2676" s="128">
        <v>1.1944055133322094E-3</v>
      </c>
      <c r="K2676" s="128"/>
      <c r="L2676" s="128">
        <v>3.6799999999999999E-2</v>
      </c>
      <c r="O2676" s="2"/>
    </row>
    <row r="2677" spans="2:15" x14ac:dyDescent="0.2">
      <c r="B2677" s="1">
        <v>2662</v>
      </c>
      <c r="C2677" s="5">
        <f ca="1"/>
        <v>-0.49998118025923299</v>
      </c>
      <c r="D2677" s="5">
        <f ca="1">S0*EXP((μ-0.5*σ*σ)*T+σ*SQRT(T)*$C2677)</f>
        <v>0.63254512857303824</v>
      </c>
      <c r="E2677" s="5">
        <f ca="1">MAX(0,CP*(D2677-K))</f>
        <v>0</v>
      </c>
      <c r="F2677" s="4">
        <f ca="1">(CP*(D2677-K)&gt;0)*1</f>
        <v>0</v>
      </c>
      <c r="H2677" s="4">
        <v>2662</v>
      </c>
      <c r="I2677" s="3">
        <v>0.66774556244902017</v>
      </c>
      <c r="J2677" s="128">
        <v>1.4098383532288332E-3</v>
      </c>
      <c r="K2677" s="128"/>
      <c r="L2677" s="128">
        <v>3.9199999999999999E-2</v>
      </c>
      <c r="O2677" s="2"/>
    </row>
    <row r="2678" spans="2:15" x14ac:dyDescent="0.2">
      <c r="B2678" s="1">
        <v>2663</v>
      </c>
      <c r="C2678" s="5">
        <f ca="1"/>
        <v>-1.1588109162691327</v>
      </c>
      <c r="D2678" s="5">
        <f ca="1">S0*EXP((μ-0.5*σ*σ)*T+σ*SQRT(T)*$C2678)</f>
        <v>0.59276569976596261</v>
      </c>
      <c r="E2678" s="5">
        <f ca="1">MAX(0,CP*(D2678-K))</f>
        <v>0</v>
      </c>
      <c r="F2678" s="4">
        <f ca="1">(CP*(D2678-K)&gt;0)*1</f>
        <v>0</v>
      </c>
      <c r="H2678" s="4">
        <v>2663</v>
      </c>
      <c r="I2678" s="3">
        <v>0.66761043364271733</v>
      </c>
      <c r="J2678" s="128">
        <v>1.1541513363534711E-3</v>
      </c>
      <c r="K2678" s="128"/>
      <c r="L2678" s="128">
        <v>3.6799999999999999E-2</v>
      </c>
      <c r="O2678" s="2"/>
    </row>
    <row r="2679" spans="2:15" x14ac:dyDescent="0.2">
      <c r="B2679" s="1">
        <v>2664</v>
      </c>
      <c r="C2679" s="5">
        <f ca="1"/>
        <v>0.37506534067486036</v>
      </c>
      <c r="D2679" s="5">
        <f ca="1">S0*EXP((μ-0.5*σ*σ)*T+σ*SQRT(T)*$C2679)</f>
        <v>0.68953688423894444</v>
      </c>
      <c r="E2679" s="5">
        <f ca="1">MAX(0,CP*(D2679-K))</f>
        <v>0</v>
      </c>
      <c r="F2679" s="4">
        <f ca="1">(CP*(D2679-K)&gt;0)*1</f>
        <v>0</v>
      </c>
      <c r="H2679" s="4">
        <v>2664</v>
      </c>
      <c r="I2679" s="3">
        <v>0.66769425139490812</v>
      </c>
      <c r="J2679" s="128">
        <v>1.2844922464539908E-3</v>
      </c>
      <c r="K2679" s="128"/>
      <c r="L2679" s="128">
        <v>4.3799999999999999E-2</v>
      </c>
      <c r="O2679" s="2"/>
    </row>
    <row r="2680" spans="2:15" x14ac:dyDescent="0.2">
      <c r="B2680" s="1">
        <v>2665</v>
      </c>
      <c r="C2680" s="5">
        <f ca="1"/>
        <v>-0.62894945738294372</v>
      </c>
      <c r="D2680" s="5">
        <f ca="1">S0*EXP((μ-0.5*σ*σ)*T+σ*SQRT(T)*$C2680)</f>
        <v>0.6245534481802717</v>
      </c>
      <c r="E2680" s="5">
        <f ca="1">MAX(0,CP*(D2680-K))</f>
        <v>0</v>
      </c>
      <c r="F2680" s="4">
        <f ca="1">(CP*(D2680-K)&gt;0)*1</f>
        <v>0</v>
      </c>
      <c r="H2680" s="4">
        <v>2665</v>
      </c>
      <c r="I2680" s="3">
        <v>0.66779043935161808</v>
      </c>
      <c r="J2680" s="128">
        <v>1.4319959293335057E-3</v>
      </c>
      <c r="K2680" s="128"/>
      <c r="L2680" s="128">
        <v>4.8000000000000001E-2</v>
      </c>
      <c r="O2680" s="2"/>
    </row>
    <row r="2681" spans="2:15" x14ac:dyDescent="0.2">
      <c r="B2681" s="1">
        <v>2666</v>
      </c>
      <c r="C2681" s="5">
        <f ca="1"/>
        <v>7.5164648241078713E-2</v>
      </c>
      <c r="D2681" s="5">
        <f ca="1">S0*EXP((μ-0.5*σ*σ)*T+σ*SQRT(T)*$C2681)</f>
        <v>0.66944816557606979</v>
      </c>
      <c r="E2681" s="5">
        <f ca="1">MAX(0,CP*(D2681-K))</f>
        <v>0</v>
      </c>
      <c r="F2681" s="4">
        <f ca="1">(CP*(D2681-K)&gt;0)*1</f>
        <v>0</v>
      </c>
      <c r="H2681" s="4">
        <v>2666</v>
      </c>
      <c r="I2681" s="3">
        <v>0.66789526877815697</v>
      </c>
      <c r="J2681" s="128">
        <v>1.6383878942563164E-3</v>
      </c>
      <c r="K2681" s="128"/>
      <c r="L2681" s="128">
        <v>4.3400000000000001E-2</v>
      </c>
      <c r="O2681" s="2"/>
    </row>
    <row r="2682" spans="2:15" x14ac:dyDescent="0.2">
      <c r="B2682" s="1">
        <v>2667</v>
      </c>
      <c r="C2682" s="5">
        <f ca="1"/>
        <v>0.70533611335269641</v>
      </c>
      <c r="D2682" s="5">
        <f ca="1">S0*EXP((μ-0.5*σ*σ)*T+σ*SQRT(T)*$C2682)</f>
        <v>0.71235811095614054</v>
      </c>
      <c r="E2682" s="5">
        <f ca="1">MAX(0,CP*(D2682-K))</f>
        <v>0</v>
      </c>
      <c r="F2682" s="4">
        <f ca="1">(CP*(D2682-K)&gt;0)*1</f>
        <v>0</v>
      </c>
      <c r="H2682" s="4">
        <v>2667</v>
      </c>
      <c r="I2682" s="3">
        <v>0.66779827226754773</v>
      </c>
      <c r="J2682" s="128">
        <v>1.4469210870126322E-3</v>
      </c>
      <c r="K2682" s="128"/>
      <c r="L2682" s="128">
        <v>4.4600000000000001E-2</v>
      </c>
      <c r="O2682" s="2"/>
    </row>
    <row r="2683" spans="2:15" x14ac:dyDescent="0.2">
      <c r="B2683" s="1">
        <v>2668</v>
      </c>
      <c r="C2683" s="5">
        <f ca="1"/>
        <v>3.0041466669620971</v>
      </c>
      <c r="D2683" s="5">
        <f ca="1">S0*EXP((μ-0.5*σ*σ)*T+σ*SQRT(T)*$C2683)</f>
        <v>0.89356105591741386</v>
      </c>
      <c r="E2683" s="5">
        <f ca="1">MAX(0,CP*(D2683-K))</f>
        <v>0.10536105591741385</v>
      </c>
      <c r="F2683" s="4">
        <f ca="1">(CP*(D2683-K)&gt;0)*1</f>
        <v>1</v>
      </c>
      <c r="H2683" s="4">
        <v>2668</v>
      </c>
      <c r="I2683" s="3">
        <v>0.6676665698689811</v>
      </c>
      <c r="J2683" s="128">
        <v>1.3797480330818856E-3</v>
      </c>
      <c r="K2683" s="128"/>
      <c r="L2683" s="128">
        <v>4.02E-2</v>
      </c>
      <c r="O2683" s="2"/>
    </row>
    <row r="2684" spans="2:15" x14ac:dyDescent="0.2">
      <c r="B2684" s="1">
        <v>2669</v>
      </c>
      <c r="C2684" s="5">
        <f ca="1"/>
        <v>8.3659264416029222E-2</v>
      </c>
      <c r="D2684" s="5">
        <f ca="1">S0*EXP((μ-0.5*σ*σ)*T+σ*SQRT(T)*$C2684)</f>
        <v>0.67000903827665592</v>
      </c>
      <c r="E2684" s="5">
        <f ca="1">MAX(0,CP*(D2684-K))</f>
        <v>0</v>
      </c>
      <c r="F2684" s="4">
        <f ca="1">(CP*(D2684-K)&gt;0)*1</f>
        <v>0</v>
      </c>
      <c r="H2684" s="4">
        <v>2669</v>
      </c>
      <c r="I2684" s="3">
        <v>0.66778204043169076</v>
      </c>
      <c r="J2684" s="128">
        <v>1.4300590397382806E-3</v>
      </c>
      <c r="K2684" s="128"/>
      <c r="L2684" s="128">
        <v>4.36E-2</v>
      </c>
      <c r="O2684" s="2"/>
    </row>
    <row r="2685" spans="2:15" x14ac:dyDescent="0.2">
      <c r="B2685" s="1">
        <v>2670</v>
      </c>
      <c r="C2685" s="5">
        <f ca="1"/>
        <v>0.83198834896343477</v>
      </c>
      <c r="D2685" s="5">
        <f ca="1">S0*EXP((μ-0.5*σ*σ)*T+σ*SQRT(T)*$C2685)</f>
        <v>0.72130860785090112</v>
      </c>
      <c r="E2685" s="5">
        <f ca="1">MAX(0,CP*(D2685-K))</f>
        <v>0</v>
      </c>
      <c r="F2685" s="4">
        <f ca="1">(CP*(D2685-K)&gt;0)*1</f>
        <v>0</v>
      </c>
      <c r="H2685" s="4">
        <v>2670</v>
      </c>
      <c r="I2685" s="3">
        <v>0.66793896996976687</v>
      </c>
      <c r="J2685" s="128">
        <v>1.6276427340709873E-3</v>
      </c>
      <c r="K2685" s="128"/>
      <c r="L2685" s="128">
        <v>4.4400000000000002E-2</v>
      </c>
      <c r="O2685" s="2"/>
    </row>
    <row r="2686" spans="2:15" x14ac:dyDescent="0.2">
      <c r="B2686" s="1">
        <v>2671</v>
      </c>
      <c r="C2686" s="5">
        <f ca="1"/>
        <v>-1.239329029177487</v>
      </c>
      <c r="D2686" s="5">
        <f ca="1">S0*EXP((μ-0.5*σ*σ)*T+σ*SQRT(T)*$C2686)</f>
        <v>0.58807890665941076</v>
      </c>
      <c r="E2686" s="5">
        <f ca="1">MAX(0,CP*(D2686-K))</f>
        <v>0</v>
      </c>
      <c r="F2686" s="4">
        <f ca="1">(CP*(D2686-K)&gt;0)*1</f>
        <v>0</v>
      </c>
      <c r="H2686" s="4">
        <v>2671</v>
      </c>
      <c r="I2686" s="3">
        <v>0.66770271764276556</v>
      </c>
      <c r="J2686" s="128">
        <v>1.2310861024156996E-3</v>
      </c>
      <c r="K2686" s="128"/>
      <c r="L2686" s="128">
        <v>4.2000000000000003E-2</v>
      </c>
      <c r="O2686" s="2"/>
    </row>
    <row r="2687" spans="2:15" x14ac:dyDescent="0.2">
      <c r="B2687" s="1">
        <v>2672</v>
      </c>
      <c r="C2687" s="5">
        <f ca="1"/>
        <v>-7.5745690844659944E-2</v>
      </c>
      <c r="D2687" s="5">
        <f ca="1">S0*EXP((μ-0.5*σ*σ)*T+σ*SQRT(T)*$C2687)</f>
        <v>0.65956192923084467</v>
      </c>
      <c r="E2687" s="5">
        <f ca="1">MAX(0,CP*(D2687-K))</f>
        <v>0</v>
      </c>
      <c r="F2687" s="4">
        <f ca="1">(CP*(D2687-K)&gt;0)*1</f>
        <v>0</v>
      </c>
      <c r="H2687" s="4">
        <v>2672</v>
      </c>
      <c r="I2687" s="3">
        <v>0.66778404391384616</v>
      </c>
      <c r="J2687" s="128">
        <v>1.4550334673717525E-3</v>
      </c>
      <c r="K2687" s="128"/>
      <c r="L2687" s="128">
        <v>0.04</v>
      </c>
      <c r="O2687" s="2"/>
    </row>
    <row r="2688" spans="2:15" x14ac:dyDescent="0.2">
      <c r="B2688" s="1">
        <v>2673</v>
      </c>
      <c r="C2688" s="5">
        <f ca="1"/>
        <v>0.16069060903514207</v>
      </c>
      <c r="D2688" s="5">
        <f ca="1">S0*EXP((μ-0.5*σ*σ)*T+σ*SQRT(T)*$C2688)</f>
        <v>0.67511667488445604</v>
      </c>
      <c r="E2688" s="5">
        <f ca="1">MAX(0,CP*(D2688-K))</f>
        <v>0</v>
      </c>
      <c r="F2688" s="4">
        <f ca="1">(CP*(D2688-K)&gt;0)*1</f>
        <v>0</v>
      </c>
      <c r="H2688" s="4">
        <v>2673</v>
      </c>
      <c r="I2688" s="3">
        <v>0.6677712357194141</v>
      </c>
      <c r="J2688" s="128">
        <v>1.3714256926736198E-3</v>
      </c>
      <c r="K2688" s="128"/>
      <c r="L2688" s="128">
        <v>4.2200000000000001E-2</v>
      </c>
      <c r="O2688" s="2"/>
    </row>
    <row r="2689" spans="2:15" x14ac:dyDescent="0.2">
      <c r="B2689" s="1">
        <v>2674</v>
      </c>
      <c r="C2689" s="5">
        <f ca="1"/>
        <v>1.0423071348834725</v>
      </c>
      <c r="D2689" s="5">
        <f ca="1">S0*EXP((μ-0.5*σ*σ)*T+σ*SQRT(T)*$C2689)</f>
        <v>0.73642092939227421</v>
      </c>
      <c r="E2689" s="5">
        <f ca="1">MAX(0,CP*(D2689-K))</f>
        <v>0</v>
      </c>
      <c r="F2689" s="4">
        <f ca="1">(CP*(D2689-K)&gt;0)*1</f>
        <v>0</v>
      </c>
      <c r="H2689" s="4">
        <v>2674</v>
      </c>
      <c r="I2689" s="3">
        <v>0.667709203857207</v>
      </c>
      <c r="J2689" s="128">
        <v>1.3774541503963945E-3</v>
      </c>
      <c r="K2689" s="128"/>
      <c r="L2689" s="128">
        <v>4.1399999999999999E-2</v>
      </c>
      <c r="O2689" s="2"/>
    </row>
    <row r="2690" spans="2:15" x14ac:dyDescent="0.2">
      <c r="B2690" s="1">
        <v>2675</v>
      </c>
      <c r="C2690" s="5">
        <f ca="1"/>
        <v>0.60990529999694743</v>
      </c>
      <c r="D2690" s="5">
        <f ca="1">S0*EXP((μ-0.5*σ*σ)*T+σ*SQRT(T)*$C2690)</f>
        <v>0.70568747348634042</v>
      </c>
      <c r="E2690" s="5">
        <f ca="1">MAX(0,CP*(D2690-K))</f>
        <v>0</v>
      </c>
      <c r="F2690" s="4">
        <f ca="1">(CP*(D2690-K)&gt;0)*1</f>
        <v>0</v>
      </c>
      <c r="H2690" s="4">
        <v>2675</v>
      </c>
      <c r="I2690" s="3">
        <v>0.66766122024112362</v>
      </c>
      <c r="J2690" s="128">
        <v>1.3012821742423208E-3</v>
      </c>
      <c r="K2690" s="128"/>
      <c r="L2690" s="128">
        <v>3.8800000000000001E-2</v>
      </c>
      <c r="O2690" s="2"/>
    </row>
    <row r="2691" spans="2:15" x14ac:dyDescent="0.2">
      <c r="B2691" s="1">
        <v>2676</v>
      </c>
      <c r="C2691" s="5">
        <f ca="1"/>
        <v>-0.74055087119011542</v>
      </c>
      <c r="D2691" s="5">
        <f ca="1">S0*EXP((μ-0.5*σ*σ)*T+σ*SQRT(T)*$C2691)</f>
        <v>0.61771946264467603</v>
      </c>
      <c r="E2691" s="5">
        <f ca="1">MAX(0,CP*(D2691-K))</f>
        <v>0</v>
      </c>
      <c r="F2691" s="4">
        <f ca="1">(CP*(D2691-K)&gt;0)*1</f>
        <v>0</v>
      </c>
      <c r="H2691" s="4">
        <v>2676</v>
      </c>
      <c r="I2691" s="3">
        <v>0.66763436520940744</v>
      </c>
      <c r="J2691" s="128">
        <v>1.21518392716785E-3</v>
      </c>
      <c r="K2691" s="128"/>
      <c r="L2691" s="128">
        <v>3.8399999999999997E-2</v>
      </c>
      <c r="O2691" s="2"/>
    </row>
    <row r="2692" spans="2:15" x14ac:dyDescent="0.2">
      <c r="B2692" s="1">
        <v>2677</v>
      </c>
      <c r="C2692" s="5">
        <f ca="1"/>
        <v>-0.80927989628150787</v>
      </c>
      <c r="D2692" s="5">
        <f ca="1">S0*EXP((μ-0.5*σ*σ)*T+σ*SQRT(T)*$C2692)</f>
        <v>0.61354805465021189</v>
      </c>
      <c r="E2692" s="5">
        <f ca="1">MAX(0,CP*(D2692-K))</f>
        <v>0</v>
      </c>
      <c r="F2692" s="4">
        <f ca="1">(CP*(D2692-K)&gt;0)*1</f>
        <v>0</v>
      </c>
      <c r="H2692" s="4">
        <v>2677</v>
      </c>
      <c r="I2692" s="3">
        <v>0.6675614819018888</v>
      </c>
      <c r="J2692" s="128">
        <v>1.1233709046224373E-3</v>
      </c>
      <c r="K2692" s="128"/>
      <c r="L2692" s="128">
        <v>3.7600000000000001E-2</v>
      </c>
      <c r="O2692" s="2"/>
    </row>
    <row r="2693" spans="2:15" x14ac:dyDescent="0.2">
      <c r="B2693" s="1">
        <v>2678</v>
      </c>
      <c r="C2693" s="5">
        <f ca="1"/>
        <v>-0.33300944565126095</v>
      </c>
      <c r="D2693" s="5">
        <f ca="1">S0*EXP((μ-0.5*σ*σ)*T+σ*SQRT(T)*$C2693)</f>
        <v>0.64304383105834761</v>
      </c>
      <c r="E2693" s="5">
        <f ca="1">MAX(0,CP*(D2693-K))</f>
        <v>0</v>
      </c>
      <c r="F2693" s="4">
        <f ca="1">(CP*(D2693-K)&gt;0)*1</f>
        <v>0</v>
      </c>
      <c r="H2693" s="4">
        <v>2678</v>
      </c>
      <c r="I2693" s="3">
        <v>0.66774293479445634</v>
      </c>
      <c r="J2693" s="128">
        <v>1.5238084390761311E-3</v>
      </c>
      <c r="K2693" s="128"/>
      <c r="L2693" s="128">
        <v>4.1399999999999999E-2</v>
      </c>
      <c r="O2693" s="2"/>
    </row>
    <row r="2694" spans="2:15" x14ac:dyDescent="0.2">
      <c r="B2694" s="1">
        <v>2679</v>
      </c>
      <c r="C2694" s="5">
        <f ca="1"/>
        <v>-1.5166133098993286</v>
      </c>
      <c r="D2694" s="5">
        <f ca="1">S0*EXP((μ-0.5*σ*σ)*T+σ*SQRT(T)*$C2694)</f>
        <v>0.57222048377762447</v>
      </c>
      <c r="E2694" s="5">
        <f ca="1">MAX(0,CP*(D2694-K))</f>
        <v>0</v>
      </c>
      <c r="F2694" s="4">
        <f ca="1">(CP*(D2694-K)&gt;0)*1</f>
        <v>0</v>
      </c>
      <c r="H2694" s="4">
        <v>2679</v>
      </c>
      <c r="I2694" s="3">
        <v>0.66767458993611339</v>
      </c>
      <c r="J2694" s="128">
        <v>1.2969237245625746E-3</v>
      </c>
      <c r="K2694" s="128"/>
      <c r="L2694" s="128">
        <v>3.9600000000000003E-2</v>
      </c>
      <c r="O2694" s="2"/>
    </row>
    <row r="2695" spans="2:15" x14ac:dyDescent="0.2">
      <c r="B2695" s="1">
        <v>2680</v>
      </c>
      <c r="C2695" s="5">
        <f ca="1"/>
        <v>0.1709321237263868</v>
      </c>
      <c r="D2695" s="5">
        <f ca="1">S0*EXP((μ-0.5*σ*σ)*T+σ*SQRT(T)*$C2695)</f>
        <v>0.67579867432203522</v>
      </c>
      <c r="E2695" s="5">
        <f ca="1">MAX(0,CP*(D2695-K))</f>
        <v>0</v>
      </c>
      <c r="F2695" s="4">
        <f ca="1">(CP*(D2695-K)&gt;0)*1</f>
        <v>0</v>
      </c>
      <c r="H2695" s="4">
        <v>2680</v>
      </c>
      <c r="I2695" s="3">
        <v>0.66783051644115232</v>
      </c>
      <c r="J2695" s="128">
        <v>1.3829072186487799E-3</v>
      </c>
      <c r="K2695" s="128"/>
      <c r="L2695" s="128">
        <v>4.3200000000000002E-2</v>
      </c>
      <c r="O2695" s="2"/>
    </row>
    <row r="2696" spans="2:15" x14ac:dyDescent="0.2">
      <c r="B2696" s="1">
        <v>2681</v>
      </c>
      <c r="C2696" s="5">
        <f ca="1"/>
        <v>-0.49418644053969746</v>
      </c>
      <c r="D2696" s="5">
        <f ca="1">S0*EXP((μ-0.5*σ*σ)*T+σ*SQRT(T)*$C2696)</f>
        <v>0.63290659771595603</v>
      </c>
      <c r="E2696" s="5">
        <f ca="1">MAX(0,CP*(D2696-K))</f>
        <v>0</v>
      </c>
      <c r="F2696" s="4">
        <f ca="1">(CP*(D2696-K)&gt;0)*1</f>
        <v>0</v>
      </c>
      <c r="H2696" s="4">
        <v>2681</v>
      </c>
      <c r="I2696" s="3">
        <v>0.66764715752487347</v>
      </c>
      <c r="J2696" s="128">
        <v>1.3540688041219022E-3</v>
      </c>
      <c r="K2696" s="128"/>
      <c r="L2696" s="128">
        <v>4.1200000000000001E-2</v>
      </c>
      <c r="O2696" s="2"/>
    </row>
    <row r="2697" spans="2:15" x14ac:dyDescent="0.2">
      <c r="B2697" s="1">
        <v>2682</v>
      </c>
      <c r="C2697" s="5">
        <f ca="1"/>
        <v>-1.0910457404111593</v>
      </c>
      <c r="D2697" s="5">
        <f ca="1">S0*EXP((μ-0.5*σ*σ)*T+σ*SQRT(T)*$C2697)</f>
        <v>0.59673910518694873</v>
      </c>
      <c r="E2697" s="5">
        <f ca="1">MAX(0,CP*(D2697-K))</f>
        <v>0</v>
      </c>
      <c r="F2697" s="4">
        <f ca="1">(CP*(D2697-K)&gt;0)*1</f>
        <v>0</v>
      </c>
      <c r="H2697" s="4">
        <v>2682</v>
      </c>
      <c r="I2697" s="3">
        <v>0.66775683207736769</v>
      </c>
      <c r="J2697" s="128">
        <v>1.3553253299661192E-3</v>
      </c>
      <c r="K2697" s="128"/>
      <c r="L2697" s="128">
        <v>4.3200000000000002E-2</v>
      </c>
      <c r="O2697" s="2"/>
    </row>
    <row r="2698" spans="2:15" x14ac:dyDescent="0.2">
      <c r="B2698" s="1">
        <v>2683</v>
      </c>
      <c r="C2698" s="5">
        <f ca="1"/>
        <v>-1.1108124502665808</v>
      </c>
      <c r="D2698" s="5">
        <f ca="1">S0*EXP((μ-0.5*σ*σ)*T+σ*SQRT(T)*$C2698)</f>
        <v>0.5955773422699</v>
      </c>
      <c r="E2698" s="5">
        <f ca="1">MAX(0,CP*(D2698-K))</f>
        <v>0</v>
      </c>
      <c r="F2698" s="4">
        <f ca="1">(CP*(D2698-K)&gt;0)*1</f>
        <v>0</v>
      </c>
      <c r="H2698" s="4">
        <v>2683</v>
      </c>
      <c r="I2698" s="3">
        <v>0.6679078012845111</v>
      </c>
      <c r="J2698" s="128">
        <v>1.4899508129701921E-3</v>
      </c>
      <c r="K2698" s="128"/>
      <c r="L2698" s="128">
        <v>4.7600000000000003E-2</v>
      </c>
      <c r="O2698" s="2"/>
    </row>
    <row r="2699" spans="2:15" x14ac:dyDescent="0.2">
      <c r="B2699" s="1">
        <v>2684</v>
      </c>
      <c r="C2699" s="5">
        <f ca="1"/>
        <v>1.0331830146477277</v>
      </c>
      <c r="D2699" s="5">
        <f ca="1">S0*EXP((μ-0.5*σ*σ)*T+σ*SQRT(T)*$C2699)</f>
        <v>0.73575879899116314</v>
      </c>
      <c r="E2699" s="5">
        <f ca="1">MAX(0,CP*(D2699-K))</f>
        <v>0</v>
      </c>
      <c r="F2699" s="4">
        <f ca="1">(CP*(D2699-K)&gt;0)*1</f>
        <v>0</v>
      </c>
      <c r="H2699" s="4">
        <v>2684</v>
      </c>
      <c r="I2699" s="3">
        <v>0.66780243092124425</v>
      </c>
      <c r="J2699" s="128">
        <v>1.5411348154517549E-3</v>
      </c>
      <c r="K2699" s="128"/>
      <c r="L2699" s="128">
        <v>4.4999999999999998E-2</v>
      </c>
      <c r="O2699" s="2"/>
    </row>
    <row r="2700" spans="2:15" x14ac:dyDescent="0.2">
      <c r="B2700" s="1">
        <v>2685</v>
      </c>
      <c r="C2700" s="5">
        <f ca="1"/>
        <v>0.28430632900822944</v>
      </c>
      <c r="D2700" s="5">
        <f ca="1">S0*EXP((μ-0.5*σ*σ)*T+σ*SQRT(T)*$C2700)</f>
        <v>0.6833946346391061</v>
      </c>
      <c r="E2700" s="5">
        <f ca="1">MAX(0,CP*(D2700-K))</f>
        <v>0</v>
      </c>
      <c r="F2700" s="4">
        <f ca="1">(CP*(D2700-K)&gt;0)*1</f>
        <v>0</v>
      </c>
      <c r="H2700" s="4">
        <v>2685</v>
      </c>
      <c r="I2700" s="3">
        <v>0.66780679126538312</v>
      </c>
      <c r="J2700" s="128">
        <v>1.5075262220691809E-3</v>
      </c>
      <c r="K2700" s="128"/>
      <c r="L2700" s="128">
        <v>4.4400000000000002E-2</v>
      </c>
      <c r="O2700" s="2"/>
    </row>
    <row r="2701" spans="2:15" x14ac:dyDescent="0.2">
      <c r="B2701" s="1">
        <v>2686</v>
      </c>
      <c r="C2701" s="5">
        <f ca="1"/>
        <v>-1.8990197925045291</v>
      </c>
      <c r="D2701" s="5">
        <f ca="1">S0*EXP((μ-0.5*σ*σ)*T+σ*SQRT(T)*$C2701)</f>
        <v>0.55104908613256964</v>
      </c>
      <c r="E2701" s="5">
        <f ca="1">MAX(0,CP*(D2701-K))</f>
        <v>0</v>
      </c>
      <c r="F2701" s="4">
        <f ca="1">(CP*(D2701-K)&gt;0)*1</f>
        <v>0</v>
      </c>
      <c r="H2701" s="4">
        <v>2686</v>
      </c>
      <c r="I2701" s="3">
        <v>0.66768225619277766</v>
      </c>
      <c r="J2701" s="128">
        <v>1.2196387265906053E-3</v>
      </c>
      <c r="K2701" s="128"/>
      <c r="L2701" s="128">
        <v>4.0800000000000003E-2</v>
      </c>
      <c r="O2701" s="2"/>
    </row>
    <row r="2702" spans="2:15" x14ac:dyDescent="0.2">
      <c r="B2702" s="1">
        <v>2687</v>
      </c>
      <c r="C2702" s="5">
        <f ca="1"/>
        <v>1.4344009768889814</v>
      </c>
      <c r="D2702" s="5">
        <f ca="1">S0*EXP((μ-0.5*σ*σ)*T+σ*SQRT(T)*$C2702)</f>
        <v>0.76544503514667994</v>
      </c>
      <c r="E2702" s="5">
        <f ca="1">MAX(0,CP*(D2702-K))</f>
        <v>0</v>
      </c>
      <c r="F2702" s="4">
        <f ca="1">(CP*(D2702-K)&gt;0)*1</f>
        <v>0</v>
      </c>
      <c r="H2702" s="4">
        <v>2687</v>
      </c>
      <c r="I2702" s="3">
        <v>0.66773124476620938</v>
      </c>
      <c r="J2702" s="128">
        <v>1.3804102523239225E-3</v>
      </c>
      <c r="K2702" s="128"/>
      <c r="L2702" s="128">
        <v>4.3200000000000002E-2</v>
      </c>
      <c r="O2702" s="2"/>
    </row>
    <row r="2703" spans="2:15" x14ac:dyDescent="0.2">
      <c r="B2703" s="1">
        <v>2688</v>
      </c>
      <c r="C2703" s="5">
        <f ca="1"/>
        <v>0.2153886768542092</v>
      </c>
      <c r="D2703" s="5">
        <f ca="1">S0*EXP((μ-0.5*σ*σ)*T+σ*SQRT(T)*$C2703)</f>
        <v>0.67876710503728044</v>
      </c>
      <c r="E2703" s="5">
        <f ca="1">MAX(0,CP*(D2703-K))</f>
        <v>0</v>
      </c>
      <c r="F2703" s="4">
        <f ca="1">(CP*(D2703-K)&gt;0)*1</f>
        <v>0</v>
      </c>
      <c r="H2703" s="4">
        <v>2688</v>
      </c>
      <c r="I2703" s="3">
        <v>0.66794412381457791</v>
      </c>
      <c r="J2703" s="128">
        <v>1.4217312523091138E-3</v>
      </c>
      <c r="K2703" s="128"/>
      <c r="L2703" s="128">
        <v>4.6600000000000003E-2</v>
      </c>
      <c r="O2703" s="2"/>
    </row>
    <row r="2704" spans="2:15" x14ac:dyDescent="0.2">
      <c r="B2704" s="1">
        <v>2689</v>
      </c>
      <c r="C2704" s="5">
        <f ca="1"/>
        <v>-8.0757598092192295E-2</v>
      </c>
      <c r="D2704" s="5">
        <f ca="1">S0*EXP((μ-0.5*σ*σ)*T+σ*SQRT(T)*$C2704)</f>
        <v>0.65923611276024363</v>
      </c>
      <c r="E2704" s="5">
        <f ca="1">MAX(0,CP*(D2704-K))</f>
        <v>0</v>
      </c>
      <c r="F2704" s="4">
        <f ca="1">(CP*(D2704-K)&gt;0)*1</f>
        <v>0</v>
      </c>
      <c r="H2704" s="4">
        <v>2689</v>
      </c>
      <c r="I2704" s="3">
        <v>0.66782016996780791</v>
      </c>
      <c r="J2704" s="128">
        <v>1.3496105196858003E-3</v>
      </c>
      <c r="K2704" s="128"/>
      <c r="L2704" s="128">
        <v>4.4200000000000003E-2</v>
      </c>
      <c r="O2704" s="2"/>
    </row>
    <row r="2705" spans="2:15" x14ac:dyDescent="0.2">
      <c r="B2705" s="1">
        <v>2690</v>
      </c>
      <c r="C2705" s="5">
        <f ca="1"/>
        <v>0.64908444958739653</v>
      </c>
      <c r="D2705" s="5">
        <f ca="1">S0*EXP((μ-0.5*σ*σ)*T+σ*SQRT(T)*$C2705)</f>
        <v>0.70841851405311884</v>
      </c>
      <c r="E2705" s="5">
        <f ca="1">MAX(0,CP*(D2705-K))</f>
        <v>0</v>
      </c>
      <c r="F2705" s="4">
        <f ca="1">(CP*(D2705-K)&gt;0)*1</f>
        <v>0</v>
      </c>
      <c r="H2705" s="4">
        <v>2690</v>
      </c>
      <c r="I2705" s="3">
        <v>0.66759728314037592</v>
      </c>
      <c r="J2705" s="128">
        <v>1.308039140284565E-3</v>
      </c>
      <c r="K2705" s="128"/>
      <c r="L2705" s="128">
        <v>3.6200000000000003E-2</v>
      </c>
      <c r="O2705" s="2"/>
    </row>
    <row r="2706" spans="2:15" x14ac:dyDescent="0.2">
      <c r="B2706" s="1">
        <v>2691</v>
      </c>
      <c r="C2706" s="5">
        <f ca="1"/>
        <v>0.52997037648956591</v>
      </c>
      <c r="D2706" s="5">
        <f ca="1">S0*EXP((μ-0.5*σ*σ)*T+σ*SQRT(T)*$C2706)</f>
        <v>0.70014810099614699</v>
      </c>
      <c r="E2706" s="5">
        <f ca="1">MAX(0,CP*(D2706-K))</f>
        <v>0</v>
      </c>
      <c r="F2706" s="4">
        <f ca="1">(CP*(D2706-K)&gt;0)*1</f>
        <v>0</v>
      </c>
      <c r="H2706" s="4">
        <v>2691</v>
      </c>
      <c r="I2706" s="3">
        <v>0.66781472184463087</v>
      </c>
      <c r="J2706" s="128">
        <v>1.3422853187428051E-3</v>
      </c>
      <c r="K2706" s="128"/>
      <c r="L2706" s="128">
        <v>4.2999999999999997E-2</v>
      </c>
      <c r="O2706" s="2"/>
    </row>
    <row r="2707" spans="2:15" x14ac:dyDescent="0.2">
      <c r="B2707" s="1">
        <v>2692</v>
      </c>
      <c r="C2707" s="5">
        <f ca="1"/>
        <v>0.13591202111738132</v>
      </c>
      <c r="D2707" s="5">
        <f ca="1">S0*EXP((μ-0.5*σ*σ)*T+σ*SQRT(T)*$C2707)</f>
        <v>0.67346947327997486</v>
      </c>
      <c r="E2707" s="5">
        <f ca="1">MAX(0,CP*(D2707-K))</f>
        <v>0</v>
      </c>
      <c r="F2707" s="4">
        <f ca="1">(CP*(D2707-K)&gt;0)*1</f>
        <v>0</v>
      </c>
      <c r="H2707" s="4">
        <v>2692</v>
      </c>
      <c r="I2707" s="3">
        <v>0.66784637359954491</v>
      </c>
      <c r="J2707" s="128">
        <v>1.4428701520237863E-3</v>
      </c>
      <c r="K2707" s="128"/>
      <c r="L2707" s="128">
        <v>4.6199999999999998E-2</v>
      </c>
      <c r="O2707" s="2"/>
    </row>
    <row r="2708" spans="2:15" x14ac:dyDescent="0.2">
      <c r="B2708" s="1">
        <v>2693</v>
      </c>
      <c r="C2708" s="5">
        <f ca="1"/>
        <v>6.9649684713906672E-3</v>
      </c>
      <c r="D2708" s="5">
        <f ca="1">S0*EXP((μ-0.5*σ*σ)*T+σ*SQRT(T)*$C2708)</f>
        <v>0.66496213931772463</v>
      </c>
      <c r="E2708" s="5">
        <f ca="1">MAX(0,CP*(D2708-K))</f>
        <v>0</v>
      </c>
      <c r="F2708" s="4">
        <f ca="1">(CP*(D2708-K)&gt;0)*1</f>
        <v>0</v>
      </c>
      <c r="H2708" s="4">
        <v>2693</v>
      </c>
      <c r="I2708" s="3">
        <v>0.66790284403098565</v>
      </c>
      <c r="J2708" s="128">
        <v>1.7062307947462649E-3</v>
      </c>
      <c r="K2708" s="128"/>
      <c r="L2708" s="128">
        <v>4.4200000000000003E-2</v>
      </c>
      <c r="O2708" s="2"/>
    </row>
    <row r="2709" spans="2:15" x14ac:dyDescent="0.2">
      <c r="B2709" s="1">
        <v>2694</v>
      </c>
      <c r="C2709" s="5">
        <f ca="1"/>
        <v>-1.2190211996811726</v>
      </c>
      <c r="D2709" s="5">
        <f ca="1">S0*EXP((μ-0.5*σ*σ)*T+σ*SQRT(T)*$C2709)</f>
        <v>0.58925747739663104</v>
      </c>
      <c r="E2709" s="5">
        <f ca="1">MAX(0,CP*(D2709-K))</f>
        <v>0</v>
      </c>
      <c r="F2709" s="4">
        <f ca="1">(CP*(D2709-K)&gt;0)*1</f>
        <v>0</v>
      </c>
      <c r="H2709" s="4">
        <v>2694</v>
      </c>
      <c r="I2709" s="3">
        <v>0.6678594159842024</v>
      </c>
      <c r="J2709" s="128">
        <v>1.471451774359216E-3</v>
      </c>
      <c r="K2709" s="128"/>
      <c r="L2709" s="128">
        <v>4.1000000000000002E-2</v>
      </c>
      <c r="O2709" s="2"/>
    </row>
    <row r="2710" spans="2:15" x14ac:dyDescent="0.2">
      <c r="B2710" s="1">
        <v>2695</v>
      </c>
      <c r="C2710" s="5">
        <f ca="1"/>
        <v>1.5183079092038922</v>
      </c>
      <c r="D2710" s="5">
        <f ca="1">S0*EXP((μ-0.5*σ*σ)*T+σ*SQRT(T)*$C2710)</f>
        <v>0.77180318986789298</v>
      </c>
      <c r="E2710" s="5">
        <f ca="1">MAX(0,CP*(D2710-K))</f>
        <v>0</v>
      </c>
      <c r="F2710" s="4">
        <f ca="1">(CP*(D2710-K)&gt;0)*1</f>
        <v>0</v>
      </c>
      <c r="H2710" s="4">
        <v>2695</v>
      </c>
      <c r="I2710" s="3">
        <v>0.66784764451030398</v>
      </c>
      <c r="J2710" s="128">
        <v>1.4876204875127507E-3</v>
      </c>
      <c r="K2710" s="128"/>
      <c r="L2710" s="128">
        <v>4.6199999999999998E-2</v>
      </c>
      <c r="O2710" s="2"/>
    </row>
    <row r="2711" spans="2:15" x14ac:dyDescent="0.2">
      <c r="B2711" s="1">
        <v>2696</v>
      </c>
      <c r="C2711" s="5">
        <f ca="1"/>
        <v>-3.7394373530502047E-2</v>
      </c>
      <c r="D2711" s="5">
        <f ca="1">S0*EXP((μ-0.5*σ*σ)*T+σ*SQRT(T)*$C2711)</f>
        <v>0.66206042644610075</v>
      </c>
      <c r="E2711" s="5">
        <f ca="1">MAX(0,CP*(D2711-K))</f>
        <v>0</v>
      </c>
      <c r="F2711" s="4">
        <f ca="1">(CP*(D2711-K)&gt;0)*1</f>
        <v>0</v>
      </c>
      <c r="H2711" s="4">
        <v>2696</v>
      </c>
      <c r="I2711" s="3">
        <v>0.66765126798533247</v>
      </c>
      <c r="J2711" s="128">
        <v>1.1425748329422312E-3</v>
      </c>
      <c r="K2711" s="128"/>
      <c r="L2711" s="128">
        <v>3.9399999999999998E-2</v>
      </c>
      <c r="O2711" s="2"/>
    </row>
    <row r="2712" spans="2:15" x14ac:dyDescent="0.2">
      <c r="B2712" s="1">
        <v>2697</v>
      </c>
      <c r="C2712" s="5">
        <f ca="1"/>
        <v>0.26888919913940862</v>
      </c>
      <c r="D2712" s="5">
        <f ca="1">S0*EXP((μ-0.5*σ*σ)*T+σ*SQRT(T)*$C2712)</f>
        <v>0.68235670764270207</v>
      </c>
      <c r="E2712" s="5">
        <f ca="1">MAX(0,CP*(D2712-K))</f>
        <v>0</v>
      </c>
      <c r="F2712" s="4">
        <f ca="1">(CP*(D2712-K)&gt;0)*1</f>
        <v>0</v>
      </c>
      <c r="H2712" s="4">
        <v>2697</v>
      </c>
      <c r="I2712" s="3">
        <v>0.66760586230996577</v>
      </c>
      <c r="J2712" s="128">
        <v>1.2151260069543054E-3</v>
      </c>
      <c r="K2712" s="128"/>
      <c r="L2712" s="128">
        <v>3.5999999999999997E-2</v>
      </c>
      <c r="O2712" s="2"/>
    </row>
    <row r="2713" spans="2:15" x14ac:dyDescent="0.2">
      <c r="B2713" s="1">
        <v>2698</v>
      </c>
      <c r="C2713" s="5">
        <f ca="1"/>
        <v>-1.0080020074978073</v>
      </c>
      <c r="D2713" s="5">
        <f ca="1">S0*EXP((μ-0.5*σ*σ)*T+σ*SQRT(T)*$C2713)</f>
        <v>0.60164470475766374</v>
      </c>
      <c r="E2713" s="5">
        <f ca="1">MAX(0,CP*(D2713-K))</f>
        <v>0</v>
      </c>
      <c r="F2713" s="4">
        <f ca="1">(CP*(D2713-K)&gt;0)*1</f>
        <v>0</v>
      </c>
      <c r="H2713" s="4">
        <v>2698</v>
      </c>
      <c r="I2713" s="3">
        <v>0.66772851643821973</v>
      </c>
      <c r="J2713" s="128">
        <v>1.3264575331034993E-3</v>
      </c>
      <c r="K2713" s="128"/>
      <c r="L2713" s="128">
        <v>3.9399999999999998E-2</v>
      </c>
      <c r="O2713" s="2"/>
    </row>
    <row r="2714" spans="2:15" x14ac:dyDescent="0.2">
      <c r="B2714" s="1">
        <v>2699</v>
      </c>
      <c r="C2714" s="5">
        <f ca="1"/>
        <v>1.6650563897987858</v>
      </c>
      <c r="D2714" s="5">
        <f ca="1">S0*EXP((μ-0.5*σ*σ)*T+σ*SQRT(T)*$C2714)</f>
        <v>0.78305046403319123</v>
      </c>
      <c r="E2714" s="5">
        <f ca="1">MAX(0,CP*(D2714-K))</f>
        <v>0</v>
      </c>
      <c r="F2714" s="4">
        <f ca="1">(CP*(D2714-K)&gt;0)*1</f>
        <v>0</v>
      </c>
      <c r="H2714" s="4">
        <v>2699</v>
      </c>
      <c r="I2714" s="3">
        <v>0.66766812691975497</v>
      </c>
      <c r="J2714" s="128">
        <v>1.186564412240696E-3</v>
      </c>
      <c r="K2714" s="128"/>
      <c r="L2714" s="128">
        <v>3.8399999999999997E-2</v>
      </c>
      <c r="O2714" s="2"/>
    </row>
    <row r="2715" spans="2:15" x14ac:dyDescent="0.2">
      <c r="B2715" s="1">
        <v>2700</v>
      </c>
      <c r="C2715" s="5">
        <f ca="1"/>
        <v>0.20185023827098375</v>
      </c>
      <c r="D2715" s="5">
        <f ca="1">S0*EXP((μ-0.5*σ*σ)*T+σ*SQRT(T)*$C2715)</f>
        <v>0.67786174506811259</v>
      </c>
      <c r="E2715" s="5">
        <f ca="1">MAX(0,CP*(D2715-K))</f>
        <v>0</v>
      </c>
      <c r="F2715" s="4">
        <f ca="1">(CP*(D2715-K)&gt;0)*1</f>
        <v>0</v>
      </c>
      <c r="H2715" s="4">
        <v>2700</v>
      </c>
      <c r="I2715" s="3">
        <v>0.66770041402897773</v>
      </c>
      <c r="J2715" s="128">
        <v>1.3613736783957997E-3</v>
      </c>
      <c r="K2715" s="128"/>
      <c r="L2715" s="128">
        <v>4.02E-2</v>
      </c>
      <c r="O2715" s="2"/>
    </row>
    <row r="2716" spans="2:15" x14ac:dyDescent="0.2">
      <c r="B2716" s="1">
        <v>2701</v>
      </c>
      <c r="C2716" s="5">
        <f ca="1"/>
        <v>0.77148229373563038</v>
      </c>
      <c r="D2716" s="5">
        <f ca="1">S0*EXP((μ-0.5*σ*σ)*T+σ*SQRT(T)*$C2716)</f>
        <v>0.71701870946363533</v>
      </c>
      <c r="E2716" s="5">
        <f ca="1">MAX(0,CP*(D2716-K))</f>
        <v>0</v>
      </c>
      <c r="F2716" s="4">
        <f ca="1">(CP*(D2716-K)&gt;0)*1</f>
        <v>0</v>
      </c>
      <c r="H2716" s="4">
        <v>2701</v>
      </c>
      <c r="I2716" s="3">
        <v>0.66787032827885495</v>
      </c>
      <c r="J2716" s="128">
        <v>1.4465380133203323E-3</v>
      </c>
      <c r="K2716" s="128"/>
      <c r="L2716" s="128">
        <v>4.36E-2</v>
      </c>
      <c r="O2716" s="2"/>
    </row>
    <row r="2717" spans="2:15" x14ac:dyDescent="0.2">
      <c r="B2717" s="1">
        <v>2702</v>
      </c>
      <c r="C2717" s="5">
        <f ca="1"/>
        <v>1.298730625326312</v>
      </c>
      <c r="D2717" s="5">
        <f ca="1">S0*EXP((μ-0.5*σ*σ)*T+σ*SQRT(T)*$C2717)</f>
        <v>0.7552750694456577</v>
      </c>
      <c r="E2717" s="5">
        <f ca="1">MAX(0,CP*(D2717-K))</f>
        <v>0</v>
      </c>
      <c r="F2717" s="4">
        <f ca="1">(CP*(D2717-K)&gt;0)*1</f>
        <v>0</v>
      </c>
      <c r="H2717" s="4">
        <v>2702</v>
      </c>
      <c r="I2717" s="3">
        <v>0.66783281755485979</v>
      </c>
      <c r="J2717" s="128">
        <v>1.3508755586940828E-3</v>
      </c>
      <c r="K2717" s="128"/>
      <c r="L2717" s="128">
        <v>4.2999999999999997E-2</v>
      </c>
      <c r="O2717" s="2"/>
    </row>
    <row r="2718" spans="2:15" x14ac:dyDescent="0.2">
      <c r="B2718" s="1">
        <v>2703</v>
      </c>
      <c r="C2718" s="5">
        <f ca="1"/>
        <v>-1.5780841045440683</v>
      </c>
      <c r="D2718" s="5">
        <f ca="1">S0*EXP((μ-0.5*σ*σ)*T+σ*SQRT(T)*$C2718)</f>
        <v>0.56876317120025865</v>
      </c>
      <c r="E2718" s="5">
        <f ca="1">MAX(0,CP*(D2718-K))</f>
        <v>0</v>
      </c>
      <c r="F2718" s="4">
        <f ca="1">(CP*(D2718-K)&gt;0)*1</f>
        <v>0</v>
      </c>
      <c r="H2718" s="4">
        <v>2703</v>
      </c>
      <c r="I2718" s="3">
        <v>0.66768314832796416</v>
      </c>
      <c r="J2718" s="128">
        <v>1.4500790540026508E-3</v>
      </c>
      <c r="K2718" s="128"/>
      <c r="L2718" s="128">
        <v>3.8600000000000002E-2</v>
      </c>
      <c r="O2718" s="2"/>
    </row>
    <row r="2719" spans="2:15" x14ac:dyDescent="0.2">
      <c r="B2719" s="1">
        <v>2704</v>
      </c>
      <c r="C2719" s="5">
        <f ca="1"/>
        <v>2.5206441652704488</v>
      </c>
      <c r="D2719" s="5">
        <f ca="1">S0*EXP((μ-0.5*σ*σ)*T+σ*SQRT(T)*$C2719)</f>
        <v>0.85196664536992572</v>
      </c>
      <c r="E2719" s="5">
        <f ca="1">MAX(0,CP*(D2719-K))</f>
        <v>6.3766645369925712E-2</v>
      </c>
      <c r="F2719" s="4">
        <f ca="1">(CP*(D2719-K)&gt;0)*1</f>
        <v>1</v>
      </c>
      <c r="H2719" s="4">
        <v>2704</v>
      </c>
      <c r="I2719" s="3">
        <v>0.66781378662334001</v>
      </c>
      <c r="J2719" s="128">
        <v>1.5125803022458333E-3</v>
      </c>
      <c r="K2719" s="128"/>
      <c r="L2719" s="128">
        <v>4.5600000000000002E-2</v>
      </c>
      <c r="O2719" s="2"/>
    </row>
    <row r="2720" spans="2:15" x14ac:dyDescent="0.2">
      <c r="B2720" s="1">
        <v>2705</v>
      </c>
      <c r="C2720" s="5">
        <f ca="1"/>
        <v>0.17658268870283769</v>
      </c>
      <c r="D2720" s="5">
        <f ca="1">S0*EXP((μ-0.5*σ*σ)*T+σ*SQRT(T)*$C2720)</f>
        <v>0.67617524968402065</v>
      </c>
      <c r="E2720" s="5">
        <f ca="1">MAX(0,CP*(D2720-K))</f>
        <v>0</v>
      </c>
      <c r="F2720" s="4">
        <f ca="1">(CP*(D2720-K)&gt;0)*1</f>
        <v>0</v>
      </c>
      <c r="H2720" s="4">
        <v>2705</v>
      </c>
      <c r="I2720" s="3">
        <v>0.66768474328853267</v>
      </c>
      <c r="J2720" s="128">
        <v>1.2952447004647388E-3</v>
      </c>
      <c r="K2720" s="128"/>
      <c r="L2720" s="128">
        <v>0.04</v>
      </c>
      <c r="O2720" s="2"/>
    </row>
    <row r="2721" spans="2:15" x14ac:dyDescent="0.2">
      <c r="B2721" s="1">
        <v>2706</v>
      </c>
      <c r="C2721" s="5">
        <f ca="1"/>
        <v>5.4468224060986187E-3</v>
      </c>
      <c r="D2721" s="5">
        <f ca="1">S0*EXP((μ-0.5*σ*σ)*T+σ*SQRT(T)*$C2721)</f>
        <v>0.66486262176271127</v>
      </c>
      <c r="E2721" s="5">
        <f ca="1">MAX(0,CP*(D2721-K))</f>
        <v>0</v>
      </c>
      <c r="F2721" s="4">
        <f ca="1">(CP*(D2721-K)&gt;0)*1</f>
        <v>0</v>
      </c>
      <c r="H2721" s="4">
        <v>2706</v>
      </c>
      <c r="I2721" s="3">
        <v>0.66769204657683445</v>
      </c>
      <c r="J2721" s="128">
        <v>1.3096375886407152E-3</v>
      </c>
      <c r="K2721" s="128"/>
      <c r="L2721" s="128">
        <v>4.36E-2</v>
      </c>
      <c r="O2721" s="2"/>
    </row>
    <row r="2722" spans="2:15" x14ac:dyDescent="0.2">
      <c r="B2722" s="1">
        <v>2707</v>
      </c>
      <c r="C2722" s="5">
        <f ca="1"/>
        <v>-1.3464571451708982</v>
      </c>
      <c r="D2722" s="5">
        <f ca="1">S0*EXP((μ-0.5*σ*σ)*T+σ*SQRT(T)*$C2722)</f>
        <v>0.58190060071752459</v>
      </c>
      <c r="E2722" s="5">
        <f ca="1">MAX(0,CP*(D2722-K))</f>
        <v>0</v>
      </c>
      <c r="F2722" s="4">
        <f ca="1">(CP*(D2722-K)&gt;0)*1</f>
        <v>0</v>
      </c>
      <c r="H2722" s="4">
        <v>2707</v>
      </c>
      <c r="I2722" s="3">
        <v>0.66761839696179492</v>
      </c>
      <c r="J2722" s="128">
        <v>1.1987682377071179E-3</v>
      </c>
      <c r="K2722" s="128"/>
      <c r="L2722" s="128">
        <v>3.7999999999999999E-2</v>
      </c>
      <c r="O2722" s="2"/>
    </row>
    <row r="2723" spans="2:15" x14ac:dyDescent="0.2">
      <c r="B2723" s="1">
        <v>2708</v>
      </c>
      <c r="C2723" s="5">
        <f ca="1"/>
        <v>-0.82606876934082552</v>
      </c>
      <c r="D2723" s="5">
        <f ca="1">S0*EXP((μ-0.5*σ*σ)*T+σ*SQRT(T)*$C2723)</f>
        <v>0.61253336674709158</v>
      </c>
      <c r="E2723" s="5">
        <f ca="1">MAX(0,CP*(D2723-K))</f>
        <v>0</v>
      </c>
      <c r="F2723" s="4">
        <f ca="1">(CP*(D2723-K)&gt;0)*1</f>
        <v>0</v>
      </c>
      <c r="H2723" s="4">
        <v>2708</v>
      </c>
      <c r="I2723" s="3">
        <v>0.66786695020041187</v>
      </c>
      <c r="J2723" s="128">
        <v>1.4086997409350406E-3</v>
      </c>
      <c r="K2723" s="128"/>
      <c r="L2723" s="128">
        <v>4.3999999999999997E-2</v>
      </c>
      <c r="O2723" s="2"/>
    </row>
    <row r="2724" spans="2:15" x14ac:dyDescent="0.2">
      <c r="B2724" s="1">
        <v>2709</v>
      </c>
      <c r="C2724" s="5">
        <f ca="1"/>
        <v>0.15034002591353698</v>
      </c>
      <c r="D2724" s="5">
        <f ca="1">S0*EXP((μ-0.5*σ*σ)*T+σ*SQRT(T)*$C2724)</f>
        <v>0.67442811168748251</v>
      </c>
      <c r="E2724" s="5">
        <f ca="1">MAX(0,CP*(D2724-K))</f>
        <v>0</v>
      </c>
      <c r="F2724" s="4">
        <f ca="1">(CP*(D2724-K)&gt;0)*1</f>
        <v>0</v>
      </c>
      <c r="H2724" s="4">
        <v>2709</v>
      </c>
      <c r="I2724" s="3">
        <v>0.66797449899473194</v>
      </c>
      <c r="J2724" s="128">
        <v>1.5496795665661733E-3</v>
      </c>
      <c r="K2724" s="128"/>
      <c r="L2724" s="128">
        <v>4.8599999999999997E-2</v>
      </c>
      <c r="O2724" s="2"/>
    </row>
    <row r="2725" spans="2:15" x14ac:dyDescent="0.2">
      <c r="B2725" s="1">
        <v>2710</v>
      </c>
      <c r="C2725" s="5">
        <f ca="1"/>
        <v>-0.41211197037538666</v>
      </c>
      <c r="D2725" s="5">
        <f ca="1">S0*EXP((μ-0.5*σ*σ)*T+σ*SQRT(T)*$C2725)</f>
        <v>0.63804854554740253</v>
      </c>
      <c r="E2725" s="5">
        <f ca="1">MAX(0,CP*(D2725-K))</f>
        <v>0</v>
      </c>
      <c r="F2725" s="4">
        <f ca="1">(CP*(D2725-K)&gt;0)*1</f>
        <v>0</v>
      </c>
      <c r="H2725" s="4">
        <v>2710</v>
      </c>
      <c r="I2725" s="3">
        <v>0.66774238322692248</v>
      </c>
      <c r="J2725" s="128">
        <v>1.3837980132966993E-3</v>
      </c>
      <c r="K2725" s="128"/>
      <c r="L2725" s="128">
        <v>4.1599999999999998E-2</v>
      </c>
      <c r="O2725" s="2"/>
    </row>
    <row r="2726" spans="2:15" x14ac:dyDescent="0.2">
      <c r="B2726" s="1">
        <v>2711</v>
      </c>
      <c r="C2726" s="5">
        <f ca="1"/>
        <v>-0.97228870027704684</v>
      </c>
      <c r="D2726" s="5">
        <f ca="1">S0*EXP((μ-0.5*σ*σ)*T+σ*SQRT(T)*$C2726)</f>
        <v>0.60376675989376205</v>
      </c>
      <c r="E2726" s="5">
        <f ca="1">MAX(0,CP*(D2726-K))</f>
        <v>0</v>
      </c>
      <c r="F2726" s="4">
        <f ca="1">(CP*(D2726-K)&gt;0)*1</f>
        <v>0</v>
      </c>
      <c r="H2726" s="4">
        <v>2711</v>
      </c>
      <c r="I2726" s="3">
        <v>0.66766059932061295</v>
      </c>
      <c r="J2726" s="128">
        <v>1.2757354483079175E-3</v>
      </c>
      <c r="K2726" s="128"/>
      <c r="L2726" s="128">
        <v>3.78E-2</v>
      </c>
      <c r="O2726" s="2"/>
    </row>
    <row r="2727" spans="2:15" x14ac:dyDescent="0.2">
      <c r="B2727" s="1">
        <v>2712</v>
      </c>
      <c r="C2727" s="5">
        <f ca="1"/>
        <v>-0.97139887358138477</v>
      </c>
      <c r="D2727" s="5">
        <f ca="1">S0*EXP((μ-0.5*σ*σ)*T+σ*SQRT(T)*$C2727)</f>
        <v>0.6038197281164116</v>
      </c>
      <c r="E2727" s="5">
        <f ca="1">MAX(0,CP*(D2727-K))</f>
        <v>0</v>
      </c>
      <c r="F2727" s="4">
        <f ca="1">(CP*(D2727-K)&gt;0)*1</f>
        <v>0</v>
      </c>
      <c r="H2727" s="4">
        <v>2712</v>
      </c>
      <c r="I2727" s="3">
        <v>0.66759650059832221</v>
      </c>
      <c r="J2727" s="128">
        <v>1.1961875348197898E-3</v>
      </c>
      <c r="K2727" s="128"/>
      <c r="L2727" s="128">
        <v>3.7199999999999997E-2</v>
      </c>
      <c r="O2727" s="2"/>
    </row>
    <row r="2728" spans="2:15" x14ac:dyDescent="0.2">
      <c r="B2728" s="1">
        <v>2713</v>
      </c>
      <c r="C2728" s="5">
        <f ca="1"/>
        <v>0.57874567555824108</v>
      </c>
      <c r="D2728" s="5">
        <f ca="1">S0*EXP((μ-0.5*σ*σ)*T+σ*SQRT(T)*$C2728)</f>
        <v>0.7035229642211408</v>
      </c>
      <c r="E2728" s="5">
        <f ca="1">MAX(0,CP*(D2728-K))</f>
        <v>0</v>
      </c>
      <c r="F2728" s="4">
        <f ca="1">(CP*(D2728-K)&gt;0)*1</f>
        <v>0</v>
      </c>
      <c r="H2728" s="4">
        <v>2713</v>
      </c>
      <c r="I2728" s="3">
        <v>0.66793161584776461</v>
      </c>
      <c r="J2728" s="128">
        <v>1.5954615737691074E-3</v>
      </c>
      <c r="K2728" s="128"/>
      <c r="L2728" s="128">
        <v>4.6600000000000003E-2</v>
      </c>
      <c r="O2728" s="2"/>
    </row>
    <row r="2729" spans="2:15" x14ac:dyDescent="0.2">
      <c r="B2729" s="1">
        <v>2714</v>
      </c>
      <c r="C2729" s="5">
        <f ca="1"/>
        <v>-0.36521361622738402</v>
      </c>
      <c r="D2729" s="5">
        <f ca="1">S0*EXP((μ-0.5*σ*σ)*T+σ*SQRT(T)*$C2729)</f>
        <v>0.64100545095875727</v>
      </c>
      <c r="E2729" s="5">
        <f ca="1">MAX(0,CP*(D2729-K))</f>
        <v>0</v>
      </c>
      <c r="F2729" s="4">
        <f ca="1">(CP*(D2729-K)&gt;0)*1</f>
        <v>0</v>
      </c>
      <c r="H2729" s="4">
        <v>2714</v>
      </c>
      <c r="I2729" s="3">
        <v>0.66776519511912369</v>
      </c>
      <c r="J2729" s="128">
        <v>1.3207525125106781E-3</v>
      </c>
      <c r="K2729" s="128"/>
      <c r="L2729" s="128">
        <v>4.2799999999999998E-2</v>
      </c>
      <c r="O2729" s="2"/>
    </row>
    <row r="2730" spans="2:15" x14ac:dyDescent="0.2">
      <c r="B2730" s="1">
        <v>2715</v>
      </c>
      <c r="C2730" s="5">
        <f ca="1"/>
        <v>1.0318317295582979</v>
      </c>
      <c r="D2730" s="5">
        <f ca="1">S0*EXP((μ-0.5*σ*σ)*T+σ*SQRT(T)*$C2730)</f>
        <v>0.73566078789605005</v>
      </c>
      <c r="E2730" s="5">
        <f ca="1">MAX(0,CP*(D2730-K))</f>
        <v>0</v>
      </c>
      <c r="F2730" s="4">
        <f ca="1">(CP*(D2730-K)&gt;0)*1</f>
        <v>0</v>
      </c>
      <c r="H2730" s="4">
        <v>2715</v>
      </c>
      <c r="I2730" s="3">
        <v>0.66771209494100181</v>
      </c>
      <c r="J2730" s="128">
        <v>1.3100262188503835E-3</v>
      </c>
      <c r="K2730" s="128"/>
      <c r="L2730" s="128">
        <v>3.9199999999999999E-2</v>
      </c>
      <c r="O2730" s="2"/>
    </row>
    <row r="2731" spans="2:15" x14ac:dyDescent="0.2">
      <c r="B2731" s="1">
        <v>2716</v>
      </c>
      <c r="C2731" s="5">
        <f ca="1"/>
        <v>1.8062126031601151</v>
      </c>
      <c r="D2731" s="5">
        <f ca="1">S0*EXP((μ-0.5*σ*σ)*T+σ*SQRT(T)*$C2731)</f>
        <v>0.7940237537991004</v>
      </c>
      <c r="E2731" s="5">
        <f ca="1">MAX(0,CP*(D2731-K))</f>
        <v>5.823753799100384E-3</v>
      </c>
      <c r="F2731" s="4">
        <f ca="1">(CP*(D2731-K)&gt;0)*1</f>
        <v>1</v>
      </c>
      <c r="H2731" s="4">
        <v>2716</v>
      </c>
      <c r="I2731" s="3">
        <v>0.66782295388667012</v>
      </c>
      <c r="J2731" s="128">
        <v>1.5074883904692637E-3</v>
      </c>
      <c r="K2731" s="128"/>
      <c r="L2731" s="128">
        <v>4.4600000000000001E-2</v>
      </c>
      <c r="O2731" s="2"/>
    </row>
    <row r="2732" spans="2:15" x14ac:dyDescent="0.2">
      <c r="B2732" s="1">
        <v>2717</v>
      </c>
      <c r="C2732" s="5">
        <f ca="1"/>
        <v>-1.4413733533072557</v>
      </c>
      <c r="D2732" s="5">
        <f ca="1">S0*EXP((μ-0.5*σ*σ)*T+σ*SQRT(T)*$C2732)</f>
        <v>0.57648083486045343</v>
      </c>
      <c r="E2732" s="5">
        <f ca="1">MAX(0,CP*(D2732-K))</f>
        <v>0</v>
      </c>
      <c r="F2732" s="4">
        <f ca="1">(CP*(D2732-K)&gt;0)*1</f>
        <v>0</v>
      </c>
      <c r="H2732" s="4">
        <v>2717</v>
      </c>
      <c r="I2732" s="3">
        <v>0.66777840534127142</v>
      </c>
      <c r="J2732" s="128">
        <v>1.3821328945919488E-3</v>
      </c>
      <c r="K2732" s="128"/>
      <c r="L2732" s="128">
        <v>4.1200000000000001E-2</v>
      </c>
      <c r="O2732" s="2"/>
    </row>
    <row r="2733" spans="2:15" x14ac:dyDescent="0.2">
      <c r="B2733" s="1">
        <v>2718</v>
      </c>
      <c r="C2733" s="5">
        <f ca="1"/>
        <v>1.1613533955370552</v>
      </c>
      <c r="D2733" s="5">
        <f ca="1">S0*EXP((μ-0.5*σ*σ)*T+σ*SQRT(T)*$C2733)</f>
        <v>0.74511482930921846</v>
      </c>
      <c r="E2733" s="5">
        <f ca="1">MAX(0,CP*(D2733-K))</f>
        <v>0</v>
      </c>
      <c r="F2733" s="4">
        <f ca="1">(CP*(D2733-K)&gt;0)*1</f>
        <v>0</v>
      </c>
      <c r="H2733" s="4">
        <v>2718</v>
      </c>
      <c r="I2733" s="3">
        <v>0.667571263385066</v>
      </c>
      <c r="J2733" s="128">
        <v>1.1937348407738101E-3</v>
      </c>
      <c r="K2733" s="128"/>
      <c r="L2733" s="128">
        <v>3.9199999999999999E-2</v>
      </c>
      <c r="O2733" s="2"/>
    </row>
    <row r="2734" spans="2:15" x14ac:dyDescent="0.2">
      <c r="B2734" s="1">
        <v>2719</v>
      </c>
      <c r="C2734" s="5">
        <f ca="1"/>
        <v>-2.1772552947051338</v>
      </c>
      <c r="D2734" s="5">
        <f ca="1">S0*EXP((μ-0.5*σ*σ)*T+σ*SQRT(T)*$C2734)</f>
        <v>0.53613894679423946</v>
      </c>
      <c r="E2734" s="5">
        <f ca="1">MAX(0,CP*(D2734-K))</f>
        <v>0</v>
      </c>
      <c r="F2734" s="4">
        <f ca="1">(CP*(D2734-K)&gt;0)*1</f>
        <v>0</v>
      </c>
      <c r="H2734" s="4">
        <v>2719</v>
      </c>
      <c r="I2734" s="3">
        <v>0.66775307074005774</v>
      </c>
      <c r="J2734" s="128">
        <v>1.3183799314201471E-3</v>
      </c>
      <c r="K2734" s="128"/>
      <c r="L2734" s="128">
        <v>3.8800000000000001E-2</v>
      </c>
      <c r="O2734" s="2"/>
    </row>
    <row r="2735" spans="2:15" x14ac:dyDescent="0.2">
      <c r="B2735" s="1">
        <v>2720</v>
      </c>
      <c r="C2735" s="5">
        <f ca="1"/>
        <v>0.1239759648904552</v>
      </c>
      <c r="D2735" s="5">
        <f ca="1">S0*EXP((μ-0.5*σ*σ)*T+σ*SQRT(T)*$C2735)</f>
        <v>0.67267743715649964</v>
      </c>
      <c r="E2735" s="5">
        <f ca="1">MAX(0,CP*(D2735-K))</f>
        <v>0</v>
      </c>
      <c r="F2735" s="4">
        <f ca="1">(CP*(D2735-K)&gt;0)*1</f>
        <v>0</v>
      </c>
      <c r="H2735" s="4">
        <v>2720</v>
      </c>
      <c r="I2735" s="3">
        <v>0.66786374745585819</v>
      </c>
      <c r="J2735" s="128">
        <v>1.5301211065520581E-3</v>
      </c>
      <c r="K2735" s="128"/>
      <c r="L2735" s="128">
        <v>4.24E-2</v>
      </c>
      <c r="O2735" s="2"/>
    </row>
    <row r="2736" spans="2:15" x14ac:dyDescent="0.2">
      <c r="B2736" s="1">
        <v>2721</v>
      </c>
      <c r="C2736" s="5">
        <f ca="1"/>
        <v>0.27409869904637646</v>
      </c>
      <c r="D2736" s="5">
        <f ca="1">S0*EXP((μ-0.5*σ*σ)*T+σ*SQRT(T)*$C2736)</f>
        <v>0.68270725019946066</v>
      </c>
      <c r="E2736" s="5">
        <f ca="1">MAX(0,CP*(D2736-K))</f>
        <v>0</v>
      </c>
      <c r="F2736" s="4">
        <f ca="1">(CP*(D2736-K)&gt;0)*1</f>
        <v>0</v>
      </c>
      <c r="H2736" s="4">
        <v>2721</v>
      </c>
      <c r="I2736" s="3">
        <v>0.66782427810081113</v>
      </c>
      <c r="J2736" s="128">
        <v>1.4895870222240634E-3</v>
      </c>
      <c r="K2736" s="128"/>
      <c r="L2736" s="128">
        <v>4.3799999999999999E-2</v>
      </c>
      <c r="O2736" s="2"/>
    </row>
    <row r="2737" spans="2:15" x14ac:dyDescent="0.2">
      <c r="B2737" s="1">
        <v>2722</v>
      </c>
      <c r="C2737" s="5">
        <f ca="1"/>
        <v>-0.59951586198623841</v>
      </c>
      <c r="D2737" s="5">
        <f ca="1">S0*EXP((μ-0.5*σ*σ)*T+σ*SQRT(T)*$C2737)</f>
        <v>0.62636839921735166</v>
      </c>
      <c r="E2737" s="5">
        <f ca="1">MAX(0,CP*(D2737-K))</f>
        <v>0</v>
      </c>
      <c r="F2737" s="4">
        <f ca="1">(CP*(D2737-K)&gt;0)*1</f>
        <v>0</v>
      </c>
      <c r="H2737" s="4">
        <v>2722</v>
      </c>
      <c r="I2737" s="3">
        <v>0.6675653392000549</v>
      </c>
      <c r="J2737" s="128">
        <v>1.2774638196341994E-3</v>
      </c>
      <c r="K2737" s="128"/>
      <c r="L2737" s="128">
        <v>3.6799999999999999E-2</v>
      </c>
      <c r="O2737" s="2"/>
    </row>
    <row r="2738" spans="2:15" x14ac:dyDescent="0.2">
      <c r="B2738" s="1">
        <v>2723</v>
      </c>
      <c r="C2738" s="5">
        <f ca="1"/>
        <v>1.5406104758185917</v>
      </c>
      <c r="D2738" s="5">
        <f ca="1">S0*EXP((μ-0.5*σ*σ)*T+σ*SQRT(T)*$C2738)</f>
        <v>0.7735020619349513</v>
      </c>
      <c r="E2738" s="5">
        <f ca="1">MAX(0,CP*(D2738-K))</f>
        <v>0</v>
      </c>
      <c r="F2738" s="4">
        <f ca="1">(CP*(D2738-K)&gt;0)*1</f>
        <v>0</v>
      </c>
      <c r="H2738" s="4">
        <v>2723</v>
      </c>
      <c r="I2738" s="3">
        <v>0.6677449463279459</v>
      </c>
      <c r="J2738" s="128">
        <v>1.4481748107009701E-3</v>
      </c>
      <c r="K2738" s="128"/>
      <c r="L2738" s="128">
        <v>4.2599999999999999E-2</v>
      </c>
      <c r="O2738" s="2"/>
    </row>
    <row r="2739" spans="2:15" x14ac:dyDescent="0.2">
      <c r="B2739" s="1">
        <v>2724</v>
      </c>
      <c r="C2739" s="5">
        <f ca="1"/>
        <v>0.51508659985366301</v>
      </c>
      <c r="D2739" s="5">
        <f ca="1">S0*EXP((μ-0.5*σ*σ)*T+σ*SQRT(T)*$C2739)</f>
        <v>0.69912148934994167</v>
      </c>
      <c r="E2739" s="5">
        <f ca="1">MAX(0,CP*(D2739-K))</f>
        <v>0</v>
      </c>
      <c r="F2739" s="4">
        <f ca="1">(CP*(D2739-K)&gt;0)*1</f>
        <v>0</v>
      </c>
      <c r="H2739" s="4">
        <v>2724</v>
      </c>
      <c r="I2739" s="3">
        <v>0.66787381410272606</v>
      </c>
      <c r="J2739" s="128">
        <v>1.4220572529995824E-3</v>
      </c>
      <c r="K2739" s="128"/>
      <c r="L2739" s="128">
        <v>4.2799999999999998E-2</v>
      </c>
      <c r="O2739" s="2"/>
    </row>
    <row r="2740" spans="2:15" x14ac:dyDescent="0.2">
      <c r="B2740" s="1">
        <v>2725</v>
      </c>
      <c r="C2740" s="5">
        <f ca="1"/>
        <v>-0.2308879122581575</v>
      </c>
      <c r="D2740" s="5">
        <f ca="1">S0*EXP((μ-0.5*σ*σ)*T+σ*SQRT(T)*$C2740)</f>
        <v>0.64955063432118731</v>
      </c>
      <c r="E2740" s="5">
        <f ca="1">MAX(0,CP*(D2740-K))</f>
        <v>0</v>
      </c>
      <c r="F2740" s="4">
        <f ca="1">(CP*(D2740-K)&gt;0)*1</f>
        <v>0</v>
      </c>
      <c r="H2740" s="4">
        <v>2725</v>
      </c>
      <c r="I2740" s="3">
        <v>0.66785979905536252</v>
      </c>
      <c r="J2740" s="128">
        <v>1.4452759852554436E-3</v>
      </c>
      <c r="K2740" s="128"/>
      <c r="L2740" s="128">
        <v>4.3799999999999999E-2</v>
      </c>
      <c r="O2740" s="2"/>
    </row>
    <row r="2741" spans="2:15" x14ac:dyDescent="0.2">
      <c r="B2741" s="1">
        <v>2726</v>
      </c>
      <c r="C2741" s="5">
        <f ca="1"/>
        <v>0.28322680752023016</v>
      </c>
      <c r="D2741" s="5">
        <f ca="1">S0*EXP((μ-0.5*σ*σ)*T+σ*SQRT(T)*$C2741)</f>
        <v>0.68332190666893944</v>
      </c>
      <c r="E2741" s="5">
        <f ca="1">MAX(0,CP*(D2741-K))</f>
        <v>0</v>
      </c>
      <c r="F2741" s="4">
        <f ca="1">(CP*(D2741-K)&gt;0)*1</f>
        <v>0</v>
      </c>
      <c r="H2741" s="4">
        <v>2726</v>
      </c>
      <c r="I2741" s="3">
        <v>0.66758536856083495</v>
      </c>
      <c r="J2741" s="128">
        <v>1.1703276283549116E-3</v>
      </c>
      <c r="K2741" s="128"/>
      <c r="L2741" s="128">
        <v>3.6799999999999999E-2</v>
      </c>
      <c r="O2741" s="2"/>
    </row>
    <row r="2742" spans="2:15" x14ac:dyDescent="0.2">
      <c r="B2742" s="1">
        <v>2727</v>
      </c>
      <c r="C2742" s="5">
        <f ca="1"/>
        <v>-0.3332643362347823</v>
      </c>
      <c r="D2742" s="5">
        <f ca="1">S0*EXP((μ-0.5*σ*σ)*T+σ*SQRT(T)*$C2742)</f>
        <v>0.64302767220156998</v>
      </c>
      <c r="E2742" s="5">
        <f ca="1">MAX(0,CP*(D2742-K))</f>
        <v>0</v>
      </c>
      <c r="F2742" s="4">
        <f ca="1">(CP*(D2742-K)&gt;0)*1</f>
        <v>0</v>
      </c>
      <c r="H2742" s="4">
        <v>2727</v>
      </c>
      <c r="I2742" s="3">
        <v>0.66764088158880097</v>
      </c>
      <c r="J2742" s="128">
        <v>1.3312769391247376E-3</v>
      </c>
      <c r="K2742" s="128"/>
      <c r="L2742" s="128">
        <v>4.0399999999999998E-2</v>
      </c>
      <c r="O2742" s="2"/>
    </row>
    <row r="2743" spans="2:15" x14ac:dyDescent="0.2">
      <c r="B2743" s="1">
        <v>2728</v>
      </c>
      <c r="C2743" s="5">
        <f ca="1"/>
        <v>-2.1366536454713851</v>
      </c>
      <c r="D2743" s="5">
        <f ca="1">S0*EXP((μ-0.5*σ*σ)*T+σ*SQRT(T)*$C2743)</f>
        <v>0.53828931208903963</v>
      </c>
      <c r="E2743" s="5">
        <f ca="1">MAX(0,CP*(D2743-K))</f>
        <v>0</v>
      </c>
      <c r="F2743" s="4">
        <f ca="1">(CP*(D2743-K)&gt;0)*1</f>
        <v>0</v>
      </c>
      <c r="H2743" s="4">
        <v>2728</v>
      </c>
      <c r="I2743" s="3">
        <v>0.66776906003405256</v>
      </c>
      <c r="J2743" s="128">
        <v>1.4680367671079273E-3</v>
      </c>
      <c r="K2743" s="128"/>
      <c r="L2743" s="128">
        <v>4.1000000000000002E-2</v>
      </c>
      <c r="O2743" s="2"/>
    </row>
    <row r="2744" spans="2:15" x14ac:dyDescent="0.2">
      <c r="B2744" s="1">
        <v>2729</v>
      </c>
      <c r="C2744" s="5">
        <f ca="1"/>
        <v>-0.13338103087711323</v>
      </c>
      <c r="D2744" s="5">
        <f ca="1">S0*EXP((μ-0.5*σ*σ)*T+σ*SQRT(T)*$C2744)</f>
        <v>0.65582484499680038</v>
      </c>
      <c r="E2744" s="5">
        <f ca="1">MAX(0,CP*(D2744-K))</f>
        <v>0</v>
      </c>
      <c r="F2744" s="4">
        <f ca="1">(CP*(D2744-K)&gt;0)*1</f>
        <v>0</v>
      </c>
      <c r="H2744" s="4">
        <v>2729</v>
      </c>
      <c r="I2744" s="3">
        <v>0.66754516940923214</v>
      </c>
      <c r="J2744" s="128">
        <v>1.148604186576083E-3</v>
      </c>
      <c r="K2744" s="128"/>
      <c r="L2744" s="128">
        <v>3.7199999999999997E-2</v>
      </c>
      <c r="O2744" s="2"/>
    </row>
    <row r="2745" spans="2:15" x14ac:dyDescent="0.2">
      <c r="B2745" s="1">
        <v>2730</v>
      </c>
      <c r="C2745" s="5">
        <f ca="1"/>
        <v>1.1742980368418274</v>
      </c>
      <c r="D2745" s="5">
        <f ca="1">S0*EXP((μ-0.5*σ*σ)*T+σ*SQRT(T)*$C2745)</f>
        <v>0.74606633654742771</v>
      </c>
      <c r="E2745" s="5">
        <f ca="1">MAX(0,CP*(D2745-K))</f>
        <v>0</v>
      </c>
      <c r="F2745" s="4">
        <f ca="1">(CP*(D2745-K)&gt;0)*1</f>
        <v>0</v>
      </c>
      <c r="H2745" s="4">
        <v>2730</v>
      </c>
      <c r="I2745" s="3">
        <v>0.66783895282859929</v>
      </c>
      <c r="J2745" s="128">
        <v>1.415165499509803E-3</v>
      </c>
      <c r="K2745" s="128"/>
      <c r="L2745" s="128">
        <v>4.4600000000000001E-2</v>
      </c>
      <c r="O2745" s="2"/>
    </row>
    <row r="2746" spans="2:15" x14ac:dyDescent="0.2">
      <c r="B2746" s="1">
        <v>2731</v>
      </c>
      <c r="C2746" s="5">
        <f ca="1"/>
        <v>-2.090192093595868</v>
      </c>
      <c r="D2746" s="5">
        <f ca="1">S0*EXP((μ-0.5*σ*σ)*T+σ*SQRT(T)*$C2746)</f>
        <v>0.54076061634743477</v>
      </c>
      <c r="E2746" s="5">
        <f ca="1">MAX(0,CP*(D2746-K))</f>
        <v>0</v>
      </c>
      <c r="F2746" s="4">
        <f ca="1">(CP*(D2746-K)&gt;0)*1</f>
        <v>0</v>
      </c>
      <c r="H2746" s="4">
        <v>2731</v>
      </c>
      <c r="I2746" s="3">
        <v>0.66772334681715362</v>
      </c>
      <c r="J2746" s="128">
        <v>1.3770544438485841E-3</v>
      </c>
      <c r="K2746" s="128"/>
      <c r="L2746" s="128">
        <v>4.3400000000000001E-2</v>
      </c>
      <c r="O2746" s="2"/>
    </row>
    <row r="2747" spans="2:15" x14ac:dyDescent="0.2">
      <c r="B2747" s="1">
        <v>2732</v>
      </c>
      <c r="C2747" s="5">
        <f ca="1"/>
        <v>2.330842575468572</v>
      </c>
      <c r="D2747" s="5">
        <f ca="1">S0*EXP((μ-0.5*σ*σ)*T+σ*SQRT(T)*$C2747)</f>
        <v>0.83617282395994519</v>
      </c>
      <c r="E2747" s="5">
        <f ca="1">MAX(0,CP*(D2747-K))</f>
        <v>4.7972823959945177E-2</v>
      </c>
      <c r="F2747" s="4">
        <f ca="1">(CP*(D2747-K)&gt;0)*1</f>
        <v>1</v>
      </c>
      <c r="H2747" s="4">
        <v>2732</v>
      </c>
      <c r="I2747" s="3">
        <v>0.66786836547987749</v>
      </c>
      <c r="J2747" s="128">
        <v>1.4080320165080508E-3</v>
      </c>
      <c r="K2747" s="128"/>
      <c r="L2747" s="128">
        <v>4.4999999999999998E-2</v>
      </c>
      <c r="O2747" s="2"/>
    </row>
    <row r="2748" spans="2:15" x14ac:dyDescent="0.2">
      <c r="B2748" s="1">
        <v>2733</v>
      </c>
      <c r="C2748" s="5">
        <f ca="1"/>
        <v>-0.27636215161129996</v>
      </c>
      <c r="D2748" s="5">
        <f ca="1">S0*EXP((μ-0.5*σ*σ)*T+σ*SQRT(T)*$C2748)</f>
        <v>0.64664509319866526</v>
      </c>
      <c r="E2748" s="5">
        <f ca="1">MAX(0,CP*(D2748-K))</f>
        <v>0</v>
      </c>
      <c r="F2748" s="4">
        <f ca="1">(CP*(D2748-K)&gt;0)*1</f>
        <v>0</v>
      </c>
      <c r="H2748" s="4">
        <v>2733</v>
      </c>
      <c r="I2748" s="3">
        <v>0.66785139052379239</v>
      </c>
      <c r="J2748" s="128">
        <v>1.4519439876176073E-3</v>
      </c>
      <c r="K2748" s="128"/>
      <c r="L2748" s="128">
        <v>4.3999999999999997E-2</v>
      </c>
      <c r="O2748" s="2"/>
    </row>
    <row r="2749" spans="2:15" x14ac:dyDescent="0.2">
      <c r="B2749" s="1">
        <v>2734</v>
      </c>
      <c r="C2749" s="5">
        <f ca="1"/>
        <v>0.21704743180659372</v>
      </c>
      <c r="D2749" s="5">
        <f ca="1">S0*EXP((μ-0.5*σ*σ)*T+σ*SQRT(T)*$C2749)</f>
        <v>0.67887811456402658</v>
      </c>
      <c r="E2749" s="5">
        <f ca="1">MAX(0,CP*(D2749-K))</f>
        <v>0</v>
      </c>
      <c r="F2749" s="4">
        <f ca="1">(CP*(D2749-K)&gt;0)*1</f>
        <v>0</v>
      </c>
      <c r="H2749" s="4">
        <v>2734</v>
      </c>
      <c r="I2749" s="3">
        <v>0.66760508986537814</v>
      </c>
      <c r="J2749" s="128">
        <v>1.1364943825082135E-3</v>
      </c>
      <c r="K2749" s="128"/>
      <c r="L2749" s="128">
        <v>3.7199999999999997E-2</v>
      </c>
      <c r="O2749" s="2"/>
    </row>
    <row r="2750" spans="2:15" x14ac:dyDescent="0.2">
      <c r="B2750" s="1">
        <v>2735</v>
      </c>
      <c r="C2750" s="5">
        <f ca="1"/>
        <v>0.24742388045627176</v>
      </c>
      <c r="D2750" s="5">
        <f ca="1">S0*EXP((μ-0.5*σ*σ)*T+σ*SQRT(T)*$C2750)</f>
        <v>0.68091422339994545</v>
      </c>
      <c r="E2750" s="5">
        <f ca="1">MAX(0,CP*(D2750-K))</f>
        <v>0</v>
      </c>
      <c r="F2750" s="4">
        <f ca="1">(CP*(D2750-K)&gt;0)*1</f>
        <v>0</v>
      </c>
      <c r="H2750" s="4">
        <v>2735</v>
      </c>
      <c r="I2750" s="3">
        <v>0.6677722395087109</v>
      </c>
      <c r="J2750" s="128">
        <v>1.2946267111523177E-3</v>
      </c>
      <c r="K2750" s="128"/>
      <c r="L2750" s="128">
        <v>4.2799999999999998E-2</v>
      </c>
      <c r="O2750" s="2"/>
    </row>
    <row r="2751" spans="2:15" x14ac:dyDescent="0.2">
      <c r="B2751" s="1">
        <v>2736</v>
      </c>
      <c r="C2751" s="5">
        <f ca="1"/>
        <v>1.7406353403885593</v>
      </c>
      <c r="D2751" s="5">
        <f ca="1">S0*EXP((μ-0.5*σ*σ)*T+σ*SQRT(T)*$C2751)</f>
        <v>0.78890687206906718</v>
      </c>
      <c r="E2751" s="5">
        <f ca="1">MAX(0,CP*(D2751-K))</f>
        <v>7.0687206906716593E-4</v>
      </c>
      <c r="F2751" s="4">
        <f ca="1">(CP*(D2751-K)&gt;0)*1</f>
        <v>1</v>
      </c>
      <c r="H2751" s="4">
        <v>2736</v>
      </c>
      <c r="I2751" s="3">
        <v>0.66776598163695822</v>
      </c>
      <c r="J2751" s="128">
        <v>1.3805755816366947E-3</v>
      </c>
      <c r="K2751" s="128"/>
      <c r="L2751" s="128">
        <v>4.0599999999999997E-2</v>
      </c>
      <c r="O2751" s="2"/>
    </row>
    <row r="2752" spans="2:15" x14ac:dyDescent="0.2">
      <c r="B2752" s="1">
        <v>2737</v>
      </c>
      <c r="C2752" s="5">
        <f ca="1"/>
        <v>1.0107704163277655</v>
      </c>
      <c r="D2752" s="5">
        <f ca="1">S0*EXP((μ-0.5*σ*σ)*T+σ*SQRT(T)*$C2752)</f>
        <v>0.73413486013868046</v>
      </c>
      <c r="E2752" s="5">
        <f ca="1">MAX(0,CP*(D2752-K))</f>
        <v>0</v>
      </c>
      <c r="F2752" s="4">
        <f ca="1">(CP*(D2752-K)&gt;0)*1</f>
        <v>0</v>
      </c>
      <c r="H2752" s="4">
        <v>2737</v>
      </c>
      <c r="I2752" s="3">
        <v>0.66770659561306978</v>
      </c>
      <c r="J2752" s="128">
        <v>1.3783068530169231E-3</v>
      </c>
      <c r="K2752" s="128"/>
      <c r="L2752" s="128">
        <v>4.24E-2</v>
      </c>
      <c r="O2752" s="2"/>
    </row>
    <row r="2753" spans="2:15" x14ac:dyDescent="0.2">
      <c r="B2753" s="1">
        <v>2738</v>
      </c>
      <c r="C2753" s="5">
        <f ca="1"/>
        <v>-0.66650062933929521</v>
      </c>
      <c r="D2753" s="5">
        <f ca="1">S0*EXP((μ-0.5*σ*σ)*T+σ*SQRT(T)*$C2753)</f>
        <v>0.62224557904364919</v>
      </c>
      <c r="E2753" s="5">
        <f ca="1">MAX(0,CP*(D2753-K))</f>
        <v>0</v>
      </c>
      <c r="F2753" s="4">
        <f ca="1">(CP*(D2753-K)&gt;0)*1</f>
        <v>0</v>
      </c>
      <c r="H2753" s="4">
        <v>2738</v>
      </c>
      <c r="I2753" s="3">
        <v>0.66778732732646118</v>
      </c>
      <c r="J2753" s="128">
        <v>1.3816997012696865E-3</v>
      </c>
      <c r="K2753" s="128"/>
      <c r="L2753" s="128">
        <v>4.2200000000000001E-2</v>
      </c>
      <c r="O2753" s="2"/>
    </row>
    <row r="2754" spans="2:15" x14ac:dyDescent="0.2">
      <c r="B2754" s="1">
        <v>2739</v>
      </c>
      <c r="C2754" s="5">
        <f ca="1"/>
        <v>0.53175162088409167</v>
      </c>
      <c r="D2754" s="5">
        <f ca="1">S0*EXP((μ-0.5*σ*σ)*T+σ*SQRT(T)*$C2754)</f>
        <v>0.70027106366473912</v>
      </c>
      <c r="E2754" s="5">
        <f ca="1">MAX(0,CP*(D2754-K))</f>
        <v>0</v>
      </c>
      <c r="F2754" s="4">
        <f ca="1">(CP*(D2754-K)&gt;0)*1</f>
        <v>0</v>
      </c>
      <c r="H2754" s="4">
        <v>2739</v>
      </c>
      <c r="I2754" s="3">
        <v>0.66771457194035555</v>
      </c>
      <c r="J2754" s="128">
        <v>1.4180621373878174E-3</v>
      </c>
      <c r="K2754" s="128"/>
      <c r="L2754" s="128">
        <v>4.1000000000000002E-2</v>
      </c>
      <c r="O2754" s="2"/>
    </row>
    <row r="2755" spans="2:15" x14ac:dyDescent="0.2">
      <c r="B2755" s="1">
        <v>2740</v>
      </c>
      <c r="C2755" s="5">
        <f ca="1"/>
        <v>1.7082547094313452</v>
      </c>
      <c r="D2755" s="5">
        <f ca="1">S0*EXP((μ-0.5*σ*σ)*T+σ*SQRT(T)*$C2755)</f>
        <v>0.7863924409284635</v>
      </c>
      <c r="E2755" s="5">
        <f ca="1">MAX(0,CP*(D2755-K))</f>
        <v>0</v>
      </c>
      <c r="F2755" s="4">
        <f ca="1">(CP*(D2755-K)&gt;0)*1</f>
        <v>0</v>
      </c>
      <c r="H2755" s="4">
        <v>2740</v>
      </c>
      <c r="I2755" s="3">
        <v>0.66762568668697186</v>
      </c>
      <c r="J2755" s="128">
        <v>1.1823882036258902E-3</v>
      </c>
      <c r="K2755" s="128"/>
      <c r="L2755" s="128">
        <v>4.0399999999999998E-2</v>
      </c>
      <c r="O2755" s="2"/>
    </row>
    <row r="2756" spans="2:15" x14ac:dyDescent="0.2">
      <c r="B2756" s="1">
        <v>2741</v>
      </c>
      <c r="C2756" s="5">
        <f ca="1"/>
        <v>0.46190115257199088</v>
      </c>
      <c r="D2756" s="5">
        <f ca="1">S0*EXP((μ-0.5*σ*σ)*T+σ*SQRT(T)*$C2756)</f>
        <v>0.69546529652846945</v>
      </c>
      <c r="E2756" s="5">
        <f ca="1">MAX(0,CP*(D2756-K))</f>
        <v>0</v>
      </c>
      <c r="F2756" s="4">
        <f ca="1">(CP*(D2756-K)&gt;0)*1</f>
        <v>0</v>
      </c>
      <c r="H2756" s="4">
        <v>2741</v>
      </c>
      <c r="I2756" s="3">
        <v>0.66766399639132956</v>
      </c>
      <c r="J2756" s="128">
        <v>1.2337173856969712E-3</v>
      </c>
      <c r="K2756" s="128"/>
      <c r="L2756" s="128">
        <v>3.9199999999999999E-2</v>
      </c>
      <c r="O2756" s="2"/>
    </row>
    <row r="2757" spans="2:15" x14ac:dyDescent="0.2">
      <c r="B2757" s="1">
        <v>2742</v>
      </c>
      <c r="C2757" s="5">
        <f ca="1"/>
        <v>-0.13997203054242524</v>
      </c>
      <c r="D2757" s="5">
        <f ca="1">S0*EXP((μ-0.5*σ*σ)*T+σ*SQRT(T)*$C2757)</f>
        <v>0.65539883500733487</v>
      </c>
      <c r="E2757" s="5">
        <f ca="1">MAX(0,CP*(D2757-K))</f>
        <v>0</v>
      </c>
      <c r="F2757" s="4">
        <f ca="1">(CP*(D2757-K)&gt;0)*1</f>
        <v>0</v>
      </c>
      <c r="H2757" s="4">
        <v>2742</v>
      </c>
      <c r="I2757" s="3">
        <v>0.66779073311321135</v>
      </c>
      <c r="J2757" s="128">
        <v>1.4618688710748462E-3</v>
      </c>
      <c r="K2757" s="128"/>
      <c r="L2757" s="128">
        <v>4.24E-2</v>
      </c>
      <c r="O2757" s="2"/>
    </row>
    <row r="2758" spans="2:15" x14ac:dyDescent="0.2">
      <c r="B2758" s="1">
        <v>2743</v>
      </c>
      <c r="C2758" s="5">
        <f ca="1"/>
        <v>-7.9063369742911963E-3</v>
      </c>
      <c r="D2758" s="5">
        <f ca="1">S0*EXP((μ-0.5*σ*σ)*T+σ*SQRT(T)*$C2758)</f>
        <v>0.66398793644217424</v>
      </c>
      <c r="E2758" s="5">
        <f ca="1">MAX(0,CP*(D2758-K))</f>
        <v>0</v>
      </c>
      <c r="F2758" s="4">
        <f ca="1">(CP*(D2758-K)&gt;0)*1</f>
        <v>0</v>
      </c>
      <c r="H2758" s="4">
        <v>2743</v>
      </c>
      <c r="I2758" s="3">
        <v>0.66782492237726399</v>
      </c>
      <c r="J2758" s="128">
        <v>1.3901836092596979E-3</v>
      </c>
      <c r="K2758" s="128"/>
      <c r="L2758" s="128">
        <v>4.2799999999999998E-2</v>
      </c>
      <c r="O2758" s="2"/>
    </row>
    <row r="2759" spans="2:15" x14ac:dyDescent="0.2">
      <c r="B2759" s="1">
        <v>2744</v>
      </c>
      <c r="C2759" s="5">
        <f ca="1"/>
        <v>-0.93241395807871308</v>
      </c>
      <c r="D2759" s="5">
        <f ca="1">S0*EXP((μ-0.5*σ*σ)*T+σ*SQRT(T)*$C2759)</f>
        <v>0.60614492896260697</v>
      </c>
      <c r="E2759" s="5">
        <f ca="1">MAX(0,CP*(D2759-K))</f>
        <v>0</v>
      </c>
      <c r="F2759" s="4">
        <f ca="1">(CP*(D2759-K)&gt;0)*1</f>
        <v>0</v>
      </c>
      <c r="H2759" s="4">
        <v>2744</v>
      </c>
      <c r="I2759" s="3">
        <v>0.66761321752306368</v>
      </c>
      <c r="J2759" s="128">
        <v>1.1086368079312188E-3</v>
      </c>
      <c r="K2759" s="128"/>
      <c r="L2759" s="128">
        <v>3.8199999999999998E-2</v>
      </c>
      <c r="O2759" s="2"/>
    </row>
    <row r="2760" spans="2:15" x14ac:dyDescent="0.2">
      <c r="B2760" s="1">
        <v>2745</v>
      </c>
      <c r="C2760" s="5">
        <f ca="1"/>
        <v>1.0574143311823285</v>
      </c>
      <c r="D2760" s="5">
        <f ca="1">S0*EXP((μ-0.5*σ*σ)*T+σ*SQRT(T)*$C2760)</f>
        <v>0.73751855737592265</v>
      </c>
      <c r="E2760" s="5">
        <f ca="1">MAX(0,CP*(D2760-K))</f>
        <v>0</v>
      </c>
      <c r="F2760" s="4">
        <f ca="1">(CP*(D2760-K)&gt;0)*1</f>
        <v>0</v>
      </c>
      <c r="H2760" s="4">
        <v>2745</v>
      </c>
      <c r="I2760" s="3">
        <v>0.66760134697790485</v>
      </c>
      <c r="J2760" s="128">
        <v>1.219347460279119E-3</v>
      </c>
      <c r="K2760" s="128"/>
      <c r="L2760" s="128">
        <v>3.9600000000000003E-2</v>
      </c>
      <c r="O2760" s="2"/>
    </row>
    <row r="2761" spans="2:15" x14ac:dyDescent="0.2">
      <c r="B2761" s="1">
        <v>2746</v>
      </c>
      <c r="C2761" s="5">
        <f ca="1"/>
        <v>-0.51752110535006912</v>
      </c>
      <c r="D2761" s="5">
        <f ca="1">S0*EXP((μ-0.5*σ*σ)*T+σ*SQRT(T)*$C2761)</f>
        <v>0.63145226605877824</v>
      </c>
      <c r="E2761" s="5">
        <f ca="1">MAX(0,CP*(D2761-K))</f>
        <v>0</v>
      </c>
      <c r="F2761" s="4">
        <f ca="1">(CP*(D2761-K)&gt;0)*1</f>
        <v>0</v>
      </c>
      <c r="H2761" s="4">
        <v>2746</v>
      </c>
      <c r="I2761" s="3">
        <v>0.66776051468274789</v>
      </c>
      <c r="J2761" s="128">
        <v>1.4002920314397178E-3</v>
      </c>
      <c r="K2761" s="128"/>
      <c r="L2761" s="128">
        <v>4.2599999999999999E-2</v>
      </c>
      <c r="O2761" s="2"/>
    </row>
    <row r="2762" spans="2:15" x14ac:dyDescent="0.2">
      <c r="B2762" s="1">
        <v>2747</v>
      </c>
      <c r="C2762" s="5">
        <f ca="1"/>
        <v>0.61105293720827492</v>
      </c>
      <c r="D2762" s="5">
        <f ca="1">S0*EXP((μ-0.5*σ*σ)*T+σ*SQRT(T)*$C2762)</f>
        <v>0.70576732135336362</v>
      </c>
      <c r="E2762" s="5">
        <f ca="1">MAX(0,CP*(D2762-K))</f>
        <v>0</v>
      </c>
      <c r="F2762" s="4">
        <f ca="1">(CP*(D2762-K)&gt;0)*1</f>
        <v>0</v>
      </c>
      <c r="H2762" s="4">
        <v>2747</v>
      </c>
      <c r="I2762" s="3">
        <v>0.66792593312104731</v>
      </c>
      <c r="J2762" s="128">
        <v>1.6488938268758189E-3</v>
      </c>
      <c r="K2762" s="128"/>
      <c r="L2762" s="128">
        <v>4.8000000000000001E-2</v>
      </c>
      <c r="O2762" s="2"/>
    </row>
    <row r="2763" spans="2:15" x14ac:dyDescent="0.2">
      <c r="B2763" s="1">
        <v>2748</v>
      </c>
      <c r="C2763" s="5">
        <f ca="1"/>
        <v>0.65682255533045597</v>
      </c>
      <c r="D2763" s="5">
        <f ca="1">S0*EXP((μ-0.5*σ*σ)*T+σ*SQRT(T)*$C2763)</f>
        <v>0.70895915875479154</v>
      </c>
      <c r="E2763" s="5">
        <f ca="1">MAX(0,CP*(D2763-K))</f>
        <v>0</v>
      </c>
      <c r="F2763" s="4">
        <f ca="1">(CP*(D2763-K)&gt;0)*1</f>
        <v>0</v>
      </c>
      <c r="H2763" s="4">
        <v>2748</v>
      </c>
      <c r="I2763" s="3">
        <v>0.66775372340991623</v>
      </c>
      <c r="J2763" s="128">
        <v>1.3291913346551061E-3</v>
      </c>
      <c r="K2763" s="128"/>
      <c r="L2763" s="128">
        <v>4.02E-2</v>
      </c>
      <c r="O2763" s="2"/>
    </row>
    <row r="2764" spans="2:15" x14ac:dyDescent="0.2">
      <c r="B2764" s="1">
        <v>2749</v>
      </c>
      <c r="C2764" s="5">
        <f ca="1"/>
        <v>-0.61928246751814431</v>
      </c>
      <c r="D2764" s="5">
        <f ca="1">S0*EXP((μ-0.5*σ*σ)*T+σ*SQRT(T)*$C2764)</f>
        <v>0.62514895886984934</v>
      </c>
      <c r="E2764" s="5">
        <f ca="1">MAX(0,CP*(D2764-K))</f>
        <v>0</v>
      </c>
      <c r="F2764" s="4">
        <f ca="1">(CP*(D2764-K)&gt;0)*1</f>
        <v>0</v>
      </c>
      <c r="H2764" s="4">
        <v>2749</v>
      </c>
      <c r="I2764" s="3">
        <v>0.66785206578024858</v>
      </c>
      <c r="J2764" s="128">
        <v>1.3932719810777214E-3</v>
      </c>
      <c r="K2764" s="128"/>
      <c r="L2764" s="128">
        <v>4.3799999999999999E-2</v>
      </c>
      <c r="O2764" s="2"/>
    </row>
    <row r="2765" spans="2:15" x14ac:dyDescent="0.2">
      <c r="B2765" s="1">
        <v>2750</v>
      </c>
      <c r="C2765" s="5">
        <f ca="1"/>
        <v>0.4797663900678113</v>
      </c>
      <c r="D2765" s="5">
        <f ca="1">S0*EXP((μ-0.5*σ*σ)*T+σ*SQRT(T)*$C2765)</f>
        <v>0.69669129094790561</v>
      </c>
      <c r="E2765" s="5">
        <f ca="1">MAX(0,CP*(D2765-K))</f>
        <v>0</v>
      </c>
      <c r="F2765" s="4">
        <f ca="1">(CP*(D2765-K)&gt;0)*1</f>
        <v>0</v>
      </c>
      <c r="H2765" s="4">
        <v>2750</v>
      </c>
      <c r="I2765" s="3">
        <v>0.66771164486677659</v>
      </c>
      <c r="J2765" s="128">
        <v>1.4181565853882043E-3</v>
      </c>
      <c r="K2765" s="128"/>
      <c r="L2765" s="128">
        <v>4.1200000000000001E-2</v>
      </c>
      <c r="O2765" s="2"/>
    </row>
    <row r="2766" spans="2:15" x14ac:dyDescent="0.2">
      <c r="B2766" s="1">
        <v>2751</v>
      </c>
      <c r="C2766" s="5">
        <f ca="1"/>
        <v>-1.4610573199065711</v>
      </c>
      <c r="D2766" s="5">
        <f ca="1">S0*EXP((μ-0.5*σ*σ)*T+σ*SQRT(T)*$C2766)</f>
        <v>0.57536320528061491</v>
      </c>
      <c r="E2766" s="5">
        <f ca="1">MAX(0,CP*(D2766-K))</f>
        <v>0</v>
      </c>
      <c r="F2766" s="4">
        <f ca="1">(CP*(D2766-K)&gt;0)*1</f>
        <v>0</v>
      </c>
      <c r="H2766" s="4">
        <v>2751</v>
      </c>
      <c r="I2766" s="3">
        <v>0.6677624690238313</v>
      </c>
      <c r="J2766" s="128">
        <v>1.333113624686982E-3</v>
      </c>
      <c r="K2766" s="128"/>
      <c r="L2766" s="128">
        <v>4.2599999999999999E-2</v>
      </c>
      <c r="O2766" s="2"/>
    </row>
    <row r="2767" spans="2:15" x14ac:dyDescent="0.2">
      <c r="B2767" s="1">
        <v>2752</v>
      </c>
      <c r="C2767" s="5">
        <f ca="1"/>
        <v>2.4415224327169467</v>
      </c>
      <c r="D2767" s="5">
        <f ca="1">S0*EXP((μ-0.5*σ*σ)*T+σ*SQRT(T)*$C2767)</f>
        <v>0.84534680732115031</v>
      </c>
      <c r="E2767" s="5">
        <f ca="1">MAX(0,CP*(D2767-K))</f>
        <v>5.7146807321150295E-2</v>
      </c>
      <c r="F2767" s="4">
        <f ca="1">(CP*(D2767-K)&gt;0)*1</f>
        <v>1</v>
      </c>
      <c r="H2767" s="4">
        <v>2752</v>
      </c>
      <c r="I2767" s="3">
        <v>0.66769416151938188</v>
      </c>
      <c r="J2767" s="128">
        <v>1.2250249725010195E-3</v>
      </c>
      <c r="K2767" s="128"/>
      <c r="L2767" s="128">
        <v>3.9800000000000002E-2</v>
      </c>
      <c r="O2767" s="2"/>
    </row>
    <row r="2768" spans="2:15" x14ac:dyDescent="0.2">
      <c r="B2768" s="1">
        <v>2753</v>
      </c>
      <c r="C2768" s="5">
        <f ca="1"/>
        <v>1.3202538726756643</v>
      </c>
      <c r="D2768" s="5">
        <f ca="1">S0*EXP((μ-0.5*σ*σ)*T+σ*SQRT(T)*$C2768)</f>
        <v>0.75687940614390325</v>
      </c>
      <c r="E2768" s="5">
        <f ca="1">MAX(0,CP*(D2768-K))</f>
        <v>0</v>
      </c>
      <c r="F2768" s="4">
        <f ca="1">(CP*(D2768-K)&gt;0)*1</f>
        <v>0</v>
      </c>
      <c r="H2768" s="4">
        <v>2753</v>
      </c>
      <c r="I2768" s="3">
        <v>0.66772817171059895</v>
      </c>
      <c r="J2768" s="128">
        <v>1.3439712307377529E-3</v>
      </c>
      <c r="K2768" s="128"/>
      <c r="L2768" s="128">
        <v>3.9800000000000002E-2</v>
      </c>
      <c r="O2768" s="2"/>
    </row>
    <row r="2769" spans="2:15" x14ac:dyDescent="0.2">
      <c r="B2769" s="1">
        <v>2754</v>
      </c>
      <c r="C2769" s="5">
        <f ca="1"/>
        <v>-0.90117922124096927</v>
      </c>
      <c r="D2769" s="5">
        <f ca="1">S0*EXP((μ-0.5*σ*σ)*T+σ*SQRT(T)*$C2769)</f>
        <v>0.60801434038818758</v>
      </c>
      <c r="E2769" s="5">
        <f ca="1">MAX(0,CP*(D2769-K))</f>
        <v>0</v>
      </c>
      <c r="F2769" s="4">
        <f ca="1">(CP*(D2769-K)&gt;0)*1</f>
        <v>0</v>
      </c>
      <c r="H2769" s="4">
        <v>2754</v>
      </c>
      <c r="I2769" s="3">
        <v>0.66759511675382077</v>
      </c>
      <c r="J2769" s="128">
        <v>1.1503218987843292E-3</v>
      </c>
      <c r="K2769" s="128"/>
      <c r="L2769" s="128">
        <v>3.8199999999999998E-2</v>
      </c>
      <c r="O2769" s="2"/>
    </row>
    <row r="2770" spans="2:15" x14ac:dyDescent="0.2">
      <c r="B2770" s="1">
        <v>2755</v>
      </c>
      <c r="C2770" s="5">
        <f ca="1"/>
        <v>-0.15219669464492935</v>
      </c>
      <c r="D2770" s="5">
        <f ca="1">S0*EXP((μ-0.5*σ*σ)*T+σ*SQRT(T)*$C2770)</f>
        <v>0.65460942497540486</v>
      </c>
      <c r="E2770" s="5">
        <f ca="1">MAX(0,CP*(D2770-K))</f>
        <v>0</v>
      </c>
      <c r="F2770" s="4">
        <f ca="1">(CP*(D2770-K)&gt;0)*1</f>
        <v>0</v>
      </c>
      <c r="H2770" s="4">
        <v>2755</v>
      </c>
      <c r="I2770" s="3">
        <v>0.66774567765939874</v>
      </c>
      <c r="J2770" s="128">
        <v>1.2715670156373355E-3</v>
      </c>
      <c r="K2770" s="128"/>
      <c r="L2770" s="128">
        <v>4.4999999999999998E-2</v>
      </c>
      <c r="O2770" s="2"/>
    </row>
    <row r="2771" spans="2:15" x14ac:dyDescent="0.2">
      <c r="B2771" s="1">
        <v>2756</v>
      </c>
      <c r="C2771" s="5">
        <f ca="1"/>
        <v>0.75255302989783401</v>
      </c>
      <c r="D2771" s="5">
        <f ca="1">S0*EXP((μ-0.5*σ*σ)*T+σ*SQRT(T)*$C2771)</f>
        <v>0.71568186537963518</v>
      </c>
      <c r="E2771" s="5">
        <f ca="1">MAX(0,CP*(D2771-K))</f>
        <v>0</v>
      </c>
      <c r="F2771" s="4">
        <f ca="1">(CP*(D2771-K)&gt;0)*1</f>
        <v>0</v>
      </c>
      <c r="H2771" s="4">
        <v>2756</v>
      </c>
      <c r="I2771" s="3">
        <v>0.6678703139390858</v>
      </c>
      <c r="J2771" s="128">
        <v>1.3526600039532807E-3</v>
      </c>
      <c r="K2771" s="128"/>
      <c r="L2771" s="128">
        <v>4.3999999999999997E-2</v>
      </c>
      <c r="O2771" s="2"/>
    </row>
    <row r="2772" spans="2:15" x14ac:dyDescent="0.2">
      <c r="B2772" s="1">
        <v>2757</v>
      </c>
      <c r="C2772" s="5">
        <f ca="1"/>
        <v>-0.79376154063537885</v>
      </c>
      <c r="D2772" s="5">
        <f ca="1">S0*EXP((μ-0.5*σ*σ)*T+σ*SQRT(T)*$C2772)</f>
        <v>0.61448744969278224</v>
      </c>
      <c r="E2772" s="5">
        <f ca="1">MAX(0,CP*(D2772-K))</f>
        <v>0</v>
      </c>
      <c r="F2772" s="4">
        <f ca="1">(CP*(D2772-K)&gt;0)*1</f>
        <v>0</v>
      </c>
      <c r="H2772" s="4">
        <v>2757</v>
      </c>
      <c r="I2772" s="3">
        <v>0.66768168507606107</v>
      </c>
      <c r="J2772" s="128">
        <v>1.2691009618396301E-3</v>
      </c>
      <c r="K2772" s="128"/>
      <c r="L2772" s="128">
        <v>3.9800000000000002E-2</v>
      </c>
      <c r="O2772" s="2"/>
    </row>
    <row r="2773" spans="2:15" x14ac:dyDescent="0.2">
      <c r="B2773" s="1">
        <v>2758</v>
      </c>
      <c r="C2773" s="5">
        <f ca="1"/>
        <v>-0.78720308414819506</v>
      </c>
      <c r="D2773" s="5">
        <f ca="1">S0*EXP((μ-0.5*σ*σ)*T+σ*SQRT(T)*$C2773)</f>
        <v>0.61488489446631889</v>
      </c>
      <c r="E2773" s="5">
        <f ca="1">MAX(0,CP*(D2773-K))</f>
        <v>0</v>
      </c>
      <c r="F2773" s="4">
        <f ca="1">(CP*(D2773-K)&gt;0)*1</f>
        <v>0</v>
      </c>
      <c r="H2773" s="4">
        <v>2758</v>
      </c>
      <c r="I2773" s="3">
        <v>0.66770607857037334</v>
      </c>
      <c r="J2773" s="128">
        <v>1.2697458661848338E-3</v>
      </c>
      <c r="K2773" s="128"/>
      <c r="L2773" s="128">
        <v>3.8800000000000001E-2</v>
      </c>
      <c r="O2773" s="2"/>
    </row>
    <row r="2774" spans="2:15" x14ac:dyDescent="0.2">
      <c r="B2774" s="1">
        <v>2759</v>
      </c>
      <c r="C2774" s="5">
        <f ca="1"/>
        <v>-2.8144384185357939E-2</v>
      </c>
      <c r="D2774" s="5">
        <f ca="1">S0*EXP((μ-0.5*σ*σ)*T+σ*SQRT(T)*$C2774)</f>
        <v>0.66266445660222573</v>
      </c>
      <c r="E2774" s="5">
        <f ca="1">MAX(0,CP*(D2774-K))</f>
        <v>0</v>
      </c>
      <c r="F2774" s="4">
        <f ca="1">(CP*(D2774-K)&gt;0)*1</f>
        <v>0</v>
      </c>
      <c r="H2774" s="4">
        <v>2759</v>
      </c>
      <c r="I2774" s="3">
        <v>0.66777253588429275</v>
      </c>
      <c r="J2774" s="128">
        <v>1.4159330826261198E-3</v>
      </c>
      <c r="K2774" s="128"/>
      <c r="L2774" s="128">
        <v>4.24E-2</v>
      </c>
      <c r="O2774" s="2"/>
    </row>
    <row r="2775" spans="2:15" x14ac:dyDescent="0.2">
      <c r="B2775" s="1">
        <v>2760</v>
      </c>
      <c r="C2775" s="5">
        <f ca="1"/>
        <v>6.7753485317542869E-2</v>
      </c>
      <c r="D2775" s="5">
        <f ca="1">S0*EXP((μ-0.5*σ*σ)*T+σ*SQRT(T)*$C2775)</f>
        <v>0.66895921339402387</v>
      </c>
      <c r="E2775" s="5">
        <f ca="1">MAX(0,CP*(D2775-K))</f>
        <v>0</v>
      </c>
      <c r="F2775" s="4">
        <f ca="1">(CP*(D2775-K)&gt;0)*1</f>
        <v>0</v>
      </c>
      <c r="H2775" s="4">
        <v>2760</v>
      </c>
      <c r="I2775" s="3">
        <v>0.66777705699501888</v>
      </c>
      <c r="J2775" s="128">
        <v>1.3931273162384687E-3</v>
      </c>
      <c r="K2775" s="128"/>
      <c r="L2775" s="128">
        <v>4.48E-2</v>
      </c>
      <c r="O2775" s="2"/>
    </row>
    <row r="2776" spans="2:15" x14ac:dyDescent="0.2">
      <c r="B2776" s="1">
        <v>2761</v>
      </c>
      <c r="C2776" s="5">
        <f ca="1"/>
        <v>0.38410901612471376</v>
      </c>
      <c r="D2776" s="5">
        <f ca="1">S0*EXP((μ-0.5*σ*σ)*T+σ*SQRT(T)*$C2776)</f>
        <v>0.69015194470426577</v>
      </c>
      <c r="E2776" s="5">
        <f ca="1">MAX(0,CP*(D2776-K))</f>
        <v>0</v>
      </c>
      <c r="F2776" s="4">
        <f ca="1">(CP*(D2776-K)&gt;0)*1</f>
        <v>0</v>
      </c>
      <c r="H2776" s="4">
        <v>2761</v>
      </c>
      <c r="I2776" s="3">
        <v>0.66757751495505302</v>
      </c>
      <c r="J2776" s="128">
        <v>1.2559373520275145E-3</v>
      </c>
      <c r="K2776" s="128"/>
      <c r="L2776" s="128">
        <v>3.9199999999999999E-2</v>
      </c>
      <c r="O2776" s="2"/>
    </row>
    <row r="2777" spans="2:15" x14ac:dyDescent="0.2">
      <c r="B2777" s="1">
        <v>2762</v>
      </c>
      <c r="C2777" s="5">
        <f ca="1"/>
        <v>0.43676194382669842</v>
      </c>
      <c r="D2777" s="5">
        <f ca="1">S0*EXP((μ-0.5*σ*σ)*T+σ*SQRT(T)*$C2777)</f>
        <v>0.69374378189186825</v>
      </c>
      <c r="E2777" s="5">
        <f ca="1">MAX(0,CP*(D2777-K))</f>
        <v>0</v>
      </c>
      <c r="F2777" s="4">
        <f ca="1">(CP*(D2777-K)&gt;0)*1</f>
        <v>0</v>
      </c>
      <c r="H2777" s="4">
        <v>2762</v>
      </c>
      <c r="I2777" s="3">
        <v>0.66758615650423192</v>
      </c>
      <c r="J2777" s="128">
        <v>1.0433706338380511E-3</v>
      </c>
      <c r="K2777" s="128"/>
      <c r="L2777" s="128">
        <v>3.6799999999999999E-2</v>
      </c>
      <c r="O2777" s="2"/>
    </row>
    <row r="2778" spans="2:15" x14ac:dyDescent="0.2">
      <c r="B2778" s="1">
        <v>2763</v>
      </c>
      <c r="C2778" s="5">
        <f ca="1"/>
        <v>0.28472442071679593</v>
      </c>
      <c r="D2778" s="5">
        <f ca="1">S0*EXP((μ-0.5*σ*σ)*T+σ*SQRT(T)*$C2778)</f>
        <v>0.68342280379224274</v>
      </c>
      <c r="E2778" s="5">
        <f ca="1">MAX(0,CP*(D2778-K))</f>
        <v>0</v>
      </c>
      <c r="F2778" s="4">
        <f ca="1">(CP*(D2778-K)&gt;0)*1</f>
        <v>0</v>
      </c>
      <c r="H2778" s="4">
        <v>2763</v>
      </c>
      <c r="I2778" s="3">
        <v>0.66783999306288866</v>
      </c>
      <c r="J2778" s="128">
        <v>1.3754496777490508E-3</v>
      </c>
      <c r="K2778" s="128"/>
      <c r="L2778" s="128">
        <v>4.5199999999999997E-2</v>
      </c>
      <c r="O2778" s="2"/>
    </row>
    <row r="2779" spans="2:15" x14ac:dyDescent="0.2">
      <c r="B2779" s="1">
        <v>2764</v>
      </c>
      <c r="C2779" s="5">
        <f ca="1"/>
        <v>1.0774245097214898</v>
      </c>
      <c r="D2779" s="5">
        <f ca="1">S0*EXP((μ-0.5*σ*σ)*T+σ*SQRT(T)*$C2779)</f>
        <v>0.7389749352921442</v>
      </c>
      <c r="E2779" s="5">
        <f ca="1">MAX(0,CP*(D2779-K))</f>
        <v>0</v>
      </c>
      <c r="F2779" s="4">
        <f ca="1">(CP*(D2779-K)&gt;0)*1</f>
        <v>0</v>
      </c>
      <c r="H2779" s="4">
        <v>2764</v>
      </c>
      <c r="I2779" s="3">
        <v>0.66776015001920108</v>
      </c>
      <c r="J2779" s="128">
        <v>1.4598626837786133E-3</v>
      </c>
      <c r="K2779" s="128"/>
      <c r="L2779" s="128">
        <v>4.3999999999999997E-2</v>
      </c>
      <c r="O2779" s="2"/>
    </row>
    <row r="2780" spans="2:15" x14ac:dyDescent="0.2">
      <c r="B2780" s="1">
        <v>2765</v>
      </c>
      <c r="C2780" s="5">
        <f ca="1"/>
        <v>-2.2556104713357086</v>
      </c>
      <c r="D2780" s="5">
        <f ca="1">S0*EXP((μ-0.5*σ*σ)*T+σ*SQRT(T)*$C2780)</f>
        <v>0.53201331539436802</v>
      </c>
      <c r="E2780" s="5">
        <f ca="1">MAX(0,CP*(D2780-K))</f>
        <v>0</v>
      </c>
      <c r="F2780" s="4">
        <f ca="1">(CP*(D2780-K)&gt;0)*1</f>
        <v>0</v>
      </c>
      <c r="H2780" s="4">
        <v>2765</v>
      </c>
      <c r="I2780" s="3">
        <v>0.6676384565952882</v>
      </c>
      <c r="J2780" s="128">
        <v>1.2337391854638621E-3</v>
      </c>
      <c r="K2780" s="128"/>
      <c r="L2780" s="128">
        <v>3.7999999999999999E-2</v>
      </c>
      <c r="O2780" s="2"/>
    </row>
    <row r="2781" spans="2:15" x14ac:dyDescent="0.2">
      <c r="B2781" s="1">
        <v>2766</v>
      </c>
      <c r="C2781" s="5">
        <f ca="1"/>
        <v>-1.4989353043412867</v>
      </c>
      <c r="D2781" s="5">
        <f ca="1">S0*EXP((μ-0.5*σ*σ)*T+σ*SQRT(T)*$C2781)</f>
        <v>0.57321863626301983</v>
      </c>
      <c r="E2781" s="5">
        <f ca="1">MAX(0,CP*(D2781-K))</f>
        <v>0</v>
      </c>
      <c r="F2781" s="4">
        <f ca="1">(CP*(D2781-K)&gt;0)*1</f>
        <v>0</v>
      </c>
      <c r="H2781" s="4">
        <v>2766</v>
      </c>
      <c r="I2781" s="3">
        <v>0.66771789820793981</v>
      </c>
      <c r="J2781" s="128">
        <v>1.4056633440290727E-3</v>
      </c>
      <c r="K2781" s="128"/>
      <c r="L2781" s="128">
        <v>4.0800000000000003E-2</v>
      </c>
      <c r="O2781" s="2"/>
    </row>
    <row r="2782" spans="2:15" x14ac:dyDescent="0.2">
      <c r="B2782" s="1">
        <v>2767</v>
      </c>
      <c r="C2782" s="5">
        <f ca="1"/>
        <v>1.2748886226270686</v>
      </c>
      <c r="D2782" s="5">
        <f ca="1">S0*EXP((μ-0.5*σ*σ)*T+σ*SQRT(T)*$C2782)</f>
        <v>0.75350186303267341</v>
      </c>
      <c r="E2782" s="5">
        <f ca="1">MAX(0,CP*(D2782-K))</f>
        <v>0</v>
      </c>
      <c r="F2782" s="4">
        <f ca="1">(CP*(D2782-K)&gt;0)*1</f>
        <v>0</v>
      </c>
      <c r="H2782" s="4">
        <v>2767</v>
      </c>
      <c r="I2782" s="3">
        <v>0.66770288066510852</v>
      </c>
      <c r="J2782" s="128">
        <v>1.2278640079433859E-3</v>
      </c>
      <c r="K2782" s="128"/>
      <c r="L2782" s="128">
        <v>4.02E-2</v>
      </c>
      <c r="O2782" s="2"/>
    </row>
    <row r="2783" spans="2:15" x14ac:dyDescent="0.2">
      <c r="B2783" s="1">
        <v>2768</v>
      </c>
      <c r="C2783" s="5">
        <f ca="1"/>
        <v>1.2178506298360663</v>
      </c>
      <c r="D2783" s="5">
        <f ca="1">S0*EXP((μ-0.5*σ*σ)*T+σ*SQRT(T)*$C2783)</f>
        <v>0.74927663854638515</v>
      </c>
      <c r="E2783" s="5">
        <f ca="1">MAX(0,CP*(D2783-K))</f>
        <v>0</v>
      </c>
      <c r="F2783" s="4">
        <f ca="1">(CP*(D2783-K)&gt;0)*1</f>
        <v>0</v>
      </c>
      <c r="H2783" s="4">
        <v>2768</v>
      </c>
      <c r="I2783" s="3">
        <v>0.66769024645597896</v>
      </c>
      <c r="J2783" s="128">
        <v>1.2705723116341434E-3</v>
      </c>
      <c r="K2783" s="128"/>
      <c r="L2783" s="128">
        <v>3.9399999999999998E-2</v>
      </c>
      <c r="O2783" s="2"/>
    </row>
    <row r="2784" spans="2:15" x14ac:dyDescent="0.2">
      <c r="B2784" s="1">
        <v>2769</v>
      </c>
      <c r="C2784" s="5">
        <f ca="1"/>
        <v>0.11289829837779125</v>
      </c>
      <c r="D2784" s="5">
        <f ca="1">S0*EXP((μ-0.5*σ*σ)*T+σ*SQRT(T)*$C2784)</f>
        <v>0.67194319428439175</v>
      </c>
      <c r="E2784" s="5">
        <f ca="1">MAX(0,CP*(D2784-K))</f>
        <v>0</v>
      </c>
      <c r="F2784" s="4">
        <f ca="1">(CP*(D2784-K)&gt;0)*1</f>
        <v>0</v>
      </c>
      <c r="H2784" s="4">
        <v>2769</v>
      </c>
      <c r="I2784" s="3">
        <v>0.66769806313211777</v>
      </c>
      <c r="J2784" s="128">
        <v>1.3568769911492045E-3</v>
      </c>
      <c r="K2784" s="128"/>
      <c r="L2784" s="128">
        <v>0.04</v>
      </c>
      <c r="O2784" s="2"/>
    </row>
    <row r="2785" spans="2:15" x14ac:dyDescent="0.2">
      <c r="B2785" s="1">
        <v>2770</v>
      </c>
      <c r="C2785" s="5">
        <f ca="1"/>
        <v>0.50437743214735387</v>
      </c>
      <c r="D2785" s="5">
        <f ca="1">S0*EXP((μ-0.5*σ*σ)*T+σ*SQRT(T)*$C2785)</f>
        <v>0.69838375356489435</v>
      </c>
      <c r="E2785" s="5">
        <f ca="1">MAX(0,CP*(D2785-K))</f>
        <v>0</v>
      </c>
      <c r="F2785" s="4">
        <f ca="1">(CP*(D2785-K)&gt;0)*1</f>
        <v>0</v>
      </c>
      <c r="H2785" s="4">
        <v>2770</v>
      </c>
      <c r="I2785" s="3">
        <v>0.66750070823884944</v>
      </c>
      <c r="J2785" s="128">
        <v>1.0655083544971148E-3</v>
      </c>
      <c r="K2785" s="128"/>
      <c r="L2785" s="128">
        <v>3.4799999999999998E-2</v>
      </c>
      <c r="O2785" s="2"/>
    </row>
    <row r="2786" spans="2:15" x14ac:dyDescent="0.2">
      <c r="B2786" s="1">
        <v>2771</v>
      </c>
      <c r="C2786" s="5">
        <f ca="1"/>
        <v>0.40714201290391461</v>
      </c>
      <c r="D2786" s="5">
        <f ca="1">S0*EXP((μ-0.5*σ*σ)*T+σ*SQRT(T)*$C2786)</f>
        <v>0.69172089818542359</v>
      </c>
      <c r="E2786" s="5">
        <f ca="1">MAX(0,CP*(D2786-K))</f>
        <v>0</v>
      </c>
      <c r="F2786" s="4">
        <f ca="1">(CP*(D2786-K)&gt;0)*1</f>
        <v>0</v>
      </c>
      <c r="H2786" s="4">
        <v>2771</v>
      </c>
      <c r="I2786" s="3">
        <v>0.66794589052863995</v>
      </c>
      <c r="J2786" s="128">
        <v>1.5582552160368463E-3</v>
      </c>
      <c r="K2786" s="128"/>
      <c r="L2786" s="128">
        <v>4.2000000000000003E-2</v>
      </c>
      <c r="O2786" s="2"/>
    </row>
    <row r="2787" spans="2:15" x14ac:dyDescent="0.2">
      <c r="B2787" s="1">
        <v>2772</v>
      </c>
      <c r="C2787" s="5">
        <f ca="1"/>
        <v>-1.2835298533196233</v>
      </c>
      <c r="D2787" s="5">
        <f ca="1">S0*EXP((μ-0.5*σ*σ)*T+σ*SQRT(T)*$C2787)</f>
        <v>0.58552184157371601</v>
      </c>
      <c r="E2787" s="5">
        <f ca="1">MAX(0,CP*(D2787-K))</f>
        <v>0</v>
      </c>
      <c r="F2787" s="4">
        <f ca="1">(CP*(D2787-K)&gt;0)*1</f>
        <v>0</v>
      </c>
      <c r="H2787" s="4">
        <v>2772</v>
      </c>
      <c r="I2787" s="3">
        <v>0.66765636593697575</v>
      </c>
      <c r="J2787" s="128">
        <v>1.1740966884777315E-3</v>
      </c>
      <c r="K2787" s="128"/>
      <c r="L2787" s="128">
        <v>3.9E-2</v>
      </c>
      <c r="O2787" s="2"/>
    </row>
    <row r="2788" spans="2:15" x14ac:dyDescent="0.2">
      <c r="B2788" s="1">
        <v>2773</v>
      </c>
      <c r="C2788" s="5">
        <f ca="1"/>
        <v>-3.3584943104913167E-2</v>
      </c>
      <c r="D2788" s="5">
        <f ca="1">S0*EXP((μ-0.5*σ*σ)*T+σ*SQRT(T)*$C2788)</f>
        <v>0.66230911795132907</v>
      </c>
      <c r="E2788" s="5">
        <f ca="1">MAX(0,CP*(D2788-K))</f>
        <v>0</v>
      </c>
      <c r="F2788" s="4">
        <f ca="1">(CP*(D2788-K)&gt;0)*1</f>
        <v>0</v>
      </c>
      <c r="H2788" s="4">
        <v>2773</v>
      </c>
      <c r="I2788" s="3">
        <v>0.66776894076129734</v>
      </c>
      <c r="J2788" s="128">
        <v>1.4430501120723806E-3</v>
      </c>
      <c r="K2788" s="128"/>
      <c r="L2788" s="128">
        <v>4.48E-2</v>
      </c>
      <c r="O2788" s="2"/>
    </row>
    <row r="2789" spans="2:15" x14ac:dyDescent="0.2">
      <c r="B2789" s="1">
        <v>2774</v>
      </c>
      <c r="C2789" s="5">
        <f ca="1"/>
        <v>1.4299620101506714</v>
      </c>
      <c r="D2789" s="5">
        <f ca="1">S0*EXP((μ-0.5*σ*σ)*T+σ*SQRT(T)*$C2789)</f>
        <v>0.76511012940292855</v>
      </c>
      <c r="E2789" s="5">
        <f ca="1">MAX(0,CP*(D2789-K))</f>
        <v>0</v>
      </c>
      <c r="F2789" s="4">
        <f ca="1">(CP*(D2789-K)&gt;0)*1</f>
        <v>0</v>
      </c>
      <c r="H2789" s="4">
        <v>2774</v>
      </c>
      <c r="I2789" s="3">
        <v>0.6675977588443569</v>
      </c>
      <c r="J2789" s="128">
        <v>1.208668070298345E-3</v>
      </c>
      <c r="K2789" s="128"/>
      <c r="L2789" s="128">
        <v>3.6999999999999998E-2</v>
      </c>
      <c r="O2789" s="2"/>
    </row>
    <row r="2790" spans="2:15" x14ac:dyDescent="0.2">
      <c r="B2790" s="1">
        <v>2775</v>
      </c>
      <c r="C2790" s="5">
        <f ca="1"/>
        <v>0.57402729354455584</v>
      </c>
      <c r="D2790" s="5">
        <f ca="1">S0*EXP((μ-0.5*σ*σ)*T+σ*SQRT(T)*$C2790)</f>
        <v>0.70319578019582973</v>
      </c>
      <c r="E2790" s="5">
        <f ca="1">MAX(0,CP*(D2790-K))</f>
        <v>0</v>
      </c>
      <c r="F2790" s="4">
        <f ca="1">(CP*(D2790-K)&gt;0)*1</f>
        <v>0</v>
      </c>
      <c r="H2790" s="4">
        <v>2775</v>
      </c>
      <c r="I2790" s="3">
        <v>0.66785736192260869</v>
      </c>
      <c r="J2790" s="128">
        <v>1.6040112651274959E-3</v>
      </c>
      <c r="K2790" s="128"/>
      <c r="L2790" s="128">
        <v>4.6199999999999998E-2</v>
      </c>
      <c r="O2790" s="2"/>
    </row>
    <row r="2791" spans="2:15" x14ac:dyDescent="0.2">
      <c r="B2791" s="1">
        <v>2776</v>
      </c>
      <c r="C2791" s="5">
        <f ca="1"/>
        <v>1.1297058942385567</v>
      </c>
      <c r="D2791" s="5">
        <f ca="1">S0*EXP((μ-0.5*σ*σ)*T+σ*SQRT(T)*$C2791)</f>
        <v>0.74279365892764448</v>
      </c>
      <c r="E2791" s="5">
        <f ca="1">MAX(0,CP*(D2791-K))</f>
        <v>0</v>
      </c>
      <c r="F2791" s="4">
        <f ca="1">(CP*(D2791-K)&gt;0)*1</f>
        <v>0</v>
      </c>
      <c r="H2791" s="4">
        <v>2776</v>
      </c>
      <c r="I2791" s="3">
        <v>0.66774308758580103</v>
      </c>
      <c r="J2791" s="128">
        <v>1.3304430238456164E-3</v>
      </c>
      <c r="K2791" s="128"/>
      <c r="L2791" s="128">
        <v>3.9E-2</v>
      </c>
      <c r="O2791" s="2"/>
    </row>
    <row r="2792" spans="2:15" x14ac:dyDescent="0.2">
      <c r="B2792" s="1">
        <v>2777</v>
      </c>
      <c r="C2792" s="5">
        <f ca="1"/>
        <v>0.26939099211274575</v>
      </c>
      <c r="D2792" s="5">
        <f ca="1">S0*EXP((μ-0.5*σ*σ)*T+σ*SQRT(T)*$C2792)</f>
        <v>0.68239046500490808</v>
      </c>
      <c r="E2792" s="5">
        <f ca="1">MAX(0,CP*(D2792-K))</f>
        <v>0</v>
      </c>
      <c r="F2792" s="4">
        <f ca="1">(CP*(D2792-K)&gt;0)*1</f>
        <v>0</v>
      </c>
      <c r="H2792" s="4">
        <v>2777</v>
      </c>
      <c r="I2792" s="3">
        <v>0.6676090599696145</v>
      </c>
      <c r="J2792" s="128">
        <v>1.2714146932706473E-3</v>
      </c>
      <c r="K2792" s="128"/>
      <c r="L2792" s="128">
        <v>3.7600000000000001E-2</v>
      </c>
      <c r="O2792" s="2"/>
    </row>
    <row r="2793" spans="2:15" x14ac:dyDescent="0.2">
      <c r="B2793" s="1">
        <v>2778</v>
      </c>
      <c r="C2793" s="5">
        <f ca="1"/>
        <v>-0.79411698936425779</v>
      </c>
      <c r="D2793" s="5">
        <f ca="1">S0*EXP((μ-0.5*σ*σ)*T+σ*SQRT(T)*$C2793)</f>
        <v>0.61446591671492135</v>
      </c>
      <c r="E2793" s="5">
        <f ca="1">MAX(0,CP*(D2793-K))</f>
        <v>0</v>
      </c>
      <c r="F2793" s="4">
        <f ca="1">(CP*(D2793-K)&gt;0)*1</f>
        <v>0</v>
      </c>
      <c r="H2793" s="4">
        <v>2778</v>
      </c>
      <c r="I2793" s="3">
        <v>0.6677925997205586</v>
      </c>
      <c r="J2793" s="128">
        <v>1.3356612540243382E-3</v>
      </c>
      <c r="K2793" s="128"/>
      <c r="L2793" s="128">
        <v>4.0800000000000003E-2</v>
      </c>
      <c r="O2793" s="2"/>
    </row>
    <row r="2794" spans="2:15" x14ac:dyDescent="0.2">
      <c r="B2794" s="1">
        <v>2779</v>
      </c>
      <c r="C2794" s="5">
        <f ca="1"/>
        <v>1.2019709476163734</v>
      </c>
      <c r="D2794" s="5">
        <f ca="1">S0*EXP((μ-0.5*σ*σ)*T+σ*SQRT(T)*$C2794)</f>
        <v>0.74810453545341105</v>
      </c>
      <c r="E2794" s="5">
        <f ca="1">MAX(0,CP*(D2794-K))</f>
        <v>0</v>
      </c>
      <c r="F2794" s="4">
        <f ca="1">(CP*(D2794-K)&gt;0)*1</f>
        <v>0</v>
      </c>
      <c r="H2794" s="4">
        <v>2779</v>
      </c>
      <c r="I2794" s="3">
        <v>0.66765277713805649</v>
      </c>
      <c r="J2794" s="128">
        <v>1.1846017285350248E-3</v>
      </c>
      <c r="K2794" s="128"/>
      <c r="L2794" s="128">
        <v>3.9800000000000002E-2</v>
      </c>
      <c r="O2794" s="2"/>
    </row>
    <row r="2795" spans="2:15" x14ac:dyDescent="0.2">
      <c r="B2795" s="1">
        <v>2780</v>
      </c>
      <c r="C2795" s="5">
        <f ca="1"/>
        <v>1.5121360157366397</v>
      </c>
      <c r="D2795" s="5">
        <f ca="1">S0*EXP((μ-0.5*σ*σ)*T+σ*SQRT(T)*$C2795)</f>
        <v>0.77133371257717498</v>
      </c>
      <c r="E2795" s="5">
        <f ca="1">MAX(0,CP*(D2795-K))</f>
        <v>0</v>
      </c>
      <c r="F2795" s="4">
        <f ca="1">(CP*(D2795-K)&gt;0)*1</f>
        <v>0</v>
      </c>
      <c r="H2795" s="4">
        <v>2780</v>
      </c>
      <c r="I2795" s="3">
        <v>0.66779252683909551</v>
      </c>
      <c r="J2795" s="128">
        <v>1.5446229519636731E-3</v>
      </c>
      <c r="K2795" s="128"/>
      <c r="L2795" s="128">
        <v>4.4999999999999998E-2</v>
      </c>
      <c r="O2795" s="2"/>
    </row>
    <row r="2796" spans="2:15" x14ac:dyDescent="0.2">
      <c r="B2796" s="1">
        <v>2781</v>
      </c>
      <c r="C2796" s="5">
        <f ca="1"/>
        <v>0.44455510066350196</v>
      </c>
      <c r="D2796" s="5">
        <f ca="1">S0*EXP((μ-0.5*σ*σ)*T+σ*SQRT(T)*$C2796)</f>
        <v>0.69427699533130027</v>
      </c>
      <c r="E2796" s="5">
        <f ca="1">MAX(0,CP*(D2796-K))</f>
        <v>0</v>
      </c>
      <c r="F2796" s="4">
        <f ca="1">(CP*(D2796-K)&gt;0)*1</f>
        <v>0</v>
      </c>
      <c r="H2796" s="4">
        <v>2781</v>
      </c>
      <c r="I2796" s="3">
        <v>0.66790910348188115</v>
      </c>
      <c r="J2796" s="128">
        <v>1.5653040031695306E-3</v>
      </c>
      <c r="K2796" s="128"/>
      <c r="L2796" s="128">
        <v>4.6800000000000001E-2</v>
      </c>
      <c r="O2796" s="2"/>
    </row>
    <row r="2797" spans="2:15" x14ac:dyDescent="0.2">
      <c r="B2797" s="1">
        <v>2782</v>
      </c>
      <c r="C2797" s="5">
        <f ca="1"/>
        <v>0.27290188569985568</v>
      </c>
      <c r="D2797" s="5">
        <f ca="1">S0*EXP((μ-0.5*σ*σ)*T+σ*SQRT(T)*$C2797)</f>
        <v>0.68262670177720497</v>
      </c>
      <c r="E2797" s="5">
        <f ca="1">MAX(0,CP*(D2797-K))</f>
        <v>0</v>
      </c>
      <c r="F2797" s="4">
        <f ca="1">(CP*(D2797-K)&gt;0)*1</f>
        <v>0</v>
      </c>
      <c r="H2797" s="4">
        <v>2782</v>
      </c>
      <c r="I2797" s="3">
        <v>0.66786683320067775</v>
      </c>
      <c r="J2797" s="128">
        <v>1.5184310240558218E-3</v>
      </c>
      <c r="K2797" s="128"/>
      <c r="L2797" s="128">
        <v>4.2999999999999997E-2</v>
      </c>
      <c r="O2797" s="2"/>
    </row>
    <row r="2798" spans="2:15" x14ac:dyDescent="0.2">
      <c r="B2798" s="1">
        <v>2783</v>
      </c>
      <c r="C2798" s="5">
        <f ca="1"/>
        <v>1.0252534546051832</v>
      </c>
      <c r="D2798" s="5">
        <f ca="1">S0*EXP((μ-0.5*σ*σ)*T+σ*SQRT(T)*$C2798)</f>
        <v>0.73518384044710972</v>
      </c>
      <c r="E2798" s="5">
        <f ca="1">MAX(0,CP*(D2798-K))</f>
        <v>0</v>
      </c>
      <c r="F2798" s="4">
        <f ca="1">(CP*(D2798-K)&gt;0)*1</f>
        <v>0</v>
      </c>
      <c r="H2798" s="4">
        <v>2783</v>
      </c>
      <c r="I2798" s="3">
        <v>0.66774556009866137</v>
      </c>
      <c r="J2798" s="128">
        <v>1.455395263720206E-3</v>
      </c>
      <c r="K2798" s="128"/>
      <c r="L2798" s="128">
        <v>4.3799999999999999E-2</v>
      </c>
      <c r="O2798" s="2"/>
    </row>
    <row r="2799" spans="2:15" x14ac:dyDescent="0.2">
      <c r="B2799" s="1">
        <v>2784</v>
      </c>
      <c r="C2799" s="5">
        <f ca="1"/>
        <v>-0.9850689240465812</v>
      </c>
      <c r="D2799" s="5">
        <f ca="1">S0*EXP((μ-0.5*σ*σ)*T+σ*SQRT(T)*$C2799)</f>
        <v>0.60300651098103086</v>
      </c>
      <c r="E2799" s="5">
        <f ca="1">MAX(0,CP*(D2799-K))</f>
        <v>0</v>
      </c>
      <c r="F2799" s="4">
        <f ca="1">(CP*(D2799-K)&gt;0)*1</f>
        <v>0</v>
      </c>
      <c r="H2799" s="4">
        <v>2784</v>
      </c>
      <c r="I2799" s="3">
        <v>0.667632118853556</v>
      </c>
      <c r="J2799" s="128">
        <v>1.1966238115210996E-3</v>
      </c>
      <c r="K2799" s="128"/>
      <c r="L2799" s="128">
        <v>3.9199999999999999E-2</v>
      </c>
      <c r="O2799" s="2"/>
    </row>
    <row r="2800" spans="2:15" x14ac:dyDescent="0.2">
      <c r="B2800" s="1">
        <v>2785</v>
      </c>
      <c r="C2800" s="5">
        <f ca="1"/>
        <v>0.10422937538708682</v>
      </c>
      <c r="D2800" s="5">
        <f ca="1">S0*EXP((μ-0.5*σ*σ)*T+σ*SQRT(T)*$C2800)</f>
        <v>0.67136916525731283</v>
      </c>
      <c r="E2800" s="5">
        <f ca="1">MAX(0,CP*(D2800-K))</f>
        <v>0</v>
      </c>
      <c r="F2800" s="4">
        <f ca="1">(CP*(D2800-K)&gt;0)*1</f>
        <v>0</v>
      </c>
      <c r="H2800" s="4">
        <v>2785</v>
      </c>
      <c r="I2800" s="3">
        <v>0.66783626390511541</v>
      </c>
      <c r="J2800" s="128">
        <v>1.6613476454331313E-3</v>
      </c>
      <c r="K2800" s="128"/>
      <c r="L2800" s="128">
        <v>4.8000000000000001E-2</v>
      </c>
      <c r="O2800" s="2"/>
    </row>
    <row r="2801" spans="2:15" x14ac:dyDescent="0.2">
      <c r="B2801" s="1">
        <v>2786</v>
      </c>
      <c r="C2801" s="5">
        <f ca="1"/>
        <v>-0.11393036165854881</v>
      </c>
      <c r="D2801" s="5">
        <f ca="1">S0*EXP((μ-0.5*σ*σ)*T+σ*SQRT(T)*$C2801)</f>
        <v>0.65708365620306941</v>
      </c>
      <c r="E2801" s="5">
        <f ca="1">MAX(0,CP*(D2801-K))</f>
        <v>0</v>
      </c>
      <c r="F2801" s="4">
        <f ca="1">(CP*(D2801-K)&gt;0)*1</f>
        <v>0</v>
      </c>
      <c r="H2801" s="4">
        <v>2786</v>
      </c>
      <c r="I2801" s="3">
        <v>0.66769939800105305</v>
      </c>
      <c r="J2801" s="128">
        <v>1.4167608825658702E-3</v>
      </c>
      <c r="K2801" s="128"/>
      <c r="L2801" s="128">
        <v>4.2200000000000001E-2</v>
      </c>
      <c r="O2801" s="2"/>
    </row>
    <row r="2802" spans="2:15" x14ac:dyDescent="0.2">
      <c r="B2802" s="1">
        <v>2787</v>
      </c>
      <c r="C2802" s="5">
        <f ca="1"/>
        <v>0.51861519299476111</v>
      </c>
      <c r="D2802" s="5">
        <f ca="1">S0*EXP((μ-0.5*σ*σ)*T+σ*SQRT(T)*$C2802)</f>
        <v>0.69936473859438231</v>
      </c>
      <c r="E2802" s="5">
        <f ca="1">MAX(0,CP*(D2802-K))</f>
        <v>0</v>
      </c>
      <c r="F2802" s="4">
        <f ca="1">(CP*(D2802-K)&gt;0)*1</f>
        <v>0</v>
      </c>
      <c r="H2802" s="4">
        <v>2787</v>
      </c>
      <c r="I2802" s="3">
        <v>0.6676924811816688</v>
      </c>
      <c r="J2802" s="128">
        <v>1.2565696087276995E-3</v>
      </c>
      <c r="K2802" s="128"/>
      <c r="L2802" s="128">
        <v>0.04</v>
      </c>
      <c r="O2802" s="2"/>
    </row>
    <row r="2803" spans="2:15" x14ac:dyDescent="0.2">
      <c r="B2803" s="1">
        <v>2788</v>
      </c>
      <c r="C2803" s="5">
        <f ca="1"/>
        <v>-0.36878228383236356</v>
      </c>
      <c r="D2803" s="5">
        <f ca="1">S0*EXP((μ-0.5*σ*σ)*T+σ*SQRT(T)*$C2803)</f>
        <v>0.64077996830060757</v>
      </c>
      <c r="E2803" s="5">
        <f ca="1">MAX(0,CP*(D2803-K))</f>
        <v>0</v>
      </c>
      <c r="F2803" s="4">
        <f ca="1">(CP*(D2803-K)&gt;0)*1</f>
        <v>0</v>
      </c>
      <c r="H2803" s="4">
        <v>2788</v>
      </c>
      <c r="I2803" s="3">
        <v>0.66773067796764307</v>
      </c>
      <c r="J2803" s="128">
        <v>1.3466789002705927E-3</v>
      </c>
      <c r="K2803" s="128"/>
      <c r="L2803" s="128">
        <v>4.1000000000000002E-2</v>
      </c>
      <c r="O2803" s="2"/>
    </row>
    <row r="2804" spans="2:15" x14ac:dyDescent="0.2">
      <c r="B2804" s="1">
        <v>2789</v>
      </c>
      <c r="C2804" s="5">
        <f ca="1"/>
        <v>-1.6357270590153035</v>
      </c>
      <c r="D2804" s="5">
        <f ca="1">S0*EXP((μ-0.5*σ*σ)*T+σ*SQRT(T)*$C2804)</f>
        <v>0.56554012905793849</v>
      </c>
      <c r="E2804" s="5">
        <f ca="1">MAX(0,CP*(D2804-K))</f>
        <v>0</v>
      </c>
      <c r="F2804" s="4">
        <f ca="1">(CP*(D2804-K)&gt;0)*1</f>
        <v>0</v>
      </c>
      <c r="H2804" s="4">
        <v>2789</v>
      </c>
      <c r="I2804" s="3">
        <v>0.66786540579959197</v>
      </c>
      <c r="J2804" s="128">
        <v>1.6645010119252677E-3</v>
      </c>
      <c r="K2804" s="128"/>
      <c r="L2804" s="128">
        <v>4.3999999999999997E-2</v>
      </c>
      <c r="O2804" s="2"/>
    </row>
    <row r="2805" spans="2:15" x14ac:dyDescent="0.2">
      <c r="B2805" s="1">
        <v>2790</v>
      </c>
      <c r="C2805" s="5">
        <f ca="1"/>
        <v>-0.20169216626518541</v>
      </c>
      <c r="D2805" s="5">
        <f ca="1">S0*EXP((μ-0.5*σ*σ)*T+σ*SQRT(T)*$C2805)</f>
        <v>0.65142295175289788</v>
      </c>
      <c r="E2805" s="5">
        <f ca="1">MAX(0,CP*(D2805-K))</f>
        <v>0</v>
      </c>
      <c r="F2805" s="4">
        <f ca="1">(CP*(D2805-K)&gt;0)*1</f>
        <v>0</v>
      </c>
      <c r="H2805" s="4">
        <v>2790</v>
      </c>
      <c r="I2805" s="3">
        <v>0.66772959500056417</v>
      </c>
      <c r="J2805" s="128">
        <v>1.4356569480129635E-3</v>
      </c>
      <c r="K2805" s="128"/>
      <c r="L2805" s="128">
        <v>4.3799999999999999E-2</v>
      </c>
      <c r="O2805" s="2"/>
    </row>
    <row r="2806" spans="2:15" x14ac:dyDescent="0.2">
      <c r="B2806" s="1">
        <v>2791</v>
      </c>
      <c r="C2806" s="5">
        <f ca="1"/>
        <v>-0.59328390343099735</v>
      </c>
      <c r="D2806" s="5">
        <f ca="1">S0*EXP((μ-0.5*σ*σ)*T+σ*SQRT(T)*$C2806)</f>
        <v>0.62675335383783448</v>
      </c>
      <c r="E2806" s="5">
        <f ca="1">MAX(0,CP*(D2806-K))</f>
        <v>0</v>
      </c>
      <c r="F2806" s="4">
        <f ca="1">(CP*(D2806-K)&gt;0)*1</f>
        <v>0</v>
      </c>
      <c r="H2806" s="4">
        <v>2791</v>
      </c>
      <c r="I2806" s="3">
        <v>0.66786898571850184</v>
      </c>
      <c r="J2806" s="128">
        <v>1.4452977988112039E-3</v>
      </c>
      <c r="K2806" s="128"/>
      <c r="L2806" s="128">
        <v>4.3799999999999999E-2</v>
      </c>
      <c r="O2806" s="2"/>
    </row>
    <row r="2807" spans="2:15" x14ac:dyDescent="0.2">
      <c r="B2807" s="1">
        <v>2792</v>
      </c>
      <c r="C2807" s="5">
        <f ca="1"/>
        <v>-1.3988096164701052</v>
      </c>
      <c r="D2807" s="5">
        <f ca="1">S0*EXP((μ-0.5*σ*σ)*T+σ*SQRT(T)*$C2807)</f>
        <v>0.5789049758029412</v>
      </c>
      <c r="E2807" s="5">
        <f ca="1">MAX(0,CP*(D2807-K))</f>
        <v>0</v>
      </c>
      <c r="F2807" s="4">
        <f ca="1">(CP*(D2807-K)&gt;0)*1</f>
        <v>0</v>
      </c>
      <c r="H2807" s="4">
        <v>2792</v>
      </c>
      <c r="I2807" s="3">
        <v>0.6678922757580531</v>
      </c>
      <c r="J2807" s="128">
        <v>1.5869649620169006E-3</v>
      </c>
      <c r="K2807" s="128"/>
      <c r="L2807" s="128">
        <v>4.9000000000000002E-2</v>
      </c>
      <c r="O2807" s="2"/>
    </row>
    <row r="2808" spans="2:15" x14ac:dyDescent="0.2">
      <c r="B2808" s="1">
        <v>2793</v>
      </c>
      <c r="C2808" s="5">
        <f ca="1"/>
        <v>4.2415380638571212E-2</v>
      </c>
      <c r="D2808" s="5">
        <f ca="1">S0*EXP((μ-0.5*σ*σ)*T+σ*SQRT(T)*$C2808)</f>
        <v>0.66729022559840334</v>
      </c>
      <c r="E2808" s="5">
        <f ca="1">MAX(0,CP*(D2808-K))</f>
        <v>0</v>
      </c>
      <c r="F2808" s="4">
        <f ca="1">(CP*(D2808-K)&gt;0)*1</f>
        <v>0</v>
      </c>
      <c r="H2808" s="4">
        <v>2793</v>
      </c>
      <c r="I2808" s="3">
        <v>0.66791541742118843</v>
      </c>
      <c r="J2808" s="128">
        <v>1.4950007007355757E-3</v>
      </c>
      <c r="K2808" s="128"/>
      <c r="L2808" s="128">
        <v>4.5400000000000003E-2</v>
      </c>
      <c r="O2808" s="2"/>
    </row>
    <row r="2809" spans="2:15" x14ac:dyDescent="0.2">
      <c r="B2809" s="1">
        <v>2794</v>
      </c>
      <c r="C2809" s="5">
        <f ca="1"/>
        <v>0.10910695464938427</v>
      </c>
      <c r="D2809" s="5">
        <f ca="1">S0*EXP((μ-0.5*σ*σ)*T+σ*SQRT(T)*$C2809)</f>
        <v>0.67169208297217031</v>
      </c>
      <c r="E2809" s="5">
        <f ca="1">MAX(0,CP*(D2809-K))</f>
        <v>0</v>
      </c>
      <c r="F2809" s="4">
        <f ca="1">(CP*(D2809-K)&gt;0)*1</f>
        <v>0</v>
      </c>
      <c r="H2809" s="4">
        <v>2794</v>
      </c>
      <c r="I2809" s="3">
        <v>0.66763757169892435</v>
      </c>
      <c r="J2809" s="128">
        <v>1.2683137471837965E-3</v>
      </c>
      <c r="K2809" s="128"/>
      <c r="L2809" s="128">
        <v>4.1000000000000002E-2</v>
      </c>
      <c r="O2809" s="2"/>
    </row>
    <row r="2810" spans="2:15" x14ac:dyDescent="0.2">
      <c r="B2810" s="1">
        <v>2795</v>
      </c>
      <c r="C2810" s="5">
        <f ca="1"/>
        <v>0.49516009559493918</v>
      </c>
      <c r="D2810" s="5">
        <f ca="1">S0*EXP((μ-0.5*σ*σ)*T+σ*SQRT(T)*$C2810)</f>
        <v>0.69774941081023401</v>
      </c>
      <c r="E2810" s="5">
        <f ca="1">MAX(0,CP*(D2810-K))</f>
        <v>0</v>
      </c>
      <c r="F2810" s="4">
        <f ca="1">(CP*(D2810-K)&gt;0)*1</f>
        <v>0</v>
      </c>
      <c r="H2810" s="4">
        <v>2795</v>
      </c>
      <c r="I2810" s="3">
        <v>0.66780385282820431</v>
      </c>
      <c r="J2810" s="128">
        <v>1.4309835713078064E-3</v>
      </c>
      <c r="K2810" s="128"/>
      <c r="L2810" s="128">
        <v>4.5199999999999997E-2</v>
      </c>
      <c r="O2810" s="2"/>
    </row>
    <row r="2811" spans="2:15" x14ac:dyDescent="0.2">
      <c r="B2811" s="1">
        <v>2796</v>
      </c>
      <c r="C2811" s="5">
        <f ca="1"/>
        <v>1.0967360604781244</v>
      </c>
      <c r="D2811" s="5">
        <f ca="1">S0*EXP((μ-0.5*σ*σ)*T+σ*SQRT(T)*$C2811)</f>
        <v>0.74038319276934872</v>
      </c>
      <c r="E2811" s="5">
        <f ca="1">MAX(0,CP*(D2811-K))</f>
        <v>0</v>
      </c>
      <c r="F2811" s="4">
        <f ca="1">(CP*(D2811-K)&gt;0)*1</f>
        <v>0</v>
      </c>
      <c r="H2811" s="4">
        <v>2796</v>
      </c>
      <c r="I2811" s="3">
        <v>0.66759670191678044</v>
      </c>
      <c r="J2811" s="128">
        <v>1.1389572715857486E-3</v>
      </c>
      <c r="K2811" s="128"/>
      <c r="L2811" s="128">
        <v>3.6600000000000001E-2</v>
      </c>
      <c r="O2811" s="2"/>
    </row>
    <row r="2812" spans="2:15" x14ac:dyDescent="0.2">
      <c r="B2812" s="1">
        <v>2797</v>
      </c>
      <c r="C2812" s="5">
        <f ca="1"/>
        <v>0.42507362708170182</v>
      </c>
      <c r="D2812" s="5">
        <f ca="1">S0*EXP((μ-0.5*σ*σ)*T+σ*SQRT(T)*$C2812)</f>
        <v>0.69294482638079546</v>
      </c>
      <c r="E2812" s="5">
        <f ca="1">MAX(0,CP*(D2812-K))</f>
        <v>0</v>
      </c>
      <c r="F2812" s="4">
        <f ca="1">(CP*(D2812-K)&gt;0)*1</f>
        <v>0</v>
      </c>
      <c r="H2812" s="4">
        <v>2797</v>
      </c>
      <c r="I2812" s="3">
        <v>0.66762157920767817</v>
      </c>
      <c r="J2812" s="128">
        <v>1.221195418226383E-3</v>
      </c>
      <c r="K2812" s="128"/>
      <c r="L2812" s="128">
        <v>3.9600000000000003E-2</v>
      </c>
      <c r="O2812" s="2"/>
    </row>
    <row r="2813" spans="2:15" x14ac:dyDescent="0.2">
      <c r="B2813" s="1">
        <v>2798</v>
      </c>
      <c r="C2813" s="5">
        <f ca="1"/>
        <v>-0.2511263422112065</v>
      </c>
      <c r="D2813" s="5">
        <f ca="1">S0*EXP((μ-0.5*σ*σ)*T+σ*SQRT(T)*$C2813)</f>
        <v>0.64825590686579226</v>
      </c>
      <c r="E2813" s="5">
        <f ca="1">MAX(0,CP*(D2813-K))</f>
        <v>0</v>
      </c>
      <c r="F2813" s="4">
        <f ca="1">(CP*(D2813-K)&gt;0)*1</f>
        <v>0</v>
      </c>
      <c r="H2813" s="4">
        <v>2798</v>
      </c>
      <c r="I2813" s="3">
        <v>0.66779131171300898</v>
      </c>
      <c r="J2813" s="128">
        <v>1.4776439250932044E-3</v>
      </c>
      <c r="K2813" s="128"/>
      <c r="L2813" s="128">
        <v>4.36E-2</v>
      </c>
      <c r="O2813" s="2"/>
    </row>
    <row r="2814" spans="2:15" x14ac:dyDescent="0.2">
      <c r="B2814" s="1">
        <v>2799</v>
      </c>
      <c r="C2814" s="5">
        <f ca="1"/>
        <v>0.39631412032457608</v>
      </c>
      <c r="D2814" s="5">
        <f ca="1">S0*EXP((μ-0.5*σ*σ)*T+σ*SQRT(T)*$C2814)</f>
        <v>0.69098288389210405</v>
      </c>
      <c r="E2814" s="5">
        <f ca="1">MAX(0,CP*(D2814-K))</f>
        <v>0</v>
      </c>
      <c r="F2814" s="4">
        <f ca="1">(CP*(D2814-K)&gt;0)*1</f>
        <v>0</v>
      </c>
      <c r="H2814" s="4">
        <v>2799</v>
      </c>
      <c r="I2814" s="3">
        <v>0.66778031916783953</v>
      </c>
      <c r="J2814" s="128">
        <v>1.3378614348013435E-3</v>
      </c>
      <c r="K2814" s="128"/>
      <c r="L2814" s="128">
        <v>4.3999999999999997E-2</v>
      </c>
      <c r="O2814" s="2"/>
    </row>
    <row r="2815" spans="2:15" x14ac:dyDescent="0.2">
      <c r="B2815" s="1">
        <v>2800</v>
      </c>
      <c r="C2815" s="5">
        <f ca="1"/>
        <v>-2.2693491447793677</v>
      </c>
      <c r="D2815" s="5">
        <f ca="1">S0*EXP((μ-0.5*σ*σ)*T+σ*SQRT(T)*$C2815)</f>
        <v>0.53129321186547129</v>
      </c>
      <c r="E2815" s="5">
        <f ca="1">MAX(0,CP*(D2815-K))</f>
        <v>0</v>
      </c>
      <c r="F2815" s="4">
        <f ca="1">(CP*(D2815-K)&gt;0)*1</f>
        <v>0</v>
      </c>
      <c r="H2815" s="4">
        <v>2800</v>
      </c>
      <c r="I2815" s="3">
        <v>0.66775364309361773</v>
      </c>
      <c r="J2815" s="128">
        <v>1.4287958139397757E-3</v>
      </c>
      <c r="K2815" s="128"/>
      <c r="L2815" s="128">
        <v>4.2599999999999999E-2</v>
      </c>
      <c r="O2815" s="2"/>
    </row>
    <row r="2816" spans="2:15" x14ac:dyDescent="0.2">
      <c r="B2816" s="1">
        <v>2801</v>
      </c>
      <c r="C2816" s="5">
        <f ca="1"/>
        <v>1.0066994873092799E-2</v>
      </c>
      <c r="D2816" s="5">
        <f ca="1">S0*EXP((μ-0.5*σ*σ)*T+σ*SQRT(T)*$C2816)</f>
        <v>0.66516552975920051</v>
      </c>
      <c r="E2816" s="5">
        <f ca="1">MAX(0,CP*(D2816-K))</f>
        <v>0</v>
      </c>
      <c r="F2816" s="4">
        <f ca="1">(CP*(D2816-K)&gt;0)*1</f>
        <v>0</v>
      </c>
      <c r="H2816" s="4">
        <v>2801</v>
      </c>
      <c r="I2816" s="3">
        <v>0.6675651822647698</v>
      </c>
      <c r="J2816" s="128">
        <v>1.2800410031821019E-3</v>
      </c>
      <c r="K2816" s="128"/>
      <c r="L2816" s="128">
        <v>3.7199999999999997E-2</v>
      </c>
      <c r="O2816" s="2"/>
    </row>
    <row r="2817" spans="2:15" x14ac:dyDescent="0.2">
      <c r="B2817" s="1">
        <v>2802</v>
      </c>
      <c r="C2817" s="5">
        <f ca="1"/>
        <v>-0.23822671257473019</v>
      </c>
      <c r="D2817" s="5">
        <f ca="1">S0*EXP((μ-0.5*σ*σ)*T+σ*SQRT(T)*$C2817)</f>
        <v>0.64908084547307288</v>
      </c>
      <c r="E2817" s="5">
        <f ca="1">MAX(0,CP*(D2817-K))</f>
        <v>0</v>
      </c>
      <c r="F2817" s="4">
        <f ca="1">(CP*(D2817-K)&gt;0)*1</f>
        <v>0</v>
      </c>
      <c r="H2817" s="4">
        <v>2802</v>
      </c>
      <c r="I2817" s="3">
        <v>0.66772901016259889</v>
      </c>
      <c r="J2817" s="128">
        <v>1.3550349433902222E-3</v>
      </c>
      <c r="K2817" s="128"/>
      <c r="L2817" s="128">
        <v>4.0399999999999998E-2</v>
      </c>
      <c r="O2817" s="2"/>
    </row>
    <row r="2818" spans="2:15" x14ac:dyDescent="0.2">
      <c r="B2818" s="1">
        <v>2803</v>
      </c>
      <c r="C2818" s="5">
        <f ca="1"/>
        <v>-0.44467321490644129</v>
      </c>
      <c r="D2818" s="5">
        <f ca="1">S0*EXP((μ-0.5*σ*σ)*T+σ*SQRT(T)*$C2818)</f>
        <v>0.63600361032762354</v>
      </c>
      <c r="E2818" s="5">
        <f ca="1">MAX(0,CP*(D2818-K))</f>
        <v>0</v>
      </c>
      <c r="F2818" s="4">
        <f ca="1">(CP*(D2818-K)&gt;0)*1</f>
        <v>0</v>
      </c>
      <c r="H2818" s="4">
        <v>2803</v>
      </c>
      <c r="I2818" s="3">
        <v>0.66774102029750004</v>
      </c>
      <c r="J2818" s="128">
        <v>1.3633945254043376E-3</v>
      </c>
      <c r="K2818" s="128"/>
      <c r="L2818" s="128">
        <v>4.2599999999999999E-2</v>
      </c>
      <c r="O2818" s="2"/>
    </row>
    <row r="2819" spans="2:15" x14ac:dyDescent="0.2">
      <c r="B2819" s="1">
        <v>2804</v>
      </c>
      <c r="C2819" s="5">
        <f ca="1"/>
        <v>1.0092039520402862</v>
      </c>
      <c r="D2819" s="5">
        <f ca="1">S0*EXP((μ-0.5*σ*σ)*T+σ*SQRT(T)*$C2819)</f>
        <v>0.73402149369285141</v>
      </c>
      <c r="E2819" s="5">
        <f ca="1">MAX(0,CP*(D2819-K))</f>
        <v>0</v>
      </c>
      <c r="F2819" s="4">
        <f ca="1">(CP*(D2819-K)&gt;0)*1</f>
        <v>0</v>
      </c>
      <c r="H2819" s="4">
        <v>2804</v>
      </c>
      <c r="I2819" s="3">
        <v>0.66769690115145841</v>
      </c>
      <c r="J2819" s="128">
        <v>1.2704296219568426E-3</v>
      </c>
      <c r="K2819" s="128"/>
      <c r="L2819" s="128">
        <v>4.2000000000000003E-2</v>
      </c>
      <c r="O2819" s="2"/>
    </row>
    <row r="2820" spans="2:15" x14ac:dyDescent="0.2">
      <c r="B2820" s="1">
        <v>2805</v>
      </c>
      <c r="C2820" s="5">
        <f ca="1"/>
        <v>0.69880747398478538</v>
      </c>
      <c r="D2820" s="5">
        <f ca="1">S0*EXP((μ-0.5*σ*σ)*T+σ*SQRT(T)*$C2820)</f>
        <v>0.71189975485559009</v>
      </c>
      <c r="E2820" s="5">
        <f ca="1">MAX(0,CP*(D2820-K))</f>
        <v>0</v>
      </c>
      <c r="F2820" s="4">
        <f ca="1">(CP*(D2820-K)&gt;0)*1</f>
        <v>0</v>
      </c>
      <c r="H2820" s="4">
        <v>2805</v>
      </c>
      <c r="I2820" s="3">
        <v>0.66768934365149069</v>
      </c>
      <c r="J2820" s="128">
        <v>1.3097993775083908E-3</v>
      </c>
      <c r="K2820" s="128"/>
      <c r="L2820" s="128">
        <v>3.6999999999999998E-2</v>
      </c>
      <c r="O2820" s="2"/>
    </row>
    <row r="2821" spans="2:15" x14ac:dyDescent="0.2">
      <c r="B2821" s="1">
        <v>2806</v>
      </c>
      <c r="C2821" s="5">
        <f ca="1"/>
        <v>-0.74744319766589484</v>
      </c>
      <c r="D2821" s="5">
        <f ca="1">S0*EXP((μ-0.5*σ*σ)*T+σ*SQRT(T)*$C2821)</f>
        <v>0.61729986667898995</v>
      </c>
      <c r="E2821" s="5">
        <f ca="1">MAX(0,CP*(D2821-K))</f>
        <v>0</v>
      </c>
      <c r="F2821" s="4">
        <f ca="1">(CP*(D2821-K)&gt;0)*1</f>
        <v>0</v>
      </c>
      <c r="H2821" s="4">
        <v>2806</v>
      </c>
      <c r="I2821" s="3">
        <v>0.6678558734996779</v>
      </c>
      <c r="J2821" s="128">
        <v>1.5806837913802127E-3</v>
      </c>
      <c r="K2821" s="128"/>
      <c r="L2821" s="128">
        <v>4.6199999999999998E-2</v>
      </c>
      <c r="O2821" s="2"/>
    </row>
    <row r="2822" spans="2:15" x14ac:dyDescent="0.2">
      <c r="B2822" s="1">
        <v>2807</v>
      </c>
      <c r="C2822" s="5">
        <f ca="1"/>
        <v>-0.75939263443291205</v>
      </c>
      <c r="D2822" s="5">
        <f ca="1">S0*EXP((μ-0.5*σ*σ)*T+σ*SQRT(T)*$C2822)</f>
        <v>0.616573075662184</v>
      </c>
      <c r="E2822" s="5">
        <f ca="1">MAX(0,CP*(D2822-K))</f>
        <v>0</v>
      </c>
      <c r="F2822" s="4">
        <f ca="1">(CP*(D2822-K)&gt;0)*1</f>
        <v>0</v>
      </c>
      <c r="H2822" s="4">
        <v>2807</v>
      </c>
      <c r="I2822" s="3">
        <v>0.66767835599351888</v>
      </c>
      <c r="J2822" s="128">
        <v>1.3851464606323305E-3</v>
      </c>
      <c r="K2822" s="128"/>
      <c r="L2822" s="128">
        <v>3.8600000000000002E-2</v>
      </c>
      <c r="O2822" s="2"/>
    </row>
    <row r="2823" spans="2:15" x14ac:dyDescent="0.2">
      <c r="B2823" s="1">
        <v>2808</v>
      </c>
      <c r="C2823" s="5">
        <f ca="1"/>
        <v>-0.70753672486785968</v>
      </c>
      <c r="D2823" s="5">
        <f ca="1">S0*EXP((μ-0.5*σ*σ)*T+σ*SQRT(T)*$C2823)</f>
        <v>0.61973327979794857</v>
      </c>
      <c r="E2823" s="5">
        <f ca="1">MAX(0,CP*(D2823-K))</f>
        <v>0</v>
      </c>
      <c r="F2823" s="4">
        <f ca="1">(CP*(D2823-K)&gt;0)*1</f>
        <v>0</v>
      </c>
      <c r="H2823" s="4">
        <v>2808</v>
      </c>
      <c r="I2823" s="3">
        <v>0.66763871735902491</v>
      </c>
      <c r="J2823" s="128">
        <v>1.2928558945415533E-3</v>
      </c>
      <c r="K2823" s="128"/>
      <c r="L2823" s="128">
        <v>3.6999999999999998E-2</v>
      </c>
      <c r="O2823" s="2"/>
    </row>
    <row r="2824" spans="2:15" x14ac:dyDescent="0.2">
      <c r="B2824" s="1">
        <v>2809</v>
      </c>
      <c r="C2824" s="5">
        <f ca="1"/>
        <v>2.3044685475029381</v>
      </c>
      <c r="D2824" s="5">
        <f ca="1">S0*EXP((μ-0.5*σ*σ)*T+σ*SQRT(T)*$C2824)</f>
        <v>0.8340014744312213</v>
      </c>
      <c r="E2824" s="5">
        <f ca="1">MAX(0,CP*(D2824-K))</f>
        <v>4.580147443122129E-2</v>
      </c>
      <c r="F2824" s="4">
        <f ca="1">(CP*(D2824-K)&gt;0)*1</f>
        <v>1</v>
      </c>
      <c r="H2824" s="4">
        <v>2809</v>
      </c>
      <c r="I2824" s="3">
        <v>0.66759759920778416</v>
      </c>
      <c r="J2824" s="128">
        <v>1.0832801556916404E-3</v>
      </c>
      <c r="K2824" s="128"/>
      <c r="L2824" s="128">
        <v>4.0399999999999998E-2</v>
      </c>
      <c r="O2824" s="2"/>
    </row>
    <row r="2825" spans="2:15" x14ac:dyDescent="0.2">
      <c r="B2825" s="1">
        <v>2810</v>
      </c>
      <c r="C2825" s="5">
        <f ca="1"/>
        <v>1.0370195689517965</v>
      </c>
      <c r="D2825" s="5">
        <f ca="1">S0*EXP((μ-0.5*σ*σ)*T+σ*SQRT(T)*$C2825)</f>
        <v>0.73603714222612537</v>
      </c>
      <c r="E2825" s="5">
        <f ca="1">MAX(0,CP*(D2825-K))</f>
        <v>0</v>
      </c>
      <c r="F2825" s="4">
        <f ca="1">(CP*(D2825-K)&gt;0)*1</f>
        <v>0</v>
      </c>
      <c r="H2825" s="4">
        <v>2810</v>
      </c>
      <c r="I2825" s="3">
        <v>0.66776517379053679</v>
      </c>
      <c r="J2825" s="128">
        <v>1.3695005372387362E-3</v>
      </c>
      <c r="K2825" s="128"/>
      <c r="L2825" s="128">
        <v>3.9199999999999999E-2</v>
      </c>
      <c r="O2825" s="2"/>
    </row>
    <row r="2826" spans="2:15" x14ac:dyDescent="0.2">
      <c r="B2826" s="1">
        <v>2811</v>
      </c>
      <c r="C2826" s="5">
        <f ca="1"/>
        <v>-0.13320355413040869</v>
      </c>
      <c r="D2826" s="5">
        <f ca="1">S0*EXP((μ-0.5*σ*σ)*T+σ*SQRT(T)*$C2826)</f>
        <v>0.65583632005361303</v>
      </c>
      <c r="E2826" s="5">
        <f ca="1">MAX(0,CP*(D2826-K))</f>
        <v>0</v>
      </c>
      <c r="F2826" s="4">
        <f ca="1">(CP*(D2826-K)&gt;0)*1</f>
        <v>0</v>
      </c>
      <c r="H2826" s="4">
        <v>2811</v>
      </c>
      <c r="I2826" s="3">
        <v>0.66780285059438482</v>
      </c>
      <c r="J2826" s="128">
        <v>1.4379564610322202E-3</v>
      </c>
      <c r="K2826" s="128"/>
      <c r="L2826" s="128">
        <v>4.3400000000000001E-2</v>
      </c>
      <c r="O2826" s="2"/>
    </row>
    <row r="2827" spans="2:15" x14ac:dyDescent="0.2">
      <c r="B2827" s="1">
        <v>2812</v>
      </c>
      <c r="C2827" s="5">
        <f ca="1"/>
        <v>0.67661050004233247</v>
      </c>
      <c r="D2827" s="5">
        <f ca="1">S0*EXP((μ-0.5*σ*σ)*T+σ*SQRT(T)*$C2827)</f>
        <v>0.71034357700344763</v>
      </c>
      <c r="E2827" s="5">
        <f ca="1">MAX(0,CP*(D2827-K))</f>
        <v>0</v>
      </c>
      <c r="F2827" s="4">
        <f ca="1">(CP*(D2827-K)&gt;0)*1</f>
        <v>0</v>
      </c>
      <c r="H2827" s="4">
        <v>2812</v>
      </c>
      <c r="I2827" s="3">
        <v>0.66775542218731843</v>
      </c>
      <c r="J2827" s="128">
        <v>1.1857655152182009E-3</v>
      </c>
      <c r="K2827" s="128"/>
      <c r="L2827" s="128">
        <v>4.2999999999999997E-2</v>
      </c>
      <c r="O2827" s="2"/>
    </row>
    <row r="2828" spans="2:15" x14ac:dyDescent="0.2">
      <c r="B2828" s="1">
        <v>2813</v>
      </c>
      <c r="C2828" s="5">
        <f ca="1"/>
        <v>-9.5643539542020692E-2</v>
      </c>
      <c r="D2828" s="5">
        <f ca="1">S0*EXP((μ-0.5*σ*σ)*T+σ*SQRT(T)*$C2828)</f>
        <v>0.65826934896565581</v>
      </c>
      <c r="E2828" s="5">
        <f ca="1">MAX(0,CP*(D2828-K))</f>
        <v>0</v>
      </c>
      <c r="F2828" s="4">
        <f ca="1">(CP*(D2828-K)&gt;0)*1</f>
        <v>0</v>
      </c>
      <c r="H2828" s="4">
        <v>2813</v>
      </c>
      <c r="I2828" s="3">
        <v>0.66773417132220991</v>
      </c>
      <c r="J2828" s="128">
        <v>1.3628654518361559E-3</v>
      </c>
      <c r="K2828" s="128"/>
      <c r="L2828" s="128">
        <v>4.1599999999999998E-2</v>
      </c>
      <c r="O2828" s="2"/>
    </row>
    <row r="2829" spans="2:15" x14ac:dyDescent="0.2">
      <c r="B2829" s="1">
        <v>2814</v>
      </c>
      <c r="C2829" s="5">
        <f ca="1"/>
        <v>-0.28100352286764679</v>
      </c>
      <c r="D2829" s="5">
        <f ca="1">S0*EXP((μ-0.5*σ*σ)*T+σ*SQRT(T)*$C2829)</f>
        <v>0.64634926834612549</v>
      </c>
      <c r="E2829" s="5">
        <f ca="1">MAX(0,CP*(D2829-K))</f>
        <v>0</v>
      </c>
      <c r="F2829" s="4">
        <f ca="1">(CP*(D2829-K)&gt;0)*1</f>
        <v>0</v>
      </c>
      <c r="H2829" s="4">
        <v>2814</v>
      </c>
      <c r="I2829" s="3">
        <v>0.66759940318724553</v>
      </c>
      <c r="J2829" s="128">
        <v>1.3002512092707311E-3</v>
      </c>
      <c r="K2829" s="128"/>
      <c r="L2829" s="128">
        <v>3.9399999999999998E-2</v>
      </c>
      <c r="O2829" s="2"/>
    </row>
    <row r="2830" spans="2:15" x14ac:dyDescent="0.2">
      <c r="B2830" s="1">
        <v>2815</v>
      </c>
      <c r="C2830" s="5">
        <f ca="1"/>
        <v>-1.2320599342376388</v>
      </c>
      <c r="D2830" s="5">
        <f ca="1">S0*EXP((μ-0.5*σ*σ)*T+σ*SQRT(T)*$C2830)</f>
        <v>0.58850049956102557</v>
      </c>
      <c r="E2830" s="5">
        <f ca="1">MAX(0,CP*(D2830-K))</f>
        <v>0</v>
      </c>
      <c r="F2830" s="4">
        <f ca="1">(CP*(D2830-K)&gt;0)*1</f>
        <v>0</v>
      </c>
      <c r="H2830" s="4">
        <v>2815</v>
      </c>
      <c r="I2830" s="3">
        <v>0.66770255808881407</v>
      </c>
      <c r="J2830" s="128">
        <v>1.3441456007918504E-3</v>
      </c>
      <c r="K2830" s="128"/>
      <c r="L2830" s="128">
        <v>3.9800000000000002E-2</v>
      </c>
      <c r="O2830" s="2"/>
    </row>
    <row r="2831" spans="2:15" x14ac:dyDescent="0.2">
      <c r="B2831" s="1">
        <v>2816</v>
      </c>
      <c r="C2831" s="5">
        <f ca="1"/>
        <v>1.4145770969743749</v>
      </c>
      <c r="D2831" s="5">
        <f ca="1">S0*EXP((μ-0.5*σ*σ)*T+σ*SQRT(T)*$C2831)</f>
        <v>0.76395052086749704</v>
      </c>
      <c r="E2831" s="5">
        <f ca="1">MAX(0,CP*(D2831-K))</f>
        <v>0</v>
      </c>
      <c r="F2831" s="4">
        <f ca="1">(CP*(D2831-K)&gt;0)*1</f>
        <v>0</v>
      </c>
      <c r="H2831" s="4">
        <v>2816</v>
      </c>
      <c r="I2831" s="3">
        <v>0.66765376556619638</v>
      </c>
      <c r="J2831" s="128">
        <v>1.2765123688727265E-3</v>
      </c>
      <c r="K2831" s="128"/>
      <c r="L2831" s="128">
        <v>4.1200000000000001E-2</v>
      </c>
      <c r="O2831" s="2"/>
    </row>
    <row r="2832" spans="2:15" x14ac:dyDescent="0.2">
      <c r="B2832" s="1">
        <v>2817</v>
      </c>
      <c r="C2832" s="5">
        <f ca="1"/>
        <v>-2.5019110461919594</v>
      </c>
      <c r="D2832" s="5">
        <f ca="1">S0*EXP((μ-0.5*σ*σ)*T+σ*SQRT(T)*$C2832)</f>
        <v>0.51925046978525269</v>
      </c>
      <c r="E2832" s="5">
        <f ca="1">MAX(0,CP*(D2832-K))</f>
        <v>0</v>
      </c>
      <c r="F2832" s="4">
        <f ca="1">(CP*(D2832-K)&gt;0)*1</f>
        <v>0</v>
      </c>
      <c r="H2832" s="4">
        <v>2817</v>
      </c>
      <c r="I2832" s="3">
        <v>0.66770017468852416</v>
      </c>
      <c r="J2832" s="128">
        <v>1.3236855435948139E-3</v>
      </c>
      <c r="K2832" s="128"/>
      <c r="L2832" s="128">
        <v>4.0800000000000003E-2</v>
      </c>
      <c r="O2832" s="2"/>
    </row>
    <row r="2833" spans="2:15" x14ac:dyDescent="0.2">
      <c r="B2833" s="1">
        <v>2818</v>
      </c>
      <c r="C2833" s="5">
        <f ca="1"/>
        <v>2.4705814345748547E-2</v>
      </c>
      <c r="D2833" s="5">
        <f ca="1">S0*EXP((μ-0.5*σ*σ)*T+σ*SQRT(T)*$C2833)</f>
        <v>0.66612619247618665</v>
      </c>
      <c r="E2833" s="5">
        <f ca="1">MAX(0,CP*(D2833-K))</f>
        <v>0</v>
      </c>
      <c r="F2833" s="4">
        <f ca="1">(CP*(D2833-K)&gt;0)*1</f>
        <v>0</v>
      </c>
      <c r="H2833" s="4">
        <v>2818</v>
      </c>
      <c r="I2833" s="3">
        <v>0.66779747131741662</v>
      </c>
      <c r="J2833" s="128">
        <v>1.4898891665777927E-3</v>
      </c>
      <c r="K2833" s="128"/>
      <c r="L2833" s="128">
        <v>4.36E-2</v>
      </c>
      <c r="O2833" s="2"/>
    </row>
    <row r="2834" spans="2:15" x14ac:dyDescent="0.2">
      <c r="B2834" s="1">
        <v>2819</v>
      </c>
      <c r="C2834" s="5">
        <f ca="1"/>
        <v>-1.4643707094396283</v>
      </c>
      <c r="D2834" s="5">
        <f ca="1">S0*EXP((μ-0.5*σ*σ)*T+σ*SQRT(T)*$C2834)</f>
        <v>0.57517528858349198</v>
      </c>
      <c r="E2834" s="5">
        <f ca="1">MAX(0,CP*(D2834-K))</f>
        <v>0</v>
      </c>
      <c r="F2834" s="4">
        <f ca="1">(CP*(D2834-K)&gt;0)*1</f>
        <v>0</v>
      </c>
      <c r="H2834" s="4">
        <v>2819</v>
      </c>
      <c r="I2834" s="3">
        <v>0.66786528743376583</v>
      </c>
      <c r="J2834" s="128">
        <v>1.5656087148539137E-3</v>
      </c>
      <c r="K2834" s="128"/>
      <c r="L2834" s="128">
        <v>4.6199999999999998E-2</v>
      </c>
      <c r="O2834" s="2"/>
    </row>
    <row r="2835" spans="2:15" x14ac:dyDescent="0.2">
      <c r="B2835" s="1">
        <v>2820</v>
      </c>
      <c r="C2835" s="5">
        <f ca="1"/>
        <v>1.0890395056535431</v>
      </c>
      <c r="D2835" s="5">
        <f ca="1">S0*EXP((μ-0.5*σ*σ)*T+σ*SQRT(T)*$C2835)</f>
        <v>0.73982161503310384</v>
      </c>
      <c r="E2835" s="5">
        <f ca="1">MAX(0,CP*(D2835-K))</f>
        <v>0</v>
      </c>
      <c r="F2835" s="4">
        <f ca="1">(CP*(D2835-K)&gt;0)*1</f>
        <v>0</v>
      </c>
      <c r="H2835" s="4">
        <v>2820</v>
      </c>
      <c r="I2835" s="3">
        <v>0.66776694829849281</v>
      </c>
      <c r="J2835" s="128">
        <v>1.4034671544226553E-3</v>
      </c>
      <c r="K2835" s="128"/>
      <c r="L2835" s="128">
        <v>4.2000000000000003E-2</v>
      </c>
      <c r="O2835" s="2"/>
    </row>
    <row r="2836" spans="2:15" x14ac:dyDescent="0.2">
      <c r="B2836" s="1">
        <v>2821</v>
      </c>
      <c r="C2836" s="5">
        <f ca="1"/>
        <v>-0.3460291091178378</v>
      </c>
      <c r="D2836" s="5">
        <f ca="1">S0*EXP((μ-0.5*σ*σ)*T+σ*SQRT(T)*$C2836)</f>
        <v>0.64221896513903309</v>
      </c>
      <c r="E2836" s="5">
        <f ca="1">MAX(0,CP*(D2836-K))</f>
        <v>0</v>
      </c>
      <c r="F2836" s="4">
        <f ca="1">(CP*(D2836-K)&gt;0)*1</f>
        <v>0</v>
      </c>
      <c r="H2836" s="4">
        <v>2821</v>
      </c>
      <c r="I2836" s="3">
        <v>0.66774223174338887</v>
      </c>
      <c r="J2836" s="128">
        <v>1.3592776539621766E-3</v>
      </c>
      <c r="K2836" s="128"/>
      <c r="L2836" s="128">
        <v>0.04</v>
      </c>
      <c r="O2836" s="2"/>
    </row>
    <row r="2837" spans="2:15" x14ac:dyDescent="0.2">
      <c r="B2837" s="1">
        <v>2822</v>
      </c>
      <c r="C2837" s="5">
        <f ca="1"/>
        <v>1.5602585070570107</v>
      </c>
      <c r="D2837" s="5">
        <f ca="1">S0*EXP((μ-0.5*σ*σ)*T+σ*SQRT(T)*$C2837)</f>
        <v>0.77500182595030453</v>
      </c>
      <c r="E2837" s="5">
        <f ca="1">MAX(0,CP*(D2837-K))</f>
        <v>0</v>
      </c>
      <c r="F2837" s="4">
        <f ca="1">(CP*(D2837-K)&gt;0)*1</f>
        <v>0</v>
      </c>
      <c r="H2837" s="4">
        <v>2822</v>
      </c>
      <c r="I2837" s="3">
        <v>0.66783814465009506</v>
      </c>
      <c r="J2837" s="128">
        <v>1.4560866097463431E-3</v>
      </c>
      <c r="K2837" s="128"/>
      <c r="L2837" s="128">
        <v>4.4600000000000001E-2</v>
      </c>
      <c r="O2837" s="2"/>
    </row>
    <row r="2838" spans="2:15" x14ac:dyDescent="0.2">
      <c r="B2838" s="1">
        <v>2823</v>
      </c>
      <c r="C2838" s="5">
        <f ca="1"/>
        <v>1.3393704305366168</v>
      </c>
      <c r="D2838" s="5">
        <f ca="1">S0*EXP((μ-0.5*σ*σ)*T+σ*SQRT(T)*$C2838)</f>
        <v>0.7583072062714169</v>
      </c>
      <c r="E2838" s="5">
        <f ca="1">MAX(0,CP*(D2838-K))</f>
        <v>0</v>
      </c>
      <c r="F2838" s="4">
        <f ca="1">(CP*(D2838-K)&gt;0)*1</f>
        <v>0</v>
      </c>
      <c r="H2838" s="4">
        <v>2823</v>
      </c>
      <c r="I2838" s="3">
        <v>0.66782926813306198</v>
      </c>
      <c r="J2838" s="128">
        <v>1.4246558575922771E-3</v>
      </c>
      <c r="K2838" s="128"/>
      <c r="L2838" s="128">
        <v>4.5600000000000002E-2</v>
      </c>
      <c r="O2838" s="2"/>
    </row>
    <row r="2839" spans="2:15" x14ac:dyDescent="0.2">
      <c r="B2839" s="1">
        <v>2824</v>
      </c>
      <c r="C2839" s="5">
        <f ca="1"/>
        <v>1.7515067351057221</v>
      </c>
      <c r="D2839" s="5">
        <f ca="1">S0*EXP((μ-0.5*σ*σ)*T+σ*SQRT(T)*$C2839)</f>
        <v>0.78975286255627775</v>
      </c>
      <c r="E2839" s="5">
        <f ca="1">MAX(0,CP*(D2839-K))</f>
        <v>1.5528625562777343E-3</v>
      </c>
      <c r="F2839" s="4">
        <f ca="1">(CP*(D2839-K)&gt;0)*1</f>
        <v>1</v>
      </c>
      <c r="H2839" s="4">
        <v>2824</v>
      </c>
      <c r="I2839" s="3">
        <v>0.66756008903106734</v>
      </c>
      <c r="J2839" s="128">
        <v>1.1430860457491E-3</v>
      </c>
      <c r="K2839" s="128"/>
      <c r="L2839" s="128">
        <v>3.78E-2</v>
      </c>
      <c r="O2839" s="2"/>
    </row>
    <row r="2840" spans="2:15" x14ac:dyDescent="0.2">
      <c r="B2840" s="1">
        <v>2825</v>
      </c>
      <c r="C2840" s="5">
        <f ca="1"/>
        <v>1.4567754283247369</v>
      </c>
      <c r="D2840" s="5">
        <f ca="1">S0*EXP((μ-0.5*σ*σ)*T+σ*SQRT(T)*$C2840)</f>
        <v>0.76713534844244036</v>
      </c>
      <c r="E2840" s="5">
        <f ca="1">MAX(0,CP*(D2840-K))</f>
        <v>0</v>
      </c>
      <c r="F2840" s="4">
        <f ca="1">(CP*(D2840-K)&gt;0)*1</f>
        <v>0</v>
      </c>
      <c r="H2840" s="4">
        <v>2825</v>
      </c>
      <c r="I2840" s="3">
        <v>0.66759008245680918</v>
      </c>
      <c r="J2840" s="128">
        <v>1.0682498553571437E-3</v>
      </c>
      <c r="K2840" s="128"/>
      <c r="L2840" s="128">
        <v>3.8199999999999998E-2</v>
      </c>
      <c r="O2840" s="2"/>
    </row>
    <row r="2841" spans="2:15" x14ac:dyDescent="0.2">
      <c r="B2841" s="1">
        <v>2826</v>
      </c>
      <c r="C2841" s="5">
        <f ca="1"/>
        <v>-5.1210074833698049E-2</v>
      </c>
      <c r="D2841" s="5">
        <f ca="1">S0*EXP((μ-0.5*σ*σ)*T+σ*SQRT(T)*$C2841)</f>
        <v>0.6611592775558196</v>
      </c>
      <c r="E2841" s="5">
        <f ca="1">MAX(0,CP*(D2841-K))</f>
        <v>0</v>
      </c>
      <c r="F2841" s="4">
        <f ca="1">(CP*(D2841-K)&gt;0)*1</f>
        <v>0</v>
      </c>
      <c r="H2841" s="4">
        <v>2826</v>
      </c>
      <c r="I2841" s="3">
        <v>0.66768386215013165</v>
      </c>
      <c r="J2841" s="128">
        <v>1.2852945602253156E-3</v>
      </c>
      <c r="K2841" s="128"/>
      <c r="L2841" s="128">
        <v>4.1200000000000001E-2</v>
      </c>
      <c r="O2841" s="2"/>
    </row>
    <row r="2842" spans="2:15" x14ac:dyDescent="0.2">
      <c r="B2842" s="1">
        <v>2827</v>
      </c>
      <c r="C2842" s="5">
        <f ca="1"/>
        <v>-1.8350668101319803</v>
      </c>
      <c r="D2842" s="5">
        <f ca="1">S0*EXP((μ-0.5*σ*σ)*T+σ*SQRT(T)*$C2842)</f>
        <v>0.55453440593440628</v>
      </c>
      <c r="E2842" s="5">
        <f ca="1">MAX(0,CP*(D2842-K))</f>
        <v>0</v>
      </c>
      <c r="F2842" s="4">
        <f ca="1">(CP*(D2842-K)&gt;0)*1</f>
        <v>0</v>
      </c>
      <c r="H2842" s="4">
        <v>2827</v>
      </c>
      <c r="I2842" s="3">
        <v>0.66788583859100026</v>
      </c>
      <c r="J2842" s="128">
        <v>1.6301294964686547E-3</v>
      </c>
      <c r="K2842" s="128"/>
      <c r="L2842" s="128">
        <v>4.4200000000000003E-2</v>
      </c>
      <c r="O2842" s="2"/>
    </row>
    <row r="2843" spans="2:15" x14ac:dyDescent="0.2">
      <c r="B2843" s="1">
        <v>2828</v>
      </c>
      <c r="C2843" s="5">
        <f ca="1"/>
        <v>0.4175694932895827</v>
      </c>
      <c r="D2843" s="5">
        <f ca="1">S0*EXP((μ-0.5*σ*σ)*T+σ*SQRT(T)*$C2843)</f>
        <v>0.69243236598565427</v>
      </c>
      <c r="E2843" s="5">
        <f ca="1">MAX(0,CP*(D2843-K))</f>
        <v>0</v>
      </c>
      <c r="F2843" s="4">
        <f ca="1">(CP*(D2843-K)&gt;0)*1</f>
        <v>0</v>
      </c>
      <c r="H2843" s="4">
        <v>2828</v>
      </c>
      <c r="I2843" s="3">
        <v>0.66770771145600416</v>
      </c>
      <c r="J2843" s="128">
        <v>1.326317659293824E-3</v>
      </c>
      <c r="K2843" s="128"/>
      <c r="L2843" s="128">
        <v>4.1399999999999999E-2</v>
      </c>
      <c r="O2843" s="2"/>
    </row>
    <row r="2844" spans="2:15" x14ac:dyDescent="0.2">
      <c r="B2844" s="1">
        <v>2829</v>
      </c>
      <c r="C2844" s="5">
        <f ca="1"/>
        <v>-0.40011802780930328</v>
      </c>
      <c r="D2844" s="5">
        <f ca="1">S0*EXP((μ-0.5*σ*σ)*T+σ*SQRT(T)*$C2844)</f>
        <v>0.63880345384682202</v>
      </c>
      <c r="E2844" s="5">
        <f ca="1">MAX(0,CP*(D2844-K))</f>
        <v>0</v>
      </c>
      <c r="F2844" s="4">
        <f ca="1">(CP*(D2844-K)&gt;0)*1</f>
        <v>0</v>
      </c>
      <c r="H2844" s="4">
        <v>2829</v>
      </c>
      <c r="I2844" s="3">
        <v>0.66776180243844097</v>
      </c>
      <c r="J2844" s="128">
        <v>1.4948003893490197E-3</v>
      </c>
      <c r="K2844" s="128"/>
      <c r="L2844" s="128">
        <v>4.1599999999999998E-2</v>
      </c>
      <c r="O2844" s="2"/>
    </row>
    <row r="2845" spans="2:15" x14ac:dyDescent="0.2">
      <c r="B2845" s="1">
        <v>2830</v>
      </c>
      <c r="C2845" s="5">
        <f ca="1"/>
        <v>-0.3878633701656603</v>
      </c>
      <c r="D2845" s="5">
        <f ca="1">S0*EXP((μ-0.5*σ*σ)*T+σ*SQRT(T)*$C2845)</f>
        <v>0.63957569427355665</v>
      </c>
      <c r="E2845" s="5">
        <f ca="1">MAX(0,CP*(D2845-K))</f>
        <v>0</v>
      </c>
      <c r="F2845" s="4">
        <f ca="1">(CP*(D2845-K)&gt;0)*1</f>
        <v>0</v>
      </c>
      <c r="H2845" s="4">
        <v>2830</v>
      </c>
      <c r="I2845" s="3">
        <v>0.66779108952139687</v>
      </c>
      <c r="J2845" s="128">
        <v>1.5019916730113654E-3</v>
      </c>
      <c r="K2845" s="128"/>
      <c r="L2845" s="128">
        <v>4.4600000000000001E-2</v>
      </c>
      <c r="O2845" s="2"/>
    </row>
    <row r="2846" spans="2:15" x14ac:dyDescent="0.2">
      <c r="B2846" s="1">
        <v>2831</v>
      </c>
      <c r="C2846" s="5">
        <f ca="1"/>
        <v>-2.4772049202483903</v>
      </c>
      <c r="D2846" s="5">
        <f ca="1">S0*EXP((μ-0.5*σ*σ)*T+σ*SQRT(T)*$C2846)</f>
        <v>0.52051675718573764</v>
      </c>
      <c r="E2846" s="5">
        <f ca="1">MAX(0,CP*(D2846-K))</f>
        <v>0</v>
      </c>
      <c r="F2846" s="4">
        <f ca="1">(CP*(D2846-K)&gt;0)*1</f>
        <v>0</v>
      </c>
      <c r="H2846" s="4">
        <v>2831</v>
      </c>
      <c r="I2846" s="3">
        <v>0.66781261038988704</v>
      </c>
      <c r="J2846" s="128">
        <v>1.4923450753200169E-3</v>
      </c>
      <c r="K2846" s="128"/>
      <c r="L2846" s="128">
        <v>4.58E-2</v>
      </c>
      <c r="O2846" s="2"/>
    </row>
    <row r="2847" spans="2:15" x14ac:dyDescent="0.2">
      <c r="B2847" s="1">
        <v>2832</v>
      </c>
      <c r="C2847" s="5">
        <f ca="1"/>
        <v>-0.84801126951998185</v>
      </c>
      <c r="D2847" s="5">
        <f ca="1">S0*EXP((μ-0.5*σ*σ)*T+σ*SQRT(T)*$C2847)</f>
        <v>0.61120973272365564</v>
      </c>
      <c r="E2847" s="5">
        <f ca="1">MAX(0,CP*(D2847-K))</f>
        <v>0</v>
      </c>
      <c r="F2847" s="4">
        <f ca="1">(CP*(D2847-K)&gt;0)*1</f>
        <v>0</v>
      </c>
      <c r="H2847" s="4">
        <v>2832</v>
      </c>
      <c r="I2847" s="3">
        <v>0.66771527461121882</v>
      </c>
      <c r="J2847" s="128">
        <v>1.3570695729717786E-3</v>
      </c>
      <c r="K2847" s="128"/>
      <c r="L2847" s="128">
        <v>4.2999999999999997E-2</v>
      </c>
      <c r="O2847" s="2"/>
    </row>
    <row r="2848" spans="2:15" x14ac:dyDescent="0.2">
      <c r="B2848" s="1">
        <v>2833</v>
      </c>
      <c r="C2848" s="5">
        <f ca="1"/>
        <v>-1.241926584740038</v>
      </c>
      <c r="D2848" s="5">
        <f ca="1">S0*EXP((μ-0.5*σ*σ)*T+σ*SQRT(T)*$C2848)</f>
        <v>0.58792832691293184</v>
      </c>
      <c r="E2848" s="5">
        <f ca="1">MAX(0,CP*(D2848-K))</f>
        <v>0</v>
      </c>
      <c r="F2848" s="4">
        <f ca="1">(CP*(D2848-K)&gt;0)*1</f>
        <v>0</v>
      </c>
      <c r="H2848" s="4">
        <v>2833</v>
      </c>
      <c r="I2848" s="3">
        <v>0.66782278915969973</v>
      </c>
      <c r="J2848" s="128">
        <v>1.4314403995939462E-3</v>
      </c>
      <c r="K2848" s="128"/>
      <c r="L2848" s="128">
        <v>4.4200000000000003E-2</v>
      </c>
      <c r="O2848" s="2"/>
    </row>
    <row r="2849" spans="2:15" x14ac:dyDescent="0.2">
      <c r="B2849" s="1">
        <v>2834</v>
      </c>
      <c r="C2849" s="5">
        <f ca="1"/>
        <v>-0.31782033442287028</v>
      </c>
      <c r="D2849" s="5">
        <f ca="1">S0*EXP((μ-0.5*σ*σ)*T+σ*SQRT(T)*$C2849)</f>
        <v>0.6440074822620856</v>
      </c>
      <c r="E2849" s="5">
        <f ca="1">MAX(0,CP*(D2849-K))</f>
        <v>0</v>
      </c>
      <c r="F2849" s="4">
        <f ca="1">(CP*(D2849-K)&gt;0)*1</f>
        <v>0</v>
      </c>
      <c r="H2849" s="4">
        <v>2834</v>
      </c>
      <c r="I2849" s="3">
        <v>0.66768648283793774</v>
      </c>
      <c r="J2849" s="128">
        <v>1.3222409367752072E-3</v>
      </c>
      <c r="K2849" s="128"/>
      <c r="L2849" s="128">
        <v>3.9199999999999999E-2</v>
      </c>
      <c r="O2849" s="2"/>
    </row>
    <row r="2850" spans="2:15" x14ac:dyDescent="0.2">
      <c r="B2850" s="1">
        <v>2835</v>
      </c>
      <c r="C2850" s="5">
        <f ca="1"/>
        <v>0.33623240431645074</v>
      </c>
      <c r="D2850" s="5">
        <f ca="1">S0*EXP((μ-0.5*σ*σ)*T+σ*SQRT(T)*$C2850)</f>
        <v>0.68690207981762119</v>
      </c>
      <c r="E2850" s="5">
        <f ca="1">MAX(0,CP*(D2850-K))</f>
        <v>0</v>
      </c>
      <c r="F2850" s="4">
        <f ca="1">(CP*(D2850-K)&gt;0)*1</f>
        <v>0</v>
      </c>
      <c r="H2850" s="4">
        <v>2835</v>
      </c>
      <c r="I2850" s="3">
        <v>0.66787004510334469</v>
      </c>
      <c r="J2850" s="128">
        <v>1.4826059546846394E-3</v>
      </c>
      <c r="K2850" s="128"/>
      <c r="L2850" s="128">
        <v>4.6600000000000003E-2</v>
      </c>
      <c r="O2850" s="2"/>
    </row>
    <row r="2851" spans="2:15" x14ac:dyDescent="0.2">
      <c r="B2851" s="1">
        <v>2836</v>
      </c>
      <c r="C2851" s="5">
        <f ca="1"/>
        <v>-0.22155412647490411</v>
      </c>
      <c r="D2851" s="5">
        <f ca="1">S0*EXP((μ-0.5*σ*σ)*T+σ*SQRT(T)*$C2851)</f>
        <v>0.65014862221804948</v>
      </c>
      <c r="E2851" s="5">
        <f ca="1">MAX(0,CP*(D2851-K))</f>
        <v>0</v>
      </c>
      <c r="F2851" s="4">
        <f ca="1">(CP*(D2851-K)&gt;0)*1</f>
        <v>0</v>
      </c>
      <c r="H2851" s="4">
        <v>2836</v>
      </c>
      <c r="I2851" s="3">
        <v>0.66772577372333786</v>
      </c>
      <c r="J2851" s="128">
        <v>1.3344391975685819E-3</v>
      </c>
      <c r="K2851" s="128"/>
      <c r="L2851" s="128">
        <v>4.2599999999999999E-2</v>
      </c>
      <c r="O2851" s="2"/>
    </row>
    <row r="2852" spans="2:15" x14ac:dyDescent="0.2">
      <c r="B2852" s="1">
        <v>2837</v>
      </c>
      <c r="C2852" s="5">
        <f ca="1"/>
        <v>-0.29239416766907972</v>
      </c>
      <c r="D2852" s="5">
        <f ca="1">S0*EXP((μ-0.5*σ*σ)*T+σ*SQRT(T)*$C2852)</f>
        <v>0.64562384176777798</v>
      </c>
      <c r="E2852" s="5">
        <f ca="1">MAX(0,CP*(D2852-K))</f>
        <v>0</v>
      </c>
      <c r="F2852" s="4">
        <f ca="1">(CP*(D2852-K)&gt;0)*1</f>
        <v>0</v>
      </c>
      <c r="H2852" s="4">
        <v>2837</v>
      </c>
      <c r="I2852" s="3">
        <v>0.66764812734241363</v>
      </c>
      <c r="J2852" s="128">
        <v>1.2453033839239195E-3</v>
      </c>
      <c r="K2852" s="128"/>
      <c r="L2852" s="128">
        <v>4.2599999999999999E-2</v>
      </c>
      <c r="O2852" s="2"/>
    </row>
    <row r="2853" spans="2:15" x14ac:dyDescent="0.2">
      <c r="B2853" s="1">
        <v>2838</v>
      </c>
      <c r="C2853" s="5">
        <f ca="1"/>
        <v>-0.28798644384717309</v>
      </c>
      <c r="D2853" s="5">
        <f ca="1">S0*EXP((μ-0.5*σ*σ)*T+σ*SQRT(T)*$C2853)</f>
        <v>0.64590445621011594</v>
      </c>
      <c r="E2853" s="5">
        <f ca="1">MAX(0,CP*(D2853-K))</f>
        <v>0</v>
      </c>
      <c r="F2853" s="4">
        <f ca="1">(CP*(D2853-K)&gt;0)*1</f>
        <v>0</v>
      </c>
      <c r="H2853" s="4">
        <v>2838</v>
      </c>
      <c r="I2853" s="3">
        <v>0.66764289496689833</v>
      </c>
      <c r="J2853" s="128">
        <v>1.2220039299625344E-3</v>
      </c>
      <c r="K2853" s="128"/>
      <c r="L2853" s="128">
        <v>3.6799999999999999E-2</v>
      </c>
      <c r="O2853" s="2"/>
    </row>
    <row r="2854" spans="2:15" x14ac:dyDescent="0.2">
      <c r="B2854" s="1">
        <v>2839</v>
      </c>
      <c r="C2854" s="5">
        <f ca="1"/>
        <v>0.60918870695893246</v>
      </c>
      <c r="D2854" s="5">
        <f ca="1">S0*EXP((μ-0.5*σ*σ)*T+σ*SQRT(T)*$C2854)</f>
        <v>0.70563762047775225</v>
      </c>
      <c r="E2854" s="5">
        <f ca="1">MAX(0,CP*(D2854-K))</f>
        <v>0</v>
      </c>
      <c r="F2854" s="4">
        <f ca="1">(CP*(D2854-K)&gt;0)*1</f>
        <v>0</v>
      </c>
      <c r="H2854" s="4">
        <v>2839</v>
      </c>
      <c r="I2854" s="3">
        <v>0.66788133442411468</v>
      </c>
      <c r="J2854" s="128">
        <v>1.6202669688712402E-3</v>
      </c>
      <c r="K2854" s="128"/>
      <c r="L2854" s="128">
        <v>4.4600000000000001E-2</v>
      </c>
      <c r="O2854" s="2"/>
    </row>
    <row r="2855" spans="2:15" x14ac:dyDescent="0.2">
      <c r="B2855" s="1">
        <v>2840</v>
      </c>
      <c r="C2855" s="5">
        <f ca="1"/>
        <v>-1.3605936273129047</v>
      </c>
      <c r="D2855" s="5">
        <f ca="1">S0*EXP((μ-0.5*σ*σ)*T+σ*SQRT(T)*$C2855)</f>
        <v>0.58109018234826171</v>
      </c>
      <c r="E2855" s="5">
        <f ca="1">MAX(0,CP*(D2855-K))</f>
        <v>0</v>
      </c>
      <c r="F2855" s="4">
        <f ca="1">(CP*(D2855-K)&gt;0)*1</f>
        <v>0</v>
      </c>
      <c r="H2855" s="4">
        <v>2840</v>
      </c>
      <c r="I2855" s="3">
        <v>0.66771099125732558</v>
      </c>
      <c r="J2855" s="128">
        <v>1.2759476854235284E-3</v>
      </c>
      <c r="K2855" s="128"/>
      <c r="L2855" s="128">
        <v>3.6600000000000001E-2</v>
      </c>
      <c r="O2855" s="2"/>
    </row>
    <row r="2856" spans="2:15" x14ac:dyDescent="0.2">
      <c r="B2856" s="1">
        <v>2841</v>
      </c>
      <c r="C2856" s="5">
        <f ca="1"/>
        <v>0.20027185227945049</v>
      </c>
      <c r="D2856" s="5">
        <f ca="1">S0*EXP((μ-0.5*σ*σ)*T+σ*SQRT(T)*$C2856)</f>
        <v>0.67775627183130316</v>
      </c>
      <c r="E2856" s="5">
        <f ca="1">MAX(0,CP*(D2856-K))</f>
        <v>0</v>
      </c>
      <c r="F2856" s="4">
        <f ca="1">(CP*(D2856-K)&gt;0)*1</f>
        <v>0</v>
      </c>
      <c r="H2856" s="4">
        <v>2841</v>
      </c>
      <c r="I2856" s="3">
        <v>0.66761848937819923</v>
      </c>
      <c r="J2856" s="128">
        <v>1.3165812048812674E-3</v>
      </c>
      <c r="K2856" s="128"/>
      <c r="L2856" s="128">
        <v>4.0399999999999998E-2</v>
      </c>
      <c r="O2856" s="2"/>
    </row>
    <row r="2857" spans="2:15" x14ac:dyDescent="0.2">
      <c r="B2857" s="1">
        <v>2842</v>
      </c>
      <c r="C2857" s="5">
        <f ca="1"/>
        <v>-0.65173688392746143</v>
      </c>
      <c r="D2857" s="5">
        <f ca="1">S0*EXP((μ-0.5*σ*σ)*T+σ*SQRT(T)*$C2857)</f>
        <v>0.62315192956385301</v>
      </c>
      <c r="E2857" s="5">
        <f ca="1">MAX(0,CP*(D2857-K))</f>
        <v>0</v>
      </c>
      <c r="F2857" s="4">
        <f ca="1">(CP*(D2857-K)&gt;0)*1</f>
        <v>0</v>
      </c>
      <c r="H2857" s="4">
        <v>2842</v>
      </c>
      <c r="I2857" s="3">
        <v>0.66769906272064528</v>
      </c>
      <c r="J2857" s="128">
        <v>1.2655242519924177E-3</v>
      </c>
      <c r="K2857" s="128"/>
      <c r="L2857" s="128">
        <v>4.2599999999999999E-2</v>
      </c>
      <c r="O2857" s="2"/>
    </row>
    <row r="2858" spans="2:15" x14ac:dyDescent="0.2">
      <c r="B2858" s="1">
        <v>2843</v>
      </c>
      <c r="C2858" s="5">
        <f ca="1"/>
        <v>0.57778382464063793</v>
      </c>
      <c r="D2858" s="5">
        <f ca="1">S0*EXP((μ-0.5*σ*σ)*T+σ*SQRT(T)*$C2858)</f>
        <v>0.70345625480014962</v>
      </c>
      <c r="E2858" s="5">
        <f ca="1">MAX(0,CP*(D2858-K))</f>
        <v>0</v>
      </c>
      <c r="F2858" s="4">
        <f ca="1">(CP*(D2858-K)&gt;0)*1</f>
        <v>0</v>
      </c>
      <c r="H2858" s="4">
        <v>2843</v>
      </c>
      <c r="I2858" s="3">
        <v>0.66775093612711389</v>
      </c>
      <c r="J2858" s="128">
        <v>1.3517555214074147E-3</v>
      </c>
      <c r="K2858" s="128"/>
      <c r="L2858" s="128">
        <v>4.4999999999999998E-2</v>
      </c>
      <c r="O2858" s="2"/>
    </row>
    <row r="2859" spans="2:15" x14ac:dyDescent="0.2">
      <c r="B2859" s="1">
        <v>2844</v>
      </c>
      <c r="C2859" s="5">
        <f ca="1"/>
        <v>-2.0595099292192227</v>
      </c>
      <c r="D2859" s="5">
        <f ca="1">S0*EXP((μ-0.5*σ*σ)*T+σ*SQRT(T)*$C2859)</f>
        <v>0.54239882711632337</v>
      </c>
      <c r="E2859" s="5">
        <f ca="1">MAX(0,CP*(D2859-K))</f>
        <v>0</v>
      </c>
      <c r="F2859" s="4">
        <f ca="1">(CP*(D2859-K)&gt;0)*1</f>
        <v>0</v>
      </c>
      <c r="H2859" s="4">
        <v>2844</v>
      </c>
      <c r="I2859" s="3">
        <v>0.66786233814989948</v>
      </c>
      <c r="J2859" s="128">
        <v>1.5571832437664267E-3</v>
      </c>
      <c r="K2859" s="128"/>
      <c r="L2859" s="128">
        <v>4.2200000000000001E-2</v>
      </c>
      <c r="O2859" s="2"/>
    </row>
    <row r="2860" spans="2:15" x14ac:dyDescent="0.2">
      <c r="B2860" s="1">
        <v>2845</v>
      </c>
      <c r="C2860" s="5">
        <f ca="1"/>
        <v>0.23883501940160218</v>
      </c>
      <c r="D2860" s="5">
        <f ca="1">S0*EXP((μ-0.5*σ*σ)*T+σ*SQRT(T)*$C2860)</f>
        <v>0.68033790053989296</v>
      </c>
      <c r="E2860" s="5">
        <f ca="1">MAX(0,CP*(D2860-K))</f>
        <v>0</v>
      </c>
      <c r="F2860" s="4">
        <f ca="1">(CP*(D2860-K)&gt;0)*1</f>
        <v>0</v>
      </c>
      <c r="H2860" s="4">
        <v>2845</v>
      </c>
      <c r="I2860" s="3">
        <v>0.66748756149745048</v>
      </c>
      <c r="J2860" s="128">
        <v>1.0886465288582989E-3</v>
      </c>
      <c r="K2860" s="128"/>
      <c r="L2860" s="128">
        <v>3.5999999999999997E-2</v>
      </c>
      <c r="O2860" s="2"/>
    </row>
    <row r="2861" spans="2:15" x14ac:dyDescent="0.2">
      <c r="B2861" s="1">
        <v>2846</v>
      </c>
      <c r="C2861" s="5">
        <f ca="1"/>
        <v>-1.5610245442315354</v>
      </c>
      <c r="D2861" s="5">
        <f ca="1">S0*EXP((μ-0.5*σ*σ)*T+σ*SQRT(T)*$C2861)</f>
        <v>0.56972055546078826</v>
      </c>
      <c r="E2861" s="5">
        <f ca="1">MAX(0,CP*(D2861-K))</f>
        <v>0</v>
      </c>
      <c r="F2861" s="4">
        <f ca="1">(CP*(D2861-K)&gt;0)*1</f>
        <v>0</v>
      </c>
      <c r="H2861" s="4">
        <v>2846</v>
      </c>
      <c r="I2861" s="3">
        <v>0.66765876441949368</v>
      </c>
      <c r="J2861" s="128">
        <v>1.1586532782076882E-3</v>
      </c>
      <c r="K2861" s="128"/>
      <c r="L2861" s="128">
        <v>4.0599999999999997E-2</v>
      </c>
      <c r="O2861" s="2"/>
    </row>
    <row r="2862" spans="2:15" x14ac:dyDescent="0.2">
      <c r="B2862" s="1">
        <v>2847</v>
      </c>
      <c r="C2862" s="5">
        <f ca="1"/>
        <v>0.27091983466241459</v>
      </c>
      <c r="D2862" s="5">
        <f ca="1">S0*EXP((μ-0.5*σ*σ)*T+σ*SQRT(T)*$C2862)</f>
        <v>0.68249332586736877</v>
      </c>
      <c r="E2862" s="5">
        <f ca="1">MAX(0,CP*(D2862-K))</f>
        <v>0</v>
      </c>
      <c r="F2862" s="4">
        <f ca="1">(CP*(D2862-K)&gt;0)*1</f>
        <v>0</v>
      </c>
      <c r="H2862" s="4">
        <v>2847</v>
      </c>
      <c r="I2862" s="3">
        <v>0.66771168060969199</v>
      </c>
      <c r="J2862" s="128">
        <v>1.4313683838420483E-3</v>
      </c>
      <c r="K2862" s="128"/>
      <c r="L2862" s="128">
        <v>4.1799999999999997E-2</v>
      </c>
      <c r="O2862" s="2"/>
    </row>
    <row r="2863" spans="2:15" x14ac:dyDescent="0.2">
      <c r="B2863" s="1">
        <v>2848</v>
      </c>
      <c r="C2863" s="5">
        <f ca="1"/>
        <v>0.31155424592418179</v>
      </c>
      <c r="D2863" s="5">
        <f ca="1">S0*EXP((μ-0.5*σ*σ)*T+σ*SQRT(T)*$C2863)</f>
        <v>0.68523290779648283</v>
      </c>
      <c r="E2863" s="5">
        <f ca="1">MAX(0,CP*(D2863-K))</f>
        <v>0</v>
      </c>
      <c r="F2863" s="4">
        <f ca="1">(CP*(D2863-K)&gt;0)*1</f>
        <v>0</v>
      </c>
      <c r="H2863" s="4">
        <v>2848</v>
      </c>
      <c r="I2863" s="3">
        <v>0.66777236076878677</v>
      </c>
      <c r="J2863" s="128">
        <v>1.4342879538133606E-3</v>
      </c>
      <c r="K2863" s="128"/>
      <c r="L2863" s="128">
        <v>3.9399999999999998E-2</v>
      </c>
      <c r="O2863" s="2"/>
    </row>
    <row r="2864" spans="2:15" x14ac:dyDescent="0.2">
      <c r="B2864" s="1">
        <v>2849</v>
      </c>
      <c r="C2864" s="5">
        <f ca="1"/>
        <v>1.4480780484201163</v>
      </c>
      <c r="D2864" s="5">
        <f ca="1">S0*EXP((μ-0.5*σ*σ)*T+σ*SQRT(T)*$C2864)</f>
        <v>0.76647784811137865</v>
      </c>
      <c r="E2864" s="5">
        <f ca="1">MAX(0,CP*(D2864-K))</f>
        <v>0</v>
      </c>
      <c r="F2864" s="4">
        <f ca="1">(CP*(D2864-K)&gt;0)*1</f>
        <v>0</v>
      </c>
      <c r="H2864" s="4">
        <v>2849</v>
      </c>
      <c r="I2864" s="3">
        <v>0.66764641130364921</v>
      </c>
      <c r="J2864" s="128">
        <v>1.2022565020252752E-3</v>
      </c>
      <c r="K2864" s="128"/>
      <c r="L2864" s="128">
        <v>3.8199999999999998E-2</v>
      </c>
      <c r="O2864" s="2"/>
    </row>
    <row r="2865" spans="2:15" x14ac:dyDescent="0.2">
      <c r="B2865" s="1">
        <v>2850</v>
      </c>
      <c r="C2865" s="5">
        <f ca="1"/>
        <v>-1.018951630697716</v>
      </c>
      <c r="D2865" s="5">
        <f ca="1">S0*EXP((μ-0.5*σ*σ)*T+σ*SQRT(T)*$C2865)</f>
        <v>0.60099558234393402</v>
      </c>
      <c r="E2865" s="5">
        <f ca="1">MAX(0,CP*(D2865-K))</f>
        <v>0</v>
      </c>
      <c r="F2865" s="4">
        <f ca="1">(CP*(D2865-K)&gt;0)*1</f>
        <v>0</v>
      </c>
      <c r="H2865" s="4">
        <v>2850</v>
      </c>
      <c r="I2865" s="3">
        <v>0.66771147728556701</v>
      </c>
      <c r="J2865" s="128">
        <v>1.2822176976297196E-3</v>
      </c>
      <c r="K2865" s="128"/>
      <c r="L2865" s="128">
        <v>4.2200000000000001E-2</v>
      </c>
      <c r="O2865" s="2"/>
    </row>
    <row r="2866" spans="2:15" x14ac:dyDescent="0.2">
      <c r="B2866" s="1">
        <v>2851</v>
      </c>
      <c r="C2866" s="5">
        <f ca="1"/>
        <v>-0.4985876286043377</v>
      </c>
      <c r="D2866" s="5">
        <f ca="1">S0*EXP((μ-0.5*σ*σ)*T+σ*SQRT(T)*$C2866)</f>
        <v>0.63263203785080424</v>
      </c>
      <c r="E2866" s="5">
        <f ca="1">MAX(0,CP*(D2866-K))</f>
        <v>0</v>
      </c>
      <c r="F2866" s="4">
        <f ca="1">(CP*(D2866-K)&gt;0)*1</f>
        <v>0</v>
      </c>
      <c r="H2866" s="4">
        <v>2851</v>
      </c>
      <c r="I2866" s="3">
        <v>0.66765053116908202</v>
      </c>
      <c r="J2866" s="128">
        <v>1.3440961827260042E-3</v>
      </c>
      <c r="K2866" s="128"/>
      <c r="L2866" s="128">
        <v>3.8800000000000001E-2</v>
      </c>
      <c r="O2866" s="2"/>
    </row>
    <row r="2867" spans="2:15" x14ac:dyDescent="0.2">
      <c r="B2867" s="1">
        <v>2852</v>
      </c>
      <c r="C2867" s="5">
        <f ca="1"/>
        <v>-0.71988832555504623</v>
      </c>
      <c r="D2867" s="5">
        <f ca="1">S0*EXP((μ-0.5*σ*σ)*T+σ*SQRT(T)*$C2867)</f>
        <v>0.61897908178160843</v>
      </c>
      <c r="E2867" s="5">
        <f ca="1">MAX(0,CP*(D2867-K))</f>
        <v>0</v>
      </c>
      <c r="F2867" s="4">
        <f ca="1">(CP*(D2867-K)&gt;0)*1</f>
        <v>0</v>
      </c>
      <c r="H2867" s="4">
        <v>2852</v>
      </c>
      <c r="I2867" s="3">
        <v>0.66775195419194711</v>
      </c>
      <c r="J2867" s="128">
        <v>1.4543484143051484E-3</v>
      </c>
      <c r="K2867" s="128"/>
      <c r="L2867" s="128">
        <v>4.2200000000000001E-2</v>
      </c>
      <c r="O2867" s="2"/>
    </row>
    <row r="2868" spans="2:15" x14ac:dyDescent="0.2">
      <c r="B2868" s="1">
        <v>2853</v>
      </c>
      <c r="C2868" s="5">
        <f ca="1"/>
        <v>0.99286103921276736</v>
      </c>
      <c r="D2868" s="5">
        <f ca="1">S0*EXP((μ-0.5*σ*σ)*T+σ*SQRT(T)*$C2868)</f>
        <v>0.73283978579026032</v>
      </c>
      <c r="E2868" s="5">
        <f ca="1">MAX(0,CP*(D2868-K))</f>
        <v>0</v>
      </c>
      <c r="F2868" s="4">
        <f ca="1">(CP*(D2868-K)&gt;0)*1</f>
        <v>0</v>
      </c>
      <c r="H2868" s="4">
        <v>2853</v>
      </c>
      <c r="I2868" s="3">
        <v>0.66763351047059716</v>
      </c>
      <c r="J2868" s="128">
        <v>1.2826048700862779E-3</v>
      </c>
      <c r="K2868" s="128"/>
      <c r="L2868" s="128">
        <v>4.1599999999999998E-2</v>
      </c>
      <c r="O2868" s="2"/>
    </row>
    <row r="2869" spans="2:15" x14ac:dyDescent="0.2">
      <c r="B2869" s="1">
        <v>2854</v>
      </c>
      <c r="C2869" s="5">
        <f ca="1"/>
        <v>-0.48353053375467381</v>
      </c>
      <c r="D2869" s="5">
        <f ca="1">S0*EXP((μ-0.5*σ*σ)*T+σ*SQRT(T)*$C2869)</f>
        <v>0.63357184007947587</v>
      </c>
      <c r="E2869" s="5">
        <f ca="1">MAX(0,CP*(D2869-K))</f>
        <v>0</v>
      </c>
      <c r="F2869" s="4">
        <f ca="1">(CP*(D2869-K)&gt;0)*1</f>
        <v>0</v>
      </c>
      <c r="H2869" s="4">
        <v>2854</v>
      </c>
      <c r="I2869" s="3">
        <v>0.66768504476397528</v>
      </c>
      <c r="J2869" s="128">
        <v>1.218971921173685E-3</v>
      </c>
      <c r="K2869" s="128"/>
      <c r="L2869" s="128">
        <v>4.0399999999999998E-2</v>
      </c>
      <c r="O2869" s="2"/>
    </row>
    <row r="2870" spans="2:15" x14ac:dyDescent="0.2">
      <c r="B2870" s="1">
        <v>2855</v>
      </c>
      <c r="C2870" s="5">
        <f ca="1"/>
        <v>0.69231144631625408</v>
      </c>
      <c r="D2870" s="5">
        <f ca="1">S0*EXP((μ-0.5*σ*σ)*T+σ*SQRT(T)*$C2870)</f>
        <v>0.71144398104074191</v>
      </c>
      <c r="E2870" s="5">
        <f ca="1">MAX(0,CP*(D2870-K))</f>
        <v>0</v>
      </c>
      <c r="F2870" s="4">
        <f ca="1">(CP*(D2870-K)&gt;0)*1</f>
        <v>0</v>
      </c>
      <c r="H2870" s="4">
        <v>2855</v>
      </c>
      <c r="I2870" s="3">
        <v>0.66784504978455828</v>
      </c>
      <c r="J2870" s="128">
        <v>1.3938255657026946E-3</v>
      </c>
      <c r="K2870" s="128"/>
      <c r="L2870" s="128">
        <v>4.0800000000000003E-2</v>
      </c>
      <c r="O2870" s="2"/>
    </row>
    <row r="2871" spans="2:15" x14ac:dyDescent="0.2">
      <c r="B2871" s="1">
        <v>2856</v>
      </c>
      <c r="C2871" s="5">
        <f ca="1"/>
        <v>0.35248788010493437</v>
      </c>
      <c r="D2871" s="5">
        <f ca="1">S0*EXP((μ-0.5*σ*σ)*T+σ*SQRT(T)*$C2871)</f>
        <v>0.68800378218107339</v>
      </c>
      <c r="E2871" s="5">
        <f ca="1">MAX(0,CP*(D2871-K))</f>
        <v>0</v>
      </c>
      <c r="F2871" s="4">
        <f ca="1">(CP*(D2871-K)&gt;0)*1</f>
        <v>0</v>
      </c>
      <c r="H2871" s="4">
        <v>2856</v>
      </c>
      <c r="I2871" s="3">
        <v>0.66762009528217792</v>
      </c>
      <c r="J2871" s="128">
        <v>1.191265609469637E-3</v>
      </c>
      <c r="K2871" s="128"/>
      <c r="L2871" s="128">
        <v>3.9E-2</v>
      </c>
      <c r="O2871" s="2"/>
    </row>
    <row r="2872" spans="2:15" x14ac:dyDescent="0.2">
      <c r="B2872" s="1">
        <v>2857</v>
      </c>
      <c r="C2872" s="5">
        <f ca="1"/>
        <v>-0.66477694880614069</v>
      </c>
      <c r="D2872" s="5">
        <f ca="1">S0*EXP((μ-0.5*σ*σ)*T+σ*SQRT(T)*$C2872)</f>
        <v>0.62235132827470896</v>
      </c>
      <c r="E2872" s="5">
        <f ca="1">MAX(0,CP*(D2872-K))</f>
        <v>0</v>
      </c>
      <c r="F2872" s="4">
        <f ca="1">(CP*(D2872-K)&gt;0)*1</f>
        <v>0</v>
      </c>
      <c r="H2872" s="4">
        <v>2857</v>
      </c>
      <c r="I2872" s="3">
        <v>0.66769037483725824</v>
      </c>
      <c r="J2872" s="128">
        <v>1.2430284546381056E-3</v>
      </c>
      <c r="K2872" s="128"/>
      <c r="L2872" s="128">
        <v>4.1200000000000001E-2</v>
      </c>
      <c r="O2872" s="2"/>
    </row>
    <row r="2873" spans="2:15" x14ac:dyDescent="0.2">
      <c r="B2873" s="1">
        <v>2858</v>
      </c>
      <c r="C2873" s="5">
        <f ca="1"/>
        <v>0.47417502866233191</v>
      </c>
      <c r="D2873" s="5">
        <f ca="1">S0*EXP((μ-0.5*σ*σ)*T+σ*SQRT(T)*$C2873)</f>
        <v>0.6963073539433593</v>
      </c>
      <c r="E2873" s="5">
        <f ca="1">MAX(0,CP*(D2873-K))</f>
        <v>0</v>
      </c>
      <c r="F2873" s="4">
        <f ca="1">(CP*(D2873-K)&gt;0)*1</f>
        <v>0</v>
      </c>
      <c r="H2873" s="4">
        <v>2858</v>
      </c>
      <c r="I2873" s="3">
        <v>0.66767854866981347</v>
      </c>
      <c r="J2873" s="128">
        <v>1.4127971997970005E-3</v>
      </c>
      <c r="K2873" s="128"/>
      <c r="L2873" s="128">
        <v>4.5400000000000003E-2</v>
      </c>
      <c r="O2873" s="2"/>
    </row>
    <row r="2874" spans="2:15" x14ac:dyDescent="0.2">
      <c r="B2874" s="1">
        <v>2859</v>
      </c>
      <c r="C2874" s="5">
        <f ca="1"/>
        <v>1.1948300388019215</v>
      </c>
      <c r="D2874" s="5">
        <f ca="1">S0*EXP((μ-0.5*σ*σ)*T+σ*SQRT(T)*$C2874)</f>
        <v>0.74757805211448969</v>
      </c>
      <c r="E2874" s="5">
        <f ca="1">MAX(0,CP*(D2874-K))</f>
        <v>0</v>
      </c>
      <c r="F2874" s="4">
        <f ca="1">(CP*(D2874-K)&gt;0)*1</f>
        <v>0</v>
      </c>
      <c r="H2874" s="4">
        <v>2859</v>
      </c>
      <c r="I2874" s="3">
        <v>0.6677572135861719</v>
      </c>
      <c r="J2874" s="128">
        <v>1.3755271613153923E-3</v>
      </c>
      <c r="K2874" s="128"/>
      <c r="L2874" s="128">
        <v>4.3999999999999997E-2</v>
      </c>
      <c r="O2874" s="2"/>
    </row>
    <row r="2875" spans="2:15" x14ac:dyDescent="0.2">
      <c r="B2875" s="1">
        <v>2860</v>
      </c>
      <c r="C2875" s="5">
        <f ca="1"/>
        <v>2.9305383031292687</v>
      </c>
      <c r="D2875" s="5">
        <f ca="1">S0*EXP((μ-0.5*σ*σ)*T+σ*SQRT(T)*$C2875)</f>
        <v>0.88710007790828294</v>
      </c>
      <c r="E2875" s="5">
        <f ca="1">MAX(0,CP*(D2875-K))</f>
        <v>9.8900077908282924E-2</v>
      </c>
      <c r="F2875" s="4">
        <f ca="1">(CP*(D2875-K)&gt;0)*1</f>
        <v>1</v>
      </c>
      <c r="H2875" s="4">
        <v>2860</v>
      </c>
      <c r="I2875" s="3">
        <v>0.66774760252173859</v>
      </c>
      <c r="J2875" s="128">
        <v>1.2852181092262358E-3</v>
      </c>
      <c r="K2875" s="128"/>
      <c r="L2875" s="128">
        <v>4.1000000000000002E-2</v>
      </c>
      <c r="O2875" s="2"/>
    </row>
    <row r="2876" spans="2:15" x14ac:dyDescent="0.2">
      <c r="B2876" s="1">
        <v>2861</v>
      </c>
      <c r="C2876" s="5">
        <f ca="1"/>
        <v>-0.60991162857090575</v>
      </c>
      <c r="D2876" s="5">
        <f ca="1">S0*EXP((μ-0.5*σ*σ)*T+σ*SQRT(T)*$C2876)</f>
        <v>0.62572676791089987</v>
      </c>
      <c r="E2876" s="5">
        <f ca="1">MAX(0,CP*(D2876-K))</f>
        <v>0</v>
      </c>
      <c r="F2876" s="4">
        <f ca="1">(CP*(D2876-K)&gt;0)*1</f>
        <v>0</v>
      </c>
      <c r="H2876" s="4">
        <v>2861</v>
      </c>
      <c r="I2876" s="3">
        <v>0.66772144150359292</v>
      </c>
      <c r="J2876" s="128">
        <v>1.4162900972589088E-3</v>
      </c>
      <c r="K2876" s="128"/>
      <c r="L2876" s="128">
        <v>4.3200000000000002E-2</v>
      </c>
      <c r="O2876" s="2"/>
    </row>
    <row r="2877" spans="2:15" x14ac:dyDescent="0.2">
      <c r="B2877" s="1">
        <v>2862</v>
      </c>
      <c r="C2877" s="5">
        <f ca="1"/>
        <v>-1.0725441728185912</v>
      </c>
      <c r="D2877" s="5">
        <f ca="1">S0*EXP((μ-0.5*σ*σ)*T+σ*SQRT(T)*$C2877)</f>
        <v>0.5978285641787372</v>
      </c>
      <c r="E2877" s="5">
        <f ca="1">MAX(0,CP*(D2877-K))</f>
        <v>0</v>
      </c>
      <c r="F2877" s="4">
        <f ca="1">(CP*(D2877-K)&gt;0)*1</f>
        <v>0</v>
      </c>
      <c r="H2877" s="4">
        <v>2862</v>
      </c>
      <c r="I2877" s="3">
        <v>0.6677853748842596</v>
      </c>
      <c r="J2877" s="128">
        <v>1.3591443309641286E-3</v>
      </c>
      <c r="K2877" s="128"/>
      <c r="L2877" s="128">
        <v>4.2999999999999997E-2</v>
      </c>
      <c r="O2877" s="2"/>
    </row>
    <row r="2878" spans="2:15" x14ac:dyDescent="0.2">
      <c r="B2878" s="1">
        <v>2863</v>
      </c>
      <c r="C2878" s="5">
        <f ca="1"/>
        <v>2.1730167041571082</v>
      </c>
      <c r="D2878" s="5">
        <f ca="1">S0*EXP((μ-0.5*σ*σ)*T+σ*SQRT(T)*$C2878)</f>
        <v>0.82326296165903834</v>
      </c>
      <c r="E2878" s="5">
        <f ca="1">MAX(0,CP*(D2878-K))</f>
        <v>3.5062961659038328E-2</v>
      </c>
      <c r="F2878" s="4">
        <f ca="1">(CP*(D2878-K)&gt;0)*1</f>
        <v>1</v>
      </c>
      <c r="H2878" s="4">
        <v>2863</v>
      </c>
      <c r="I2878" s="3">
        <v>0.66769750358911129</v>
      </c>
      <c r="J2878" s="128">
        <v>1.3066107461819491E-3</v>
      </c>
      <c r="K2878" s="128"/>
      <c r="L2878" s="128">
        <v>4.24E-2</v>
      </c>
      <c r="O2878" s="2"/>
    </row>
    <row r="2879" spans="2:15" x14ac:dyDescent="0.2">
      <c r="B2879" s="1">
        <v>2864</v>
      </c>
      <c r="C2879" s="5">
        <f ca="1"/>
        <v>0.36993293568073976</v>
      </c>
      <c r="D2879" s="5">
        <f ca="1">S0*EXP((μ-0.5*σ*σ)*T+σ*SQRT(T)*$C2879)</f>
        <v>0.68918807315908792</v>
      </c>
      <c r="E2879" s="5">
        <f ca="1">MAX(0,CP*(D2879-K))</f>
        <v>0</v>
      </c>
      <c r="F2879" s="4">
        <f ca="1">(CP*(D2879-K)&gt;0)*1</f>
        <v>0</v>
      </c>
      <c r="H2879" s="4">
        <v>2864</v>
      </c>
      <c r="I2879" s="3">
        <v>0.66786805947948014</v>
      </c>
      <c r="J2879" s="128">
        <v>1.3698608049748104E-3</v>
      </c>
      <c r="K2879" s="128"/>
      <c r="L2879" s="128">
        <v>4.58E-2</v>
      </c>
      <c r="O2879" s="2"/>
    </row>
    <row r="2880" spans="2:15" x14ac:dyDescent="0.2">
      <c r="B2880" s="1">
        <v>2865</v>
      </c>
      <c r="C2880" s="5">
        <f ca="1"/>
        <v>-0.35028022017196098</v>
      </c>
      <c r="D2880" s="5">
        <f ca="1">S0*EXP((μ-0.5*σ*σ)*T+σ*SQRT(T)*$C2880)</f>
        <v>0.64194986353107886</v>
      </c>
      <c r="E2880" s="5">
        <f ca="1">MAX(0,CP*(D2880-K))</f>
        <v>0</v>
      </c>
      <c r="F2880" s="4">
        <f ca="1">(CP*(D2880-K)&gt;0)*1</f>
        <v>0</v>
      </c>
      <c r="H2880" s="4">
        <v>2865</v>
      </c>
      <c r="I2880" s="3">
        <v>0.66778386288573877</v>
      </c>
      <c r="J2880" s="128">
        <v>1.4511742103434512E-3</v>
      </c>
      <c r="K2880" s="128"/>
      <c r="L2880" s="128">
        <v>4.36E-2</v>
      </c>
      <c r="O2880" s="2"/>
    </row>
    <row r="2881" spans="2:15" x14ac:dyDescent="0.2">
      <c r="B2881" s="1">
        <v>2866</v>
      </c>
      <c r="C2881" s="5">
        <f ca="1"/>
        <v>-1.0949987442471267</v>
      </c>
      <c r="D2881" s="5">
        <f ca="1">S0*EXP((μ-0.5*σ*σ)*T+σ*SQRT(T)*$C2881)</f>
        <v>0.59650659133449735</v>
      </c>
      <c r="E2881" s="5">
        <f ca="1">MAX(0,CP*(D2881-K))</f>
        <v>0</v>
      </c>
      <c r="F2881" s="4">
        <f ca="1">(CP*(D2881-K)&gt;0)*1</f>
        <v>0</v>
      </c>
      <c r="H2881" s="4">
        <v>2866</v>
      </c>
      <c r="I2881" s="3">
        <v>0.66768660572097283</v>
      </c>
      <c r="J2881" s="128">
        <v>1.3193132028252634E-3</v>
      </c>
      <c r="K2881" s="128"/>
      <c r="L2881" s="128">
        <v>4.3799999999999999E-2</v>
      </c>
      <c r="O2881" s="2"/>
    </row>
    <row r="2882" spans="2:15" x14ac:dyDescent="0.2">
      <c r="B2882" s="1">
        <v>2867</v>
      </c>
      <c r="C2882" s="5">
        <f ca="1"/>
        <v>0.7903555733951152</v>
      </c>
      <c r="D2882" s="5">
        <f ca="1">S0*EXP((μ-0.5*σ*σ)*T+σ*SQRT(T)*$C2882)</f>
        <v>0.71835408582936544</v>
      </c>
      <c r="E2882" s="5">
        <f ca="1">MAX(0,CP*(D2882-K))</f>
        <v>0</v>
      </c>
      <c r="F2882" s="4">
        <f ca="1">(CP*(D2882-K)&gt;0)*1</f>
        <v>0</v>
      </c>
      <c r="H2882" s="4">
        <v>2867</v>
      </c>
      <c r="I2882" s="3">
        <v>0.66774393904202778</v>
      </c>
      <c r="J2882" s="128">
        <v>1.3252689334130488E-3</v>
      </c>
      <c r="K2882" s="128"/>
      <c r="L2882" s="128">
        <v>4.1399999999999999E-2</v>
      </c>
      <c r="O2882" s="2"/>
    </row>
    <row r="2883" spans="2:15" x14ac:dyDescent="0.2">
      <c r="B2883" s="1">
        <v>2868</v>
      </c>
      <c r="C2883" s="5">
        <f ca="1"/>
        <v>-0.21757085443517607</v>
      </c>
      <c r="D2883" s="5">
        <f ca="1">S0*EXP((μ-0.5*σ*σ)*T+σ*SQRT(T)*$C2883)</f>
        <v>0.65040398618222517</v>
      </c>
      <c r="E2883" s="5">
        <f ca="1">MAX(0,CP*(D2883-K))</f>
        <v>0</v>
      </c>
      <c r="F2883" s="4">
        <f ca="1">(CP*(D2883-K)&gt;0)*1</f>
        <v>0</v>
      </c>
      <c r="H2883" s="4">
        <v>2868</v>
      </c>
      <c r="I2883" s="3">
        <v>0.66753932271452598</v>
      </c>
      <c r="J2883" s="128">
        <v>1.1994615326017676E-3</v>
      </c>
      <c r="K2883" s="128"/>
      <c r="L2883" s="128">
        <v>3.5799999999999998E-2</v>
      </c>
      <c r="O2883" s="2"/>
    </row>
    <row r="2884" spans="2:15" x14ac:dyDescent="0.2">
      <c r="B2884" s="1">
        <v>2869</v>
      </c>
      <c r="C2884" s="5">
        <f ca="1"/>
        <v>0.44740073126553098</v>
      </c>
      <c r="D2884" s="5">
        <f ca="1">S0*EXP((μ-0.5*σ*σ)*T+σ*SQRT(T)*$C2884)</f>
        <v>0.69447179756800936</v>
      </c>
      <c r="E2884" s="5">
        <f ca="1">MAX(0,CP*(D2884-K))</f>
        <v>0</v>
      </c>
      <c r="F2884" s="4">
        <f ca="1">(CP*(D2884-K)&gt;0)*1</f>
        <v>0</v>
      </c>
      <c r="H2884" s="4">
        <v>2869</v>
      </c>
      <c r="I2884" s="3">
        <v>0.66768438499193072</v>
      </c>
      <c r="J2884" s="128">
        <v>1.2578495991229541E-3</v>
      </c>
      <c r="K2884" s="128"/>
      <c r="L2884" s="128">
        <v>3.9E-2</v>
      </c>
      <c r="O2884" s="2"/>
    </row>
    <row r="2885" spans="2:15" x14ac:dyDescent="0.2">
      <c r="B2885" s="1">
        <v>2870</v>
      </c>
      <c r="C2885" s="5">
        <f ca="1"/>
        <v>0.66792340781973658</v>
      </c>
      <c r="D2885" s="5">
        <f ca="1">S0*EXP((μ-0.5*σ*σ)*T+σ*SQRT(T)*$C2885)</f>
        <v>0.70973547189678798</v>
      </c>
      <c r="E2885" s="5">
        <f ca="1">MAX(0,CP*(D2885-K))</f>
        <v>0</v>
      </c>
      <c r="F2885" s="4">
        <f ca="1">(CP*(D2885-K)&gt;0)*1</f>
        <v>0</v>
      </c>
      <c r="H2885" s="4">
        <v>2870</v>
      </c>
      <c r="I2885" s="3">
        <v>0.66786873251504975</v>
      </c>
      <c r="J2885" s="128">
        <v>1.5140000164823194E-3</v>
      </c>
      <c r="K2885" s="128"/>
      <c r="L2885" s="128">
        <v>4.5999999999999999E-2</v>
      </c>
      <c r="O2885" s="2"/>
    </row>
    <row r="2886" spans="2:15" x14ac:dyDescent="0.2">
      <c r="B2886" s="1">
        <v>2871</v>
      </c>
      <c r="C2886" s="5">
        <f ca="1"/>
        <v>0.55517693758048126</v>
      </c>
      <c r="D2886" s="5">
        <f ca="1">S0*EXP((μ-0.5*σ*σ)*T+σ*SQRT(T)*$C2886)</f>
        <v>0.70189016845670182</v>
      </c>
      <c r="E2886" s="5">
        <f ca="1">MAX(0,CP*(D2886-K))</f>
        <v>0</v>
      </c>
      <c r="F2886" s="4">
        <f ca="1">(CP*(D2886-K)&gt;0)*1</f>
        <v>0</v>
      </c>
      <c r="H2886" s="4">
        <v>2871</v>
      </c>
      <c r="I2886" s="3">
        <v>0.66782183922805216</v>
      </c>
      <c r="J2886" s="128">
        <v>1.5262988074879957E-3</v>
      </c>
      <c r="K2886" s="128"/>
      <c r="L2886" s="128">
        <v>0.04</v>
      </c>
      <c r="O2886" s="2"/>
    </row>
    <row r="2887" spans="2:15" x14ac:dyDescent="0.2">
      <c r="B2887" s="1">
        <v>2872</v>
      </c>
      <c r="C2887" s="5">
        <f ca="1"/>
        <v>0.53917194403413449</v>
      </c>
      <c r="D2887" s="5">
        <f ca="1">S0*EXP((μ-0.5*σ*σ)*T+σ*SQRT(T)*$C2887)</f>
        <v>0.70078353500700608</v>
      </c>
      <c r="E2887" s="5">
        <f ca="1">MAX(0,CP*(D2887-K))</f>
        <v>0</v>
      </c>
      <c r="F2887" s="4">
        <f ca="1">(CP*(D2887-K)&gt;0)*1</f>
        <v>0</v>
      </c>
      <c r="H2887" s="4">
        <v>2872</v>
      </c>
      <c r="I2887" s="3">
        <v>0.66770510042038034</v>
      </c>
      <c r="J2887" s="128">
        <v>1.3163970290733216E-3</v>
      </c>
      <c r="K2887" s="128"/>
      <c r="L2887" s="128">
        <v>4.1599999999999998E-2</v>
      </c>
      <c r="O2887" s="2"/>
    </row>
    <row r="2888" spans="2:15" x14ac:dyDescent="0.2">
      <c r="B2888" s="1">
        <v>2873</v>
      </c>
      <c r="C2888" s="5">
        <f ca="1"/>
        <v>0.44797832143153155</v>
      </c>
      <c r="D2888" s="5">
        <f ca="1">S0*EXP((μ-0.5*σ*σ)*T+σ*SQRT(T)*$C2888)</f>
        <v>0.69451134410778415</v>
      </c>
      <c r="E2888" s="5">
        <f ca="1">MAX(0,CP*(D2888-K))</f>
        <v>0</v>
      </c>
      <c r="F2888" s="4">
        <f ca="1">(CP*(D2888-K)&gt;0)*1</f>
        <v>0</v>
      </c>
      <c r="H2888" s="4">
        <v>2873</v>
      </c>
      <c r="I2888" s="3">
        <v>0.66770413993691902</v>
      </c>
      <c r="J2888" s="128">
        <v>1.385510525920397E-3</v>
      </c>
      <c r="K2888" s="128"/>
      <c r="L2888" s="128">
        <v>4.1200000000000001E-2</v>
      </c>
      <c r="O2888" s="2"/>
    </row>
    <row r="2889" spans="2:15" x14ac:dyDescent="0.2">
      <c r="B2889" s="1">
        <v>2874</v>
      </c>
      <c r="C2889" s="5">
        <f ca="1"/>
        <v>-6.2241557591158583E-2</v>
      </c>
      <c r="D2889" s="5">
        <f ca="1">S0*EXP((μ-0.5*σ*σ)*T+σ*SQRT(T)*$C2889)</f>
        <v>0.66044061409090182</v>
      </c>
      <c r="E2889" s="5">
        <f ca="1">MAX(0,CP*(D2889-K))</f>
        <v>0</v>
      </c>
      <c r="F2889" s="4">
        <f ca="1">(CP*(D2889-K)&gt;0)*1</f>
        <v>0</v>
      </c>
      <c r="H2889" s="4">
        <v>2874</v>
      </c>
      <c r="I2889" s="3">
        <v>0.66761775950258662</v>
      </c>
      <c r="J2889" s="128">
        <v>1.3079077752187103E-3</v>
      </c>
      <c r="K2889" s="128"/>
      <c r="L2889" s="128">
        <v>3.7600000000000001E-2</v>
      </c>
      <c r="O2889" s="2"/>
    </row>
    <row r="2890" spans="2:15" x14ac:dyDescent="0.2">
      <c r="B2890" s="1">
        <v>2875</v>
      </c>
      <c r="C2890" s="5">
        <f ca="1"/>
        <v>-0.40452142771472566</v>
      </c>
      <c r="D2890" s="5">
        <f ca="1">S0*EXP((μ-0.5*σ*σ)*T+σ*SQRT(T)*$C2890)</f>
        <v>0.63852619664215171</v>
      </c>
      <c r="E2890" s="5">
        <f ca="1">MAX(0,CP*(D2890-K))</f>
        <v>0</v>
      </c>
      <c r="F2890" s="4">
        <f ca="1">(CP*(D2890-K)&gt;0)*1</f>
        <v>0</v>
      </c>
      <c r="H2890" s="4">
        <v>2875</v>
      </c>
      <c r="I2890" s="3">
        <v>0.66769917110183974</v>
      </c>
      <c r="J2890" s="128">
        <v>1.3479583325874248E-3</v>
      </c>
      <c r="K2890" s="128"/>
      <c r="L2890" s="128">
        <v>4.1399999999999999E-2</v>
      </c>
      <c r="O2890" s="2"/>
    </row>
    <row r="2891" spans="2:15" x14ac:dyDescent="0.2">
      <c r="B2891" s="1">
        <v>2876</v>
      </c>
      <c r="C2891" s="5">
        <f ca="1"/>
        <v>0.85157188602337452</v>
      </c>
      <c r="D2891" s="5">
        <f ca="1">S0*EXP((μ-0.5*σ*σ)*T+σ*SQRT(T)*$C2891)</f>
        <v>0.72270257738273957</v>
      </c>
      <c r="E2891" s="5">
        <f ca="1">MAX(0,CP*(D2891-K))</f>
        <v>0</v>
      </c>
      <c r="F2891" s="4">
        <f ca="1">(CP*(D2891-K)&gt;0)*1</f>
        <v>0</v>
      </c>
      <c r="H2891" s="4">
        <v>2876</v>
      </c>
      <c r="I2891" s="3">
        <v>0.66767000413256838</v>
      </c>
      <c r="J2891" s="128">
        <v>1.4479138487341536E-3</v>
      </c>
      <c r="K2891" s="128"/>
      <c r="L2891" s="128">
        <v>3.9399999999999998E-2</v>
      </c>
      <c r="O2891" s="2"/>
    </row>
    <row r="2892" spans="2:15" x14ac:dyDescent="0.2">
      <c r="B2892" s="1">
        <v>2877</v>
      </c>
      <c r="C2892" s="5">
        <f ca="1"/>
        <v>0.2487369253876556</v>
      </c>
      <c r="D2892" s="5">
        <f ca="1">S0*EXP((μ-0.5*σ*σ)*T+σ*SQRT(T)*$C2892)</f>
        <v>0.68100237329999225</v>
      </c>
      <c r="E2892" s="5">
        <f ca="1">MAX(0,CP*(D2892-K))</f>
        <v>0</v>
      </c>
      <c r="F2892" s="4">
        <f ca="1">(CP*(D2892-K)&gt;0)*1</f>
        <v>0</v>
      </c>
      <c r="H2892" s="4">
        <v>2877</v>
      </c>
      <c r="I2892" s="3">
        <v>0.66779669346217985</v>
      </c>
      <c r="J2892" s="128">
        <v>1.4956573568969296E-3</v>
      </c>
      <c r="K2892" s="128"/>
      <c r="L2892" s="128">
        <v>4.24E-2</v>
      </c>
      <c r="O2892" s="2"/>
    </row>
    <row r="2893" spans="2:15" x14ac:dyDescent="0.2">
      <c r="B2893" s="1">
        <v>2878</v>
      </c>
      <c r="C2893" s="5">
        <f ca="1"/>
        <v>-0.66403102379678014</v>
      </c>
      <c r="D2893" s="5">
        <f ca="1">S0*EXP((μ-0.5*σ*σ)*T+σ*SQRT(T)*$C2893)</f>
        <v>0.62239709696433643</v>
      </c>
      <c r="E2893" s="5">
        <f ca="1">MAX(0,CP*(D2893-K))</f>
        <v>0</v>
      </c>
      <c r="F2893" s="4">
        <f ca="1">(CP*(D2893-K)&gt;0)*1</f>
        <v>0</v>
      </c>
      <c r="H2893" s="4">
        <v>2878</v>
      </c>
      <c r="I2893" s="3">
        <v>0.66777320552462038</v>
      </c>
      <c r="J2893" s="128">
        <v>1.3344759577512768E-3</v>
      </c>
      <c r="K2893" s="128"/>
      <c r="L2893" s="128">
        <v>4.0399999999999998E-2</v>
      </c>
      <c r="O2893" s="2"/>
    </row>
    <row r="2894" spans="2:15" x14ac:dyDescent="0.2">
      <c r="B2894" s="1">
        <v>2879</v>
      </c>
      <c r="C2894" s="5">
        <f ca="1"/>
        <v>1.0653292477219032</v>
      </c>
      <c r="D2894" s="5">
        <f ca="1">S0*EXP((μ-0.5*σ*σ)*T+σ*SQRT(T)*$C2894)</f>
        <v>0.73809427624851331</v>
      </c>
      <c r="E2894" s="5">
        <f ca="1">MAX(0,CP*(D2894-K))</f>
        <v>0</v>
      </c>
      <c r="F2894" s="4">
        <f ca="1">(CP*(D2894-K)&gt;0)*1</f>
        <v>0</v>
      </c>
      <c r="H2894" s="4">
        <v>2879</v>
      </c>
      <c r="I2894" s="3">
        <v>0.66759029772307954</v>
      </c>
      <c r="J2894" s="128">
        <v>1.0813090931245924E-3</v>
      </c>
      <c r="K2894" s="128"/>
      <c r="L2894" s="128">
        <v>3.9E-2</v>
      </c>
      <c r="O2894" s="2"/>
    </row>
    <row r="2895" spans="2:15" x14ac:dyDescent="0.2">
      <c r="B2895" s="1">
        <v>2880</v>
      </c>
      <c r="C2895" s="5">
        <f ca="1"/>
        <v>0.69438935231562282</v>
      </c>
      <c r="D2895" s="5">
        <f ca="1">S0*EXP((μ-0.5*σ*σ)*T+σ*SQRT(T)*$C2895)</f>
        <v>0.71158973917869794</v>
      </c>
      <c r="E2895" s="5">
        <f ca="1">MAX(0,CP*(D2895-K))</f>
        <v>0</v>
      </c>
      <c r="F2895" s="4">
        <f ca="1">(CP*(D2895-K)&gt;0)*1</f>
        <v>0</v>
      </c>
      <c r="H2895" s="4">
        <v>2880</v>
      </c>
      <c r="I2895" s="3">
        <v>0.66767136711283581</v>
      </c>
      <c r="J2895" s="128">
        <v>1.2547135662068589E-3</v>
      </c>
      <c r="K2895" s="128"/>
      <c r="L2895" s="128">
        <v>4.0599999999999997E-2</v>
      </c>
      <c r="O2895" s="2"/>
    </row>
    <row r="2896" spans="2:15" x14ac:dyDescent="0.2">
      <c r="B2896" s="1">
        <v>2881</v>
      </c>
      <c r="C2896" s="5">
        <f ca="1"/>
        <v>1.0108214512654001</v>
      </c>
      <c r="D2896" s="5">
        <f ca="1">S0*EXP((μ-0.5*σ*σ)*T+σ*SQRT(T)*$C2896)</f>
        <v>0.73413855387805049</v>
      </c>
      <c r="E2896" s="5">
        <f ca="1">MAX(0,CP*(D2896-K))</f>
        <v>0</v>
      </c>
      <c r="F2896" s="4">
        <f ca="1">(CP*(D2896-K)&gt;0)*1</f>
        <v>0</v>
      </c>
      <c r="H2896" s="4">
        <v>2881</v>
      </c>
      <c r="I2896" s="3">
        <v>0.66770101078158628</v>
      </c>
      <c r="J2896" s="128">
        <v>1.2733086703774908E-3</v>
      </c>
      <c r="K2896" s="128"/>
      <c r="L2896" s="128">
        <v>3.7999999999999999E-2</v>
      </c>
      <c r="O2896" s="2"/>
    </row>
    <row r="2897" spans="2:15" x14ac:dyDescent="0.2">
      <c r="B2897" s="1">
        <v>2882</v>
      </c>
      <c r="C2897" s="5">
        <f ca="1"/>
        <v>1.1297242547628421</v>
      </c>
      <c r="D2897" s="5">
        <f ca="1">S0*EXP((μ-0.5*σ*σ)*T+σ*SQRT(T)*$C2897)</f>
        <v>0.74279500347276073</v>
      </c>
      <c r="E2897" s="5">
        <f ca="1">MAX(0,CP*(D2897-K))</f>
        <v>0</v>
      </c>
      <c r="F2897" s="4">
        <f ca="1">(CP*(D2897-K)&gt;0)*1</f>
        <v>0</v>
      </c>
      <c r="H2897" s="4">
        <v>2882</v>
      </c>
      <c r="I2897" s="3">
        <v>0.66767670960274861</v>
      </c>
      <c r="J2897" s="128">
        <v>1.3235402870220025E-3</v>
      </c>
      <c r="K2897" s="128"/>
      <c r="L2897" s="128">
        <v>3.8600000000000002E-2</v>
      </c>
      <c r="O2897" s="2"/>
    </row>
    <row r="2898" spans="2:15" x14ac:dyDescent="0.2">
      <c r="B2898" s="1">
        <v>2883</v>
      </c>
      <c r="C2898" s="5">
        <f ca="1"/>
        <v>-0.15531165340800313</v>
      </c>
      <c r="D2898" s="5">
        <f ca="1">S0*EXP((μ-0.5*σ*σ)*T+σ*SQRT(T)*$C2898)</f>
        <v>0.6544084279673158</v>
      </c>
      <c r="E2898" s="5">
        <f ca="1">MAX(0,CP*(D2898-K))</f>
        <v>0</v>
      </c>
      <c r="F2898" s="4">
        <f ca="1">(CP*(D2898-K)&gt;0)*1</f>
        <v>0</v>
      </c>
      <c r="H2898" s="4">
        <v>2883</v>
      </c>
      <c r="I2898" s="3">
        <v>0.6677223297866951</v>
      </c>
      <c r="J2898" s="128">
        <v>1.4137344064847261E-3</v>
      </c>
      <c r="K2898" s="128"/>
      <c r="L2898" s="128">
        <v>4.0599999999999997E-2</v>
      </c>
      <c r="O2898" s="2"/>
    </row>
    <row r="2899" spans="2:15" x14ac:dyDescent="0.2">
      <c r="B2899" s="1">
        <v>2884</v>
      </c>
      <c r="C2899" s="5">
        <f ca="1"/>
        <v>0.65062964592297934</v>
      </c>
      <c r="D2899" s="5">
        <f ca="1">S0*EXP((μ-0.5*σ*σ)*T+σ*SQRT(T)*$C2899)</f>
        <v>0.70852644062255143</v>
      </c>
      <c r="E2899" s="5">
        <f ca="1">MAX(0,CP*(D2899-K))</f>
        <v>0</v>
      </c>
      <c r="F2899" s="4">
        <f ca="1">(CP*(D2899-K)&gt;0)*1</f>
        <v>0</v>
      </c>
      <c r="H2899" s="4">
        <v>2884</v>
      </c>
      <c r="I2899" s="3">
        <v>0.66771192967067505</v>
      </c>
      <c r="J2899" s="128">
        <v>1.1852987986671209E-3</v>
      </c>
      <c r="K2899" s="128"/>
      <c r="L2899" s="128">
        <v>3.8800000000000001E-2</v>
      </c>
      <c r="O2899" s="2"/>
    </row>
    <row r="2900" spans="2:15" x14ac:dyDescent="0.2">
      <c r="B2900" s="1">
        <v>2885</v>
      </c>
      <c r="C2900" s="5">
        <f ca="1"/>
        <v>-0.51627425829793827</v>
      </c>
      <c r="D2900" s="5">
        <f ca="1">S0*EXP((μ-0.5*σ*σ)*T+σ*SQRT(T)*$C2900)</f>
        <v>0.63152989114977176</v>
      </c>
      <c r="E2900" s="5">
        <f ca="1">MAX(0,CP*(D2900-K))</f>
        <v>0</v>
      </c>
      <c r="F2900" s="4">
        <f ca="1">(CP*(D2900-K)&gt;0)*1</f>
        <v>0</v>
      </c>
      <c r="H2900" s="4">
        <v>2885</v>
      </c>
      <c r="I2900" s="3">
        <v>0.66781105699686283</v>
      </c>
      <c r="J2900" s="128">
        <v>1.4435444416691669E-3</v>
      </c>
      <c r="K2900" s="128"/>
      <c r="L2900" s="128">
        <v>4.36E-2</v>
      </c>
      <c r="O2900" s="2"/>
    </row>
    <row r="2901" spans="2:15" x14ac:dyDescent="0.2">
      <c r="B2901" s="1">
        <v>2886</v>
      </c>
      <c r="C2901" s="5">
        <f ca="1"/>
        <v>0.81527169921291309</v>
      </c>
      <c r="D2901" s="5">
        <f ca="1">S0*EXP((μ-0.5*σ*σ)*T+σ*SQRT(T)*$C2901)</f>
        <v>0.72012083263840143</v>
      </c>
      <c r="E2901" s="5">
        <f ca="1">MAX(0,CP*(D2901-K))</f>
        <v>0</v>
      </c>
      <c r="F2901" s="4">
        <f ca="1">(CP*(D2901-K)&gt;0)*1</f>
        <v>0</v>
      </c>
      <c r="H2901" s="4">
        <v>2886</v>
      </c>
      <c r="I2901" s="3">
        <v>0.66765437612713918</v>
      </c>
      <c r="J2901" s="128">
        <v>1.2898288836148994E-3</v>
      </c>
      <c r="K2901" s="128"/>
      <c r="L2901" s="128">
        <v>3.8399999999999997E-2</v>
      </c>
      <c r="O2901" s="2"/>
    </row>
    <row r="2902" spans="2:15" x14ac:dyDescent="0.2">
      <c r="B2902" s="1">
        <v>2887</v>
      </c>
      <c r="C2902" s="5">
        <f ca="1"/>
        <v>-1.7509937661010055</v>
      </c>
      <c r="D2902" s="5">
        <f ca="1">S0*EXP((μ-0.5*σ*σ)*T+σ*SQRT(T)*$C2902)</f>
        <v>0.55914979235974938</v>
      </c>
      <c r="E2902" s="5">
        <f ca="1">MAX(0,CP*(D2902-K))</f>
        <v>0</v>
      </c>
      <c r="F2902" s="4">
        <f ca="1">(CP*(D2902-K)&gt;0)*1</f>
        <v>0</v>
      </c>
      <c r="H2902" s="4">
        <v>2887</v>
      </c>
      <c r="I2902" s="3">
        <v>0.66775761108509146</v>
      </c>
      <c r="J2902" s="128">
        <v>1.3000595411833769E-3</v>
      </c>
      <c r="K2902" s="128"/>
      <c r="L2902" s="128">
        <v>4.3400000000000001E-2</v>
      </c>
      <c r="O2902" s="2"/>
    </row>
    <row r="2903" spans="2:15" x14ac:dyDescent="0.2">
      <c r="B2903" s="1">
        <v>2888</v>
      </c>
      <c r="C2903" s="5">
        <f ca="1"/>
        <v>-1.4501263252460341</v>
      </c>
      <c r="D2903" s="5">
        <f ca="1">S0*EXP((μ-0.5*σ*σ)*T+σ*SQRT(T)*$C2903)</f>
        <v>0.57598358489650348</v>
      </c>
      <c r="E2903" s="5">
        <f ca="1">MAX(0,CP*(D2903-K))</f>
        <v>0</v>
      </c>
      <c r="F2903" s="4">
        <f ca="1">(CP*(D2903-K)&gt;0)*1</f>
        <v>0</v>
      </c>
      <c r="H2903" s="4">
        <v>2888</v>
      </c>
      <c r="I2903" s="3">
        <v>0.6677380593847474</v>
      </c>
      <c r="J2903" s="128">
        <v>1.3769627673447412E-3</v>
      </c>
      <c r="K2903" s="128"/>
      <c r="L2903" s="128">
        <v>4.0399999999999998E-2</v>
      </c>
      <c r="O2903" s="2"/>
    </row>
    <row r="2904" spans="2:15" x14ac:dyDescent="0.2">
      <c r="B2904" s="1">
        <v>2889</v>
      </c>
      <c r="C2904" s="5">
        <f ca="1"/>
        <v>0.37527408761671355</v>
      </c>
      <c r="D2904" s="5">
        <f ca="1">S0*EXP((μ-0.5*σ*σ)*T+σ*SQRT(T)*$C2904)</f>
        <v>0.68955107493876167</v>
      </c>
      <c r="E2904" s="5">
        <f ca="1">MAX(0,CP*(D2904-K))</f>
        <v>0</v>
      </c>
      <c r="F2904" s="4">
        <f ca="1">(CP*(D2904-K)&gt;0)*1</f>
        <v>0</v>
      </c>
      <c r="H2904" s="4">
        <v>2889</v>
      </c>
      <c r="I2904" s="3">
        <v>0.66778435639180311</v>
      </c>
      <c r="J2904" s="128">
        <v>1.3288949493669609E-3</v>
      </c>
      <c r="K2904" s="128"/>
      <c r="L2904" s="128">
        <v>4.1799999999999997E-2</v>
      </c>
      <c r="O2904" s="2"/>
    </row>
    <row r="2905" spans="2:15" x14ac:dyDescent="0.2">
      <c r="B2905" s="1">
        <v>2890</v>
      </c>
      <c r="C2905" s="5">
        <f ca="1"/>
        <v>-5.7632681059272682E-2</v>
      </c>
      <c r="D2905" s="5">
        <f ca="1">S0*EXP((μ-0.5*σ*σ)*T+σ*SQRT(T)*$C2905)</f>
        <v>0.66074077161718536</v>
      </c>
      <c r="E2905" s="5">
        <f ca="1">MAX(0,CP*(D2905-K))</f>
        <v>0</v>
      </c>
      <c r="F2905" s="4">
        <f ca="1">(CP*(D2905-K)&gt;0)*1</f>
        <v>0</v>
      </c>
      <c r="H2905" s="4">
        <v>2890</v>
      </c>
      <c r="I2905" s="3">
        <v>0.6678183143128239</v>
      </c>
      <c r="J2905" s="128">
        <v>1.483608051769836E-3</v>
      </c>
      <c r="K2905" s="128"/>
      <c r="L2905" s="128">
        <v>4.24E-2</v>
      </c>
      <c r="O2905" s="2"/>
    </row>
    <row r="2906" spans="2:15" x14ac:dyDescent="0.2">
      <c r="B2906" s="1">
        <v>2891</v>
      </c>
      <c r="C2906" s="5">
        <f ca="1"/>
        <v>0.98291006517744361</v>
      </c>
      <c r="D2906" s="5">
        <f ca="1">S0*EXP((μ-0.5*σ*σ)*T+σ*SQRT(T)*$C2906)</f>
        <v>0.73212119219893534</v>
      </c>
      <c r="E2906" s="5">
        <f ca="1">MAX(0,CP*(D2906-K))</f>
        <v>0</v>
      </c>
      <c r="F2906" s="4">
        <f ca="1">(CP*(D2906-K)&gt;0)*1</f>
        <v>0</v>
      </c>
      <c r="H2906" s="4">
        <v>2891</v>
      </c>
      <c r="I2906" s="3">
        <v>0.66771737669097808</v>
      </c>
      <c r="J2906" s="128">
        <v>1.4066399536682417E-3</v>
      </c>
      <c r="K2906" s="128"/>
      <c r="L2906" s="128">
        <v>4.1799999999999997E-2</v>
      </c>
      <c r="O2906" s="2"/>
    </row>
    <row r="2907" spans="2:15" x14ac:dyDescent="0.2">
      <c r="B2907" s="1">
        <v>2892</v>
      </c>
      <c r="C2907" s="5">
        <f ca="1"/>
        <v>0.10753477362279229</v>
      </c>
      <c r="D2907" s="5">
        <f ca="1">S0*EXP((μ-0.5*σ*σ)*T+σ*SQRT(T)*$C2907)</f>
        <v>0.67158798054771196</v>
      </c>
      <c r="E2907" s="5">
        <f ca="1">MAX(0,CP*(D2907-K))</f>
        <v>0</v>
      </c>
      <c r="F2907" s="4">
        <f ca="1">(CP*(D2907-K)&gt;0)*1</f>
        <v>0</v>
      </c>
      <c r="H2907" s="4">
        <v>2892</v>
      </c>
      <c r="I2907" s="3">
        <v>0.6676057433447623</v>
      </c>
      <c r="J2907" s="128">
        <v>1.2017036564973302E-3</v>
      </c>
      <c r="K2907" s="128"/>
      <c r="L2907" s="128">
        <v>3.7400000000000003E-2</v>
      </c>
      <c r="O2907" s="2"/>
    </row>
    <row r="2908" spans="2:15" x14ac:dyDescent="0.2">
      <c r="B2908" s="1">
        <v>2893</v>
      </c>
      <c r="C2908" s="5">
        <f ca="1"/>
        <v>-0.68078424922707348</v>
      </c>
      <c r="D2908" s="5">
        <f ca="1">S0*EXP((μ-0.5*σ*σ)*T+σ*SQRT(T)*$C2908)</f>
        <v>0.62136995822898833</v>
      </c>
      <c r="E2908" s="5">
        <f ca="1">MAX(0,CP*(D2908-K))</f>
        <v>0</v>
      </c>
      <c r="F2908" s="4">
        <f ca="1">(CP*(D2908-K)&gt;0)*1</f>
        <v>0</v>
      </c>
      <c r="H2908" s="4">
        <v>2893</v>
      </c>
      <c r="I2908" s="3">
        <v>0.667948375131865</v>
      </c>
      <c r="J2908" s="128">
        <v>1.6278254826044237E-3</v>
      </c>
      <c r="K2908" s="128"/>
      <c r="L2908" s="128">
        <v>4.5999999999999999E-2</v>
      </c>
      <c r="O2908" s="2"/>
    </row>
    <row r="2909" spans="2:15" x14ac:dyDescent="0.2">
      <c r="B2909" s="1">
        <v>2894</v>
      </c>
      <c r="C2909" s="5">
        <f ca="1"/>
        <v>-1.1532354598032095</v>
      </c>
      <c r="D2909" s="5">
        <f ca="1">S0*EXP((μ-0.5*σ*σ)*T+σ*SQRT(T)*$C2909)</f>
        <v>0.59309161493919604</v>
      </c>
      <c r="E2909" s="5">
        <f ca="1">MAX(0,CP*(D2909-K))</f>
        <v>0</v>
      </c>
      <c r="F2909" s="4">
        <f ca="1">(CP*(D2909-K)&gt;0)*1</f>
        <v>0</v>
      </c>
      <c r="H2909" s="4">
        <v>2894</v>
      </c>
      <c r="I2909" s="3">
        <v>0.66772803288898042</v>
      </c>
      <c r="J2909" s="128">
        <v>1.2887390242039857E-3</v>
      </c>
      <c r="K2909" s="128"/>
      <c r="L2909" s="128">
        <v>3.8600000000000002E-2</v>
      </c>
      <c r="O2909" s="2"/>
    </row>
    <row r="2910" spans="2:15" x14ac:dyDescent="0.2">
      <c r="B2910" s="1">
        <v>2895</v>
      </c>
      <c r="C2910" s="5">
        <f ca="1"/>
        <v>-0.42368553631542932</v>
      </c>
      <c r="D2910" s="5">
        <f ca="1">S0*EXP((μ-0.5*σ*σ)*T+σ*SQRT(T)*$C2910)</f>
        <v>0.63732094186120802</v>
      </c>
      <c r="E2910" s="5">
        <f ca="1">MAX(0,CP*(D2910-K))</f>
        <v>0</v>
      </c>
      <c r="F2910" s="4">
        <f ca="1">(CP*(D2910-K)&gt;0)*1</f>
        <v>0</v>
      </c>
      <c r="H2910" s="4">
        <v>2895</v>
      </c>
      <c r="I2910" s="3">
        <v>0.66783870779661469</v>
      </c>
      <c r="J2910" s="128">
        <v>1.4507175632773408E-3</v>
      </c>
      <c r="K2910" s="128"/>
      <c r="L2910" s="128">
        <v>4.4600000000000001E-2</v>
      </c>
      <c r="O2910" s="2"/>
    </row>
    <row r="2911" spans="2:15" x14ac:dyDescent="0.2">
      <c r="B2911" s="1">
        <v>2896</v>
      </c>
      <c r="C2911" s="5">
        <f ca="1"/>
        <v>1.0387345059497386</v>
      </c>
      <c r="D2911" s="5">
        <f ca="1">S0*EXP((μ-0.5*σ*σ)*T+σ*SQRT(T)*$C2911)</f>
        <v>0.73616159550260718</v>
      </c>
      <c r="E2911" s="5">
        <f ca="1">MAX(0,CP*(D2911-K))</f>
        <v>0</v>
      </c>
      <c r="F2911" s="4">
        <f ca="1">(CP*(D2911-K)&gt;0)*1</f>
        <v>0</v>
      </c>
      <c r="H2911" s="4">
        <v>2896</v>
      </c>
      <c r="I2911" s="3">
        <v>0.66772110854170263</v>
      </c>
      <c r="J2911" s="128">
        <v>1.3159982218925816E-3</v>
      </c>
      <c r="K2911" s="128"/>
      <c r="L2911" s="128">
        <v>4.1399999999999999E-2</v>
      </c>
      <c r="O2911" s="2"/>
    </row>
    <row r="2912" spans="2:15" x14ac:dyDescent="0.2">
      <c r="B2912" s="1">
        <v>2897</v>
      </c>
      <c r="C2912" s="5">
        <f ca="1"/>
        <v>-0.2303641774120129</v>
      </c>
      <c r="D2912" s="5">
        <f ca="1">S0*EXP((μ-0.5*σ*σ)*T+σ*SQRT(T)*$C2912)</f>
        <v>0.64958417388529943</v>
      </c>
      <c r="E2912" s="5">
        <f ca="1">MAX(0,CP*(D2912-K))</f>
        <v>0</v>
      </c>
      <c r="F2912" s="4">
        <f ca="1">(CP*(D2912-K)&gt;0)*1</f>
        <v>0</v>
      </c>
      <c r="H2912" s="4">
        <v>2897</v>
      </c>
      <c r="I2912" s="3">
        <v>0.66780877498470692</v>
      </c>
      <c r="J2912" s="128">
        <v>1.4912104308867093E-3</v>
      </c>
      <c r="K2912" s="128"/>
      <c r="L2912" s="128">
        <v>4.1000000000000002E-2</v>
      </c>
      <c r="O2912" s="2"/>
    </row>
    <row r="2913" spans="2:15" x14ac:dyDescent="0.2">
      <c r="B2913" s="1">
        <v>2898</v>
      </c>
      <c r="C2913" s="5">
        <f ca="1"/>
        <v>-0.60474541474102772</v>
      </c>
      <c r="D2913" s="5">
        <f ca="1">S0*EXP((μ-0.5*σ*σ)*T+σ*SQRT(T)*$C2913)</f>
        <v>0.62604554671367518</v>
      </c>
      <c r="E2913" s="5">
        <f ca="1">MAX(0,CP*(D2913-K))</f>
        <v>0</v>
      </c>
      <c r="F2913" s="4">
        <f ca="1">(CP*(D2913-K)&gt;0)*1</f>
        <v>0</v>
      </c>
      <c r="H2913" s="4">
        <v>2898</v>
      </c>
      <c r="I2913" s="3">
        <v>0.66784431704099223</v>
      </c>
      <c r="J2913" s="128">
        <v>1.2470777740193806E-3</v>
      </c>
      <c r="K2913" s="128"/>
      <c r="L2913" s="128">
        <v>4.3999999999999997E-2</v>
      </c>
      <c r="O2913" s="2"/>
    </row>
    <row r="2914" spans="2:15" x14ac:dyDescent="0.2">
      <c r="B2914" s="1">
        <v>2899</v>
      </c>
      <c r="C2914" s="5">
        <f ca="1"/>
        <v>-0.96912661799689359</v>
      </c>
      <c r="D2914" s="5">
        <f ca="1">S0*EXP((μ-0.5*σ*σ)*T+σ*SQRT(T)*$C2914)</f>
        <v>0.60395500850547867</v>
      </c>
      <c r="E2914" s="5">
        <f ca="1">MAX(0,CP*(D2914-K))</f>
        <v>0</v>
      </c>
      <c r="F2914" s="4">
        <f ca="1">(CP*(D2914-K)&gt;0)*1</f>
        <v>0</v>
      </c>
      <c r="H2914" s="4">
        <v>2899</v>
      </c>
      <c r="I2914" s="3">
        <v>0.66776056855166532</v>
      </c>
      <c r="J2914" s="128">
        <v>1.3712326820608655E-3</v>
      </c>
      <c r="K2914" s="128"/>
      <c r="L2914" s="128">
        <v>4.1799999999999997E-2</v>
      </c>
      <c r="O2914" s="2"/>
    </row>
    <row r="2915" spans="2:15" x14ac:dyDescent="0.2">
      <c r="B2915" s="1">
        <v>2900</v>
      </c>
      <c r="C2915" s="5">
        <f ca="1"/>
        <v>-1.4676265624368148</v>
      </c>
      <c r="D2915" s="5">
        <f ca="1">S0*EXP((μ-0.5*σ*σ)*T+σ*SQRT(T)*$C2915)</f>
        <v>0.5749906948182899</v>
      </c>
      <c r="E2915" s="5">
        <f ca="1">MAX(0,CP*(D2915-K))</f>
        <v>0</v>
      </c>
      <c r="F2915" s="4">
        <f ca="1">(CP*(D2915-K)&gt;0)*1</f>
        <v>0</v>
      </c>
      <c r="H2915" s="4">
        <v>2900</v>
      </c>
      <c r="I2915" s="3">
        <v>0.66768035420662863</v>
      </c>
      <c r="J2915" s="128">
        <v>1.2023076445883717E-3</v>
      </c>
      <c r="K2915" s="128"/>
      <c r="L2915" s="128">
        <v>0.04</v>
      </c>
      <c r="O2915" s="2"/>
    </row>
    <row r="2916" spans="2:15" x14ac:dyDescent="0.2">
      <c r="B2916" s="1">
        <v>2901</v>
      </c>
      <c r="C2916" s="5">
        <f ca="1"/>
        <v>1.2043074671613425</v>
      </c>
      <c r="D2916" s="5">
        <f ca="1">S0*EXP((μ-0.5*σ*σ)*T+σ*SQRT(T)*$C2916)</f>
        <v>0.74827688234209699</v>
      </c>
      <c r="E2916" s="5">
        <f ca="1">MAX(0,CP*(D2916-K))</f>
        <v>0</v>
      </c>
      <c r="F2916" s="4">
        <f ca="1">(CP*(D2916-K)&gt;0)*1</f>
        <v>0</v>
      </c>
      <c r="H2916" s="4">
        <v>2901</v>
      </c>
      <c r="I2916" s="3">
        <v>0.66784215907377142</v>
      </c>
      <c r="J2916" s="128">
        <v>1.4507236028445008E-3</v>
      </c>
      <c r="K2916" s="128"/>
      <c r="L2916" s="128">
        <v>4.4200000000000003E-2</v>
      </c>
      <c r="O2916" s="2"/>
    </row>
    <row r="2917" spans="2:15" x14ac:dyDescent="0.2">
      <c r="B2917" s="1">
        <v>2902</v>
      </c>
      <c r="C2917" s="5">
        <f ca="1"/>
        <v>1.5796539214289644</v>
      </c>
      <c r="D2917" s="5">
        <f ca="1">S0*EXP((μ-0.5*σ*σ)*T+σ*SQRT(T)*$C2917)</f>
        <v>0.77648515940537222</v>
      </c>
      <c r="E2917" s="5">
        <f ca="1">MAX(0,CP*(D2917-K))</f>
        <v>0</v>
      </c>
      <c r="F2917" s="4">
        <f ca="1">(CP*(D2917-K)&gt;0)*1</f>
        <v>0</v>
      </c>
      <c r="H2917" s="4">
        <v>2902</v>
      </c>
      <c r="I2917" s="3">
        <v>0.66775936728151897</v>
      </c>
      <c r="J2917" s="128">
        <v>1.4276977042474838E-3</v>
      </c>
      <c r="K2917" s="128"/>
      <c r="L2917" s="128">
        <v>4.1799999999999997E-2</v>
      </c>
      <c r="O2917" s="2"/>
    </row>
    <row r="2918" spans="2:15" x14ac:dyDescent="0.2">
      <c r="B2918" s="1">
        <v>2903</v>
      </c>
      <c r="C2918" s="5">
        <f ca="1"/>
        <v>1.4299624053923652</v>
      </c>
      <c r="D2918" s="5">
        <f ca="1">S0*EXP((μ-0.5*σ*σ)*T+σ*SQRT(T)*$C2918)</f>
        <v>0.76511015921611758</v>
      </c>
      <c r="E2918" s="5">
        <f ca="1">MAX(0,CP*(D2918-K))</f>
        <v>0</v>
      </c>
      <c r="F2918" s="4">
        <f ca="1">(CP*(D2918-K)&gt;0)*1</f>
        <v>0</v>
      </c>
      <c r="H2918" s="4">
        <v>2903</v>
      </c>
      <c r="I2918" s="3">
        <v>0.66771323535194116</v>
      </c>
      <c r="J2918" s="128">
        <v>1.4109256506392126E-3</v>
      </c>
      <c r="K2918" s="128"/>
      <c r="L2918" s="128">
        <v>4.1399999999999999E-2</v>
      </c>
      <c r="O2918" s="2"/>
    </row>
    <row r="2919" spans="2:15" x14ac:dyDescent="0.2">
      <c r="B2919" s="1">
        <v>2904</v>
      </c>
      <c r="C2919" s="5">
        <f ca="1"/>
        <v>0.29028833162792173</v>
      </c>
      <c r="D2919" s="5">
        <f ca="1">S0*EXP((μ-0.5*σ*σ)*T+σ*SQRT(T)*$C2919)</f>
        <v>0.68379778583575934</v>
      </c>
      <c r="E2919" s="5">
        <f ca="1">MAX(0,CP*(D2919-K))</f>
        <v>0</v>
      </c>
      <c r="F2919" s="4">
        <f ca="1">(CP*(D2919-K)&gt;0)*1</f>
        <v>0</v>
      </c>
      <c r="H2919" s="4">
        <v>2904</v>
      </c>
      <c r="I2919" s="3">
        <v>0.667784157161183</v>
      </c>
      <c r="J2919" s="128">
        <v>1.4113882996078578E-3</v>
      </c>
      <c r="K2919" s="128"/>
      <c r="L2919" s="128">
        <v>3.9800000000000002E-2</v>
      </c>
      <c r="O2919" s="2"/>
    </row>
    <row r="2920" spans="2:15" x14ac:dyDescent="0.2">
      <c r="B2920" s="1">
        <v>2905</v>
      </c>
      <c r="C2920" s="5">
        <f ca="1"/>
        <v>6.9125978385860293E-2</v>
      </c>
      <c r="D2920" s="5">
        <f ca="1">S0*EXP((μ-0.5*σ*σ)*T+σ*SQRT(T)*$C2920)</f>
        <v>0.6690497368034215</v>
      </c>
      <c r="E2920" s="5">
        <f ca="1">MAX(0,CP*(D2920-K))</f>
        <v>0</v>
      </c>
      <c r="F2920" s="4">
        <f ca="1">(CP*(D2920-K)&gt;0)*1</f>
        <v>0</v>
      </c>
      <c r="H2920" s="4">
        <v>2905</v>
      </c>
      <c r="I2920" s="3">
        <v>0.66774388798816187</v>
      </c>
      <c r="J2920" s="128">
        <v>1.4406293737472603E-3</v>
      </c>
      <c r="K2920" s="128"/>
      <c r="L2920" s="128">
        <v>4.3200000000000002E-2</v>
      </c>
      <c r="O2920" s="2"/>
    </row>
    <row r="2921" spans="2:15" x14ac:dyDescent="0.2">
      <c r="B2921" s="1">
        <v>2906</v>
      </c>
      <c r="C2921" s="5">
        <f ca="1"/>
        <v>0.72511033888045417</v>
      </c>
      <c r="D2921" s="5">
        <f ca="1">S0*EXP((μ-0.5*σ*σ)*T+σ*SQRT(T)*$C2921)</f>
        <v>0.71374820112693016</v>
      </c>
      <c r="E2921" s="5">
        <f ca="1">MAX(0,CP*(D2921-K))</f>
        <v>0</v>
      </c>
      <c r="F2921" s="4">
        <f ca="1">(CP*(D2921-K)&gt;0)*1</f>
        <v>0</v>
      </c>
      <c r="H2921" s="4">
        <v>2906</v>
      </c>
      <c r="I2921" s="3">
        <v>0.6677709755175939</v>
      </c>
      <c r="J2921" s="128">
        <v>1.3677965585996961E-3</v>
      </c>
      <c r="K2921" s="128"/>
      <c r="L2921" s="128">
        <v>4.1399999999999999E-2</v>
      </c>
      <c r="O2921" s="2"/>
    </row>
    <row r="2922" spans="2:15" x14ac:dyDescent="0.2">
      <c r="B2922" s="1">
        <v>2907</v>
      </c>
      <c r="C2922" s="5">
        <f ca="1"/>
        <v>0.22107187574293877</v>
      </c>
      <c r="D2922" s="5">
        <f ca="1">S0*EXP((μ-0.5*σ*σ)*T+σ*SQRT(T)*$C2922)</f>
        <v>0.67914751951250096</v>
      </c>
      <c r="E2922" s="5">
        <f ca="1">MAX(0,CP*(D2922-K))</f>
        <v>0</v>
      </c>
      <c r="F2922" s="4">
        <f ca="1">(CP*(D2922-K)&gt;0)*1</f>
        <v>0</v>
      </c>
      <c r="H2922" s="4">
        <v>2907</v>
      </c>
      <c r="I2922" s="3">
        <v>0.66762973429327854</v>
      </c>
      <c r="J2922" s="128">
        <v>1.2177904262174874E-3</v>
      </c>
      <c r="K2922" s="128"/>
      <c r="L2922" s="128">
        <v>3.7999999999999999E-2</v>
      </c>
      <c r="O2922" s="2"/>
    </row>
    <row r="2923" spans="2:15" x14ac:dyDescent="0.2">
      <c r="B2923" s="1">
        <v>2908</v>
      </c>
      <c r="C2923" s="5">
        <f ca="1"/>
        <v>1.4858463288311716</v>
      </c>
      <c r="D2923" s="5">
        <f ca="1">S0*EXP((μ-0.5*σ*σ)*T+σ*SQRT(T)*$C2923)</f>
        <v>0.76933713237707191</v>
      </c>
      <c r="E2923" s="5">
        <f ca="1">MAX(0,CP*(D2923-K))</f>
        <v>0</v>
      </c>
      <c r="F2923" s="4">
        <f ca="1">(CP*(D2923-K)&gt;0)*1</f>
        <v>0</v>
      </c>
      <c r="H2923" s="4">
        <v>2908</v>
      </c>
      <c r="I2923" s="3">
        <v>0.66763749083146917</v>
      </c>
      <c r="J2923" s="128">
        <v>1.2185791320672144E-3</v>
      </c>
      <c r="K2923" s="128"/>
      <c r="L2923" s="128">
        <v>3.9399999999999998E-2</v>
      </c>
      <c r="O2923" s="2"/>
    </row>
    <row r="2924" spans="2:15" x14ac:dyDescent="0.2">
      <c r="B2924" s="1">
        <v>2909</v>
      </c>
      <c r="C2924" s="5">
        <f ca="1"/>
        <v>-0.18721672385873595</v>
      </c>
      <c r="D2924" s="5">
        <f ca="1">S0*EXP((μ-0.5*σ*σ)*T+σ*SQRT(T)*$C2924)</f>
        <v>0.65235325931137289</v>
      </c>
      <c r="E2924" s="5">
        <f ca="1">MAX(0,CP*(D2924-K))</f>
        <v>0</v>
      </c>
      <c r="F2924" s="4">
        <f ca="1">(CP*(D2924-K)&gt;0)*1</f>
        <v>0</v>
      </c>
      <c r="H2924" s="4">
        <v>2909</v>
      </c>
      <c r="I2924" s="3">
        <v>0.66776816905503134</v>
      </c>
      <c r="J2924" s="128">
        <v>1.3858302064386817E-3</v>
      </c>
      <c r="K2924" s="128"/>
      <c r="L2924" s="128">
        <v>4.3999999999999997E-2</v>
      </c>
      <c r="O2924" s="2"/>
    </row>
    <row r="2925" spans="2:15" x14ac:dyDescent="0.2">
      <c r="B2925" s="1">
        <v>2910</v>
      </c>
      <c r="C2925" s="5">
        <f ca="1"/>
        <v>-0.74222362778198092</v>
      </c>
      <c r="D2925" s="5">
        <f ca="1">S0*EXP((μ-0.5*σ*σ)*T+σ*SQRT(T)*$C2925)</f>
        <v>0.61761760117320041</v>
      </c>
      <c r="E2925" s="5">
        <f ca="1">MAX(0,CP*(D2925-K))</f>
        <v>0</v>
      </c>
      <c r="F2925" s="4">
        <f ca="1">(CP*(D2925-K)&gt;0)*1</f>
        <v>0</v>
      </c>
      <c r="H2925" s="4">
        <v>2910</v>
      </c>
      <c r="I2925" s="3">
        <v>0.667630330398015</v>
      </c>
      <c r="J2925" s="128">
        <v>1.2901872086085015E-3</v>
      </c>
      <c r="K2925" s="128"/>
      <c r="L2925" s="128">
        <v>4.02E-2</v>
      </c>
      <c r="O2925" s="2"/>
    </row>
    <row r="2926" spans="2:15" x14ac:dyDescent="0.2">
      <c r="B2926" s="1">
        <v>2911</v>
      </c>
      <c r="C2926" s="5">
        <f ca="1"/>
        <v>0.46748470224528554</v>
      </c>
      <c r="D2926" s="5">
        <f ca="1">S0*EXP((μ-0.5*σ*σ)*T+σ*SQRT(T)*$C2926)</f>
        <v>0.69584823333085921</v>
      </c>
      <c r="E2926" s="5">
        <f ca="1">MAX(0,CP*(D2926-K))</f>
        <v>0</v>
      </c>
      <c r="F2926" s="4">
        <f ca="1">(CP*(D2926-K)&gt;0)*1</f>
        <v>0</v>
      </c>
      <c r="H2926" s="4">
        <v>2911</v>
      </c>
      <c r="I2926" s="3">
        <v>0.66781772893080982</v>
      </c>
      <c r="J2926" s="128">
        <v>1.4276720039083435E-3</v>
      </c>
      <c r="K2926" s="128"/>
      <c r="L2926" s="128">
        <v>4.3799999999999999E-2</v>
      </c>
      <c r="O2926" s="2"/>
    </row>
    <row r="2927" spans="2:15" x14ac:dyDescent="0.2">
      <c r="B2927" s="1">
        <v>2912</v>
      </c>
      <c r="C2927" s="5">
        <f ca="1"/>
        <v>-8.4773810112815498E-2</v>
      </c>
      <c r="D2927" s="5">
        <f ca="1">S0*EXP((μ-0.5*σ*σ)*T+σ*SQRT(T)*$C2927)</f>
        <v>0.65897514108954292</v>
      </c>
      <c r="E2927" s="5">
        <f ca="1">MAX(0,CP*(D2927-K))</f>
        <v>0</v>
      </c>
      <c r="F2927" s="4">
        <f ca="1">(CP*(D2927-K)&gt;0)*1</f>
        <v>0</v>
      </c>
      <c r="H2927" s="4">
        <v>2912</v>
      </c>
      <c r="I2927" s="3">
        <v>0.6676388056627468</v>
      </c>
      <c r="J2927" s="128">
        <v>1.424459762147993E-3</v>
      </c>
      <c r="K2927" s="128"/>
      <c r="L2927" s="128">
        <v>4.0599999999999997E-2</v>
      </c>
      <c r="O2927" s="2"/>
    </row>
    <row r="2928" spans="2:15" x14ac:dyDescent="0.2">
      <c r="B2928" s="1">
        <v>2913</v>
      </c>
      <c r="C2928" s="5">
        <f ca="1"/>
        <v>-0.31290817981236041</v>
      </c>
      <c r="D2928" s="5">
        <f ca="1">S0*EXP((μ-0.5*σ*σ)*T+σ*SQRT(T)*$C2928)</f>
        <v>0.64431943573516448</v>
      </c>
      <c r="E2928" s="5">
        <f ca="1">MAX(0,CP*(D2928-K))</f>
        <v>0</v>
      </c>
      <c r="F2928" s="4">
        <f ca="1">(CP*(D2928-K)&gt;0)*1</f>
        <v>0</v>
      </c>
      <c r="H2928" s="4">
        <v>2913</v>
      </c>
      <c r="I2928" s="3">
        <v>0.66763891704831235</v>
      </c>
      <c r="J2928" s="128">
        <v>1.0481693163824307E-3</v>
      </c>
      <c r="K2928" s="128"/>
      <c r="L2928" s="128">
        <v>4.1399999999999999E-2</v>
      </c>
      <c r="O2928" s="2"/>
    </row>
    <row r="2929" spans="2:15" x14ac:dyDescent="0.2">
      <c r="B2929" s="1">
        <v>2914</v>
      </c>
      <c r="C2929" s="5">
        <f ca="1"/>
        <v>-0.44587337791263959</v>
      </c>
      <c r="D2929" s="5">
        <f ca="1">S0*EXP((μ-0.5*σ*σ)*T+σ*SQRT(T)*$C2929)</f>
        <v>0.63592836217459114</v>
      </c>
      <c r="E2929" s="5">
        <f ca="1">MAX(0,CP*(D2929-K))</f>
        <v>0</v>
      </c>
      <c r="F2929" s="4">
        <f ca="1">(CP*(D2929-K)&gt;0)*1</f>
        <v>0</v>
      </c>
      <c r="H2929" s="4">
        <v>2914</v>
      </c>
      <c r="I2929" s="3">
        <v>0.66777009415914934</v>
      </c>
      <c r="J2929" s="128">
        <v>1.3805435577530776E-3</v>
      </c>
      <c r="K2929" s="128"/>
      <c r="L2929" s="128">
        <v>4.24E-2</v>
      </c>
      <c r="O2929" s="2"/>
    </row>
    <row r="2930" spans="2:15" x14ac:dyDescent="0.2">
      <c r="B2930" s="1">
        <v>2915</v>
      </c>
      <c r="C2930" s="5">
        <f ca="1"/>
        <v>1.1492077625150481</v>
      </c>
      <c r="D2930" s="5">
        <f ca="1">S0*EXP((μ-0.5*σ*σ)*T+σ*SQRT(T)*$C2930)</f>
        <v>0.74422315738060951</v>
      </c>
      <c r="E2930" s="5">
        <f ca="1">MAX(0,CP*(D2930-K))</f>
        <v>0</v>
      </c>
      <c r="F2930" s="4">
        <f ca="1">(CP*(D2930-K)&gt;0)*1</f>
        <v>0</v>
      </c>
      <c r="H2930" s="4">
        <v>2915</v>
      </c>
      <c r="I2930" s="3">
        <v>0.6679061176724671</v>
      </c>
      <c r="J2930" s="128">
        <v>1.6097027974143138E-3</v>
      </c>
      <c r="K2930" s="128"/>
      <c r="L2930" s="128">
        <v>4.4999999999999998E-2</v>
      </c>
      <c r="O2930" s="2"/>
    </row>
    <row r="2931" spans="2:15" x14ac:dyDescent="0.2">
      <c r="B2931" s="1">
        <v>2916</v>
      </c>
      <c r="C2931" s="5">
        <f ca="1"/>
        <v>1.1953863561090867</v>
      </c>
      <c r="D2931" s="5">
        <f ca="1">S0*EXP((μ-0.5*σ*σ)*T+σ*SQRT(T)*$C2931)</f>
        <v>0.74761905484171176</v>
      </c>
      <c r="E2931" s="5">
        <f ca="1">MAX(0,CP*(D2931-K))</f>
        <v>0</v>
      </c>
      <c r="F2931" s="4">
        <f ca="1">(CP*(D2931-K)&gt;0)*1</f>
        <v>0</v>
      </c>
      <c r="H2931" s="4">
        <v>2916</v>
      </c>
      <c r="I2931" s="3">
        <v>0.66777220148382366</v>
      </c>
      <c r="J2931" s="128">
        <v>1.3430819886406629E-3</v>
      </c>
      <c r="K2931" s="128"/>
      <c r="L2931" s="128">
        <v>0.04</v>
      </c>
      <c r="O2931" s="2"/>
    </row>
    <row r="2932" spans="2:15" x14ac:dyDescent="0.2">
      <c r="B2932" s="1">
        <v>2917</v>
      </c>
      <c r="C2932" s="5">
        <f ca="1"/>
        <v>1.4041316688159193</v>
      </c>
      <c r="D2932" s="5">
        <f ca="1">S0*EXP((μ-0.5*σ*σ)*T+σ*SQRT(T)*$C2932)</f>
        <v>0.76316421846648852</v>
      </c>
      <c r="E2932" s="5">
        <f ca="1">MAX(0,CP*(D2932-K))</f>
        <v>0</v>
      </c>
      <c r="F2932" s="4">
        <f ca="1">(CP*(D2932-K)&gt;0)*1</f>
        <v>0</v>
      </c>
      <c r="H2932" s="4">
        <v>2917</v>
      </c>
      <c r="I2932" s="3">
        <v>0.66770955752539174</v>
      </c>
      <c r="J2932" s="128">
        <v>1.2956054546876729E-3</v>
      </c>
      <c r="K2932" s="128"/>
      <c r="L2932" s="128">
        <v>0.04</v>
      </c>
      <c r="O2932" s="2"/>
    </row>
    <row r="2933" spans="2:15" x14ac:dyDescent="0.2">
      <c r="B2933" s="1">
        <v>2918</v>
      </c>
      <c r="C2933" s="5">
        <f ca="1"/>
        <v>-0.71779938179947267</v>
      </c>
      <c r="D2933" s="5">
        <f ca="1">S0*EXP((μ-0.5*σ*σ)*T+σ*SQRT(T)*$C2933)</f>
        <v>0.61910656973833744</v>
      </c>
      <c r="E2933" s="5">
        <f ca="1">MAX(0,CP*(D2933-K))</f>
        <v>0</v>
      </c>
      <c r="F2933" s="4">
        <f ca="1">(CP*(D2933-K)&gt;0)*1</f>
        <v>0</v>
      </c>
      <c r="H2933" s="4">
        <v>2918</v>
      </c>
      <c r="I2933" s="3">
        <v>0.66772355296113139</v>
      </c>
      <c r="J2933" s="128">
        <v>1.386262502792737E-3</v>
      </c>
      <c r="K2933" s="128"/>
      <c r="L2933" s="128">
        <v>4.2000000000000003E-2</v>
      </c>
      <c r="O2933" s="2"/>
    </row>
    <row r="2934" spans="2:15" x14ac:dyDescent="0.2">
      <c r="B2934" s="1">
        <v>2919</v>
      </c>
      <c r="C2934" s="5">
        <f ca="1"/>
        <v>0.3446314953642185</v>
      </c>
      <c r="D2934" s="5">
        <f ca="1">S0*EXP((μ-0.5*σ*σ)*T+σ*SQRT(T)*$C2934)</f>
        <v>0.68747110129794076</v>
      </c>
      <c r="E2934" s="5">
        <f ca="1">MAX(0,CP*(D2934-K))</f>
        <v>0</v>
      </c>
      <c r="F2934" s="4">
        <f ca="1">(CP*(D2934-K)&gt;0)*1</f>
        <v>0</v>
      </c>
      <c r="H2934" s="4">
        <v>2919</v>
      </c>
      <c r="I2934" s="3">
        <v>0.66781274194351081</v>
      </c>
      <c r="J2934" s="128">
        <v>1.4392499637585856E-3</v>
      </c>
      <c r="K2934" s="128"/>
      <c r="L2934" s="128">
        <v>4.2200000000000001E-2</v>
      </c>
      <c r="O2934" s="2"/>
    </row>
    <row r="2935" spans="2:15" x14ac:dyDescent="0.2">
      <c r="B2935" s="1">
        <v>2920</v>
      </c>
      <c r="C2935" s="5">
        <f ca="1"/>
        <v>1.9578472132023381</v>
      </c>
      <c r="D2935" s="5">
        <f ca="1">S0*EXP((μ-0.5*σ*σ)*T+σ*SQRT(T)*$C2935)</f>
        <v>0.80598299958083608</v>
      </c>
      <c r="E2935" s="5">
        <f ca="1">MAX(0,CP*(D2935-K))</f>
        <v>1.7782999580836067E-2</v>
      </c>
      <c r="F2935" s="4">
        <f ca="1">(CP*(D2935-K)&gt;0)*1</f>
        <v>1</v>
      </c>
      <c r="H2935" s="4">
        <v>2920</v>
      </c>
      <c r="I2935" s="3">
        <v>0.66765471172146518</v>
      </c>
      <c r="J2935" s="128">
        <v>1.4269212826393549E-3</v>
      </c>
      <c r="K2935" s="128"/>
      <c r="L2935" s="128">
        <v>3.9600000000000003E-2</v>
      </c>
      <c r="O2935" s="2"/>
    </row>
    <row r="2936" spans="2:15" x14ac:dyDescent="0.2">
      <c r="B2936" s="1">
        <v>2921</v>
      </c>
      <c r="C2936" s="5">
        <f ca="1"/>
        <v>1.062015800813128</v>
      </c>
      <c r="D2936" s="5">
        <f ca="1">S0*EXP((μ-0.5*σ*σ)*T+σ*SQRT(T)*$C2936)</f>
        <v>0.73785320654042186</v>
      </c>
      <c r="E2936" s="5">
        <f ca="1">MAX(0,CP*(D2936-K))</f>
        <v>0</v>
      </c>
      <c r="F2936" s="4">
        <f ca="1">(CP*(D2936-K)&gt;0)*1</f>
        <v>0</v>
      </c>
      <c r="H2936" s="4">
        <v>2921</v>
      </c>
      <c r="I2936" s="3">
        <v>0.66769469186163977</v>
      </c>
      <c r="J2936" s="128">
        <v>1.2905204705786718E-3</v>
      </c>
      <c r="K2936" s="128"/>
      <c r="L2936" s="128">
        <v>3.6600000000000001E-2</v>
      </c>
      <c r="O2936" s="2"/>
    </row>
    <row r="2937" spans="2:15" x14ac:dyDescent="0.2">
      <c r="B2937" s="1">
        <v>2922</v>
      </c>
      <c r="C2937" s="5">
        <f ca="1"/>
        <v>1.1844535360761876</v>
      </c>
      <c r="D2937" s="5">
        <f ca="1">S0*EXP((μ-0.5*σ*σ)*T+σ*SQRT(T)*$C2937)</f>
        <v>0.74681367593165948</v>
      </c>
      <c r="E2937" s="5">
        <f ca="1">MAX(0,CP*(D2937-K))</f>
        <v>0</v>
      </c>
      <c r="F2937" s="4">
        <f ca="1">(CP*(D2937-K)&gt;0)*1</f>
        <v>0</v>
      </c>
      <c r="H2937" s="4">
        <v>2922</v>
      </c>
      <c r="I2937" s="3">
        <v>0.66761052315211333</v>
      </c>
      <c r="J2937" s="128">
        <v>1.2258687674210555E-3</v>
      </c>
      <c r="K2937" s="128"/>
      <c r="L2937" s="128">
        <v>3.9199999999999999E-2</v>
      </c>
      <c r="O2937" s="2"/>
    </row>
    <row r="2938" spans="2:15" x14ac:dyDescent="0.2">
      <c r="B2938" s="1">
        <v>2923</v>
      </c>
      <c r="C2938" s="5">
        <f ca="1"/>
        <v>-7.5957350425172029E-2</v>
      </c>
      <c r="D2938" s="5">
        <f ca="1">S0*EXP((μ-0.5*σ*σ)*T+σ*SQRT(T)*$C2938)</f>
        <v>0.65954816630721258</v>
      </c>
      <c r="E2938" s="5">
        <f ca="1">MAX(0,CP*(D2938-K))</f>
        <v>0</v>
      </c>
      <c r="F2938" s="4">
        <f ca="1">(CP*(D2938-K)&gt;0)*1</f>
        <v>0</v>
      </c>
      <c r="H2938" s="4">
        <v>2923</v>
      </c>
      <c r="I2938" s="3">
        <v>0.66783902365937819</v>
      </c>
      <c r="J2938" s="128">
        <v>1.4376044330469779E-3</v>
      </c>
      <c r="K2938" s="128"/>
      <c r="L2938" s="128">
        <v>4.4200000000000003E-2</v>
      </c>
      <c r="O2938" s="2"/>
    </row>
    <row r="2939" spans="2:15" x14ac:dyDescent="0.2">
      <c r="B2939" s="1">
        <v>2924</v>
      </c>
      <c r="C2939" s="5">
        <f ca="1"/>
        <v>0.81494790407578344</v>
      </c>
      <c r="D2939" s="5">
        <f ca="1">S0*EXP((μ-0.5*σ*σ)*T+σ*SQRT(T)*$C2939)</f>
        <v>0.72009784520490572</v>
      </c>
      <c r="E2939" s="5">
        <f ca="1">MAX(0,CP*(D2939-K))</f>
        <v>0</v>
      </c>
      <c r="F2939" s="4">
        <f ca="1">(CP*(D2939-K)&gt;0)*1</f>
        <v>0</v>
      </c>
      <c r="H2939" s="4">
        <v>2924</v>
      </c>
      <c r="I2939" s="3">
        <v>0.66765014530323574</v>
      </c>
      <c r="J2939" s="128">
        <v>1.277769710661638E-3</v>
      </c>
      <c r="K2939" s="128"/>
      <c r="L2939" s="128">
        <v>3.6200000000000003E-2</v>
      </c>
      <c r="O2939" s="2"/>
    </row>
    <row r="2940" spans="2:15" x14ac:dyDescent="0.2">
      <c r="B2940" s="1">
        <v>2925</v>
      </c>
      <c r="C2940" s="5">
        <f ca="1"/>
        <v>-0.73225411116957373</v>
      </c>
      <c r="D2940" s="5">
        <f ca="1">S0*EXP((μ-0.5*σ*σ)*T+σ*SQRT(T)*$C2940)</f>
        <v>0.61822493704206116</v>
      </c>
      <c r="E2940" s="5">
        <f ca="1">MAX(0,CP*(D2940-K))</f>
        <v>0</v>
      </c>
      <c r="F2940" s="4">
        <f ca="1">(CP*(D2940-K)&gt;0)*1</f>
        <v>0</v>
      </c>
      <c r="H2940" s="4">
        <v>2925</v>
      </c>
      <c r="I2940" s="3">
        <v>0.66766614262899249</v>
      </c>
      <c r="J2940" s="128">
        <v>1.3407618952990118E-3</v>
      </c>
      <c r="K2940" s="128"/>
      <c r="L2940" s="128">
        <v>0.04</v>
      </c>
      <c r="O2940" s="2"/>
    </row>
    <row r="2941" spans="2:15" x14ac:dyDescent="0.2">
      <c r="B2941" s="1">
        <v>2926</v>
      </c>
      <c r="C2941" s="5">
        <f ca="1"/>
        <v>0.25861665185801203</v>
      </c>
      <c r="D2941" s="5">
        <f ca="1">S0*EXP((μ-0.5*σ*σ)*T+σ*SQRT(T)*$C2941)</f>
        <v>0.68166600448993986</v>
      </c>
      <c r="E2941" s="5">
        <f ca="1">MAX(0,CP*(D2941-K))</f>
        <v>0</v>
      </c>
      <c r="F2941" s="4">
        <f ca="1">(CP*(D2941-K)&gt;0)*1</f>
        <v>0</v>
      </c>
      <c r="H2941" s="4">
        <v>2926</v>
      </c>
      <c r="I2941" s="3">
        <v>0.66766392227520388</v>
      </c>
      <c r="J2941" s="128">
        <v>1.1450177068368791E-3</v>
      </c>
      <c r="K2941" s="128"/>
      <c r="L2941" s="128">
        <v>4.0599999999999997E-2</v>
      </c>
      <c r="O2941" s="2"/>
    </row>
    <row r="2942" spans="2:15" x14ac:dyDescent="0.2">
      <c r="B2942" s="1">
        <v>2927</v>
      </c>
      <c r="C2942" s="5">
        <f ca="1"/>
        <v>-0.74109394533080064</v>
      </c>
      <c r="D2942" s="5">
        <f ca="1">S0*EXP((μ-0.5*σ*σ)*T+σ*SQRT(T)*$C2942)</f>
        <v>0.61768639064133701</v>
      </c>
      <c r="E2942" s="5">
        <f ca="1">MAX(0,CP*(D2942-K))</f>
        <v>0</v>
      </c>
      <c r="F2942" s="4">
        <f ca="1">(CP*(D2942-K)&gt;0)*1</f>
        <v>0</v>
      </c>
      <c r="H2942" s="4">
        <v>2927</v>
      </c>
      <c r="I2942" s="3">
        <v>0.66763308383897324</v>
      </c>
      <c r="J2942" s="128">
        <v>1.2033888084781543E-3</v>
      </c>
      <c r="K2942" s="128"/>
      <c r="L2942" s="128">
        <v>4.0599999999999997E-2</v>
      </c>
      <c r="O2942" s="2"/>
    </row>
    <row r="2943" spans="2:15" x14ac:dyDescent="0.2">
      <c r="B2943" s="1">
        <v>2928</v>
      </c>
      <c r="C2943" s="5">
        <f ca="1"/>
        <v>0.72824580287020435</v>
      </c>
      <c r="D2943" s="5">
        <f ca="1">S0*EXP((μ-0.5*σ*σ)*T+σ*SQRT(T)*$C2943)</f>
        <v>0.71396886726293329</v>
      </c>
      <c r="E2943" s="5">
        <f ca="1">MAX(0,CP*(D2943-K))</f>
        <v>0</v>
      </c>
      <c r="F2943" s="4">
        <f ca="1">(CP*(D2943-K)&gt;0)*1</f>
        <v>0</v>
      </c>
      <c r="H2943" s="4">
        <v>2928</v>
      </c>
      <c r="I2943" s="3">
        <v>0.66770625930769389</v>
      </c>
      <c r="J2943" s="128">
        <v>1.3397514495632461E-3</v>
      </c>
      <c r="K2943" s="128"/>
      <c r="L2943" s="128">
        <v>4.2599999999999999E-2</v>
      </c>
      <c r="O2943" s="2"/>
    </row>
    <row r="2944" spans="2:15" x14ac:dyDescent="0.2">
      <c r="B2944" s="1">
        <v>2929</v>
      </c>
      <c r="C2944" s="5">
        <f ca="1"/>
        <v>1.5476203918636573</v>
      </c>
      <c r="D2944" s="5">
        <f ca="1">S0*EXP((μ-0.5*σ*σ)*T+σ*SQRT(T)*$C2944)</f>
        <v>0.77403680614362358</v>
      </c>
      <c r="E2944" s="5">
        <f ca="1">MAX(0,CP*(D2944-K))</f>
        <v>0</v>
      </c>
      <c r="F2944" s="4">
        <f ca="1">(CP*(D2944-K)&gt;0)*1</f>
        <v>0</v>
      </c>
      <c r="H2944" s="4">
        <v>2929</v>
      </c>
      <c r="I2944" s="3">
        <v>0.66772854223707545</v>
      </c>
      <c r="J2944" s="128">
        <v>1.2949108234810364E-3</v>
      </c>
      <c r="K2944" s="128"/>
      <c r="L2944" s="128">
        <v>3.9E-2</v>
      </c>
      <c r="O2944" s="2"/>
    </row>
    <row r="2945" spans="2:15" x14ac:dyDescent="0.2">
      <c r="B2945" s="1">
        <v>2930</v>
      </c>
      <c r="C2945" s="5">
        <f ca="1"/>
        <v>3.4104144781571658E-2</v>
      </c>
      <c r="D2945" s="5">
        <f ca="1">S0*EXP((μ-0.5*σ*σ)*T+σ*SQRT(T)*$C2945)</f>
        <v>0.66674368280003049</v>
      </c>
      <c r="E2945" s="5">
        <f ca="1">MAX(0,CP*(D2945-K))</f>
        <v>0</v>
      </c>
      <c r="F2945" s="4">
        <f ca="1">(CP*(D2945-K)&gt;0)*1</f>
        <v>0</v>
      </c>
      <c r="H2945" s="4">
        <v>2930</v>
      </c>
      <c r="I2945" s="3">
        <v>0.66790839659026047</v>
      </c>
      <c r="J2945" s="128">
        <v>1.5309180808191034E-3</v>
      </c>
      <c r="K2945" s="128"/>
      <c r="L2945" s="128">
        <v>4.6399999999999997E-2</v>
      </c>
      <c r="O2945" s="2"/>
    </row>
    <row r="2946" spans="2:15" x14ac:dyDescent="0.2">
      <c r="B2946" s="1">
        <v>2931</v>
      </c>
      <c r="C2946" s="5">
        <f ca="1"/>
        <v>0.12298626852272472</v>
      </c>
      <c r="D2946" s="5">
        <f ca="1">S0*EXP((μ-0.5*σ*σ)*T+σ*SQRT(T)*$C2946)</f>
        <v>0.6726118061037526</v>
      </c>
      <c r="E2946" s="5">
        <f ca="1">MAX(0,CP*(D2946-K))</f>
        <v>0</v>
      </c>
      <c r="F2946" s="4">
        <f ca="1">(CP*(D2946-K)&gt;0)*1</f>
        <v>0</v>
      </c>
      <c r="H2946" s="4">
        <v>2931</v>
      </c>
      <c r="I2946" s="3">
        <v>0.66789681366732001</v>
      </c>
      <c r="J2946" s="128">
        <v>1.5228624091921509E-3</v>
      </c>
      <c r="K2946" s="128"/>
      <c r="L2946" s="128">
        <v>4.7399999999999998E-2</v>
      </c>
      <c r="O2946" s="2"/>
    </row>
    <row r="2947" spans="2:15" x14ac:dyDescent="0.2">
      <c r="B2947" s="1">
        <v>2932</v>
      </c>
      <c r="C2947" s="5">
        <f ca="1"/>
        <v>-1.056612609990097</v>
      </c>
      <c r="D2947" s="5">
        <f ca="1">S0*EXP((μ-0.5*σ*σ)*T+σ*SQRT(T)*$C2947)</f>
        <v>0.59876828288125505</v>
      </c>
      <c r="E2947" s="5">
        <f ca="1">MAX(0,CP*(D2947-K))</f>
        <v>0</v>
      </c>
      <c r="F2947" s="4">
        <f ca="1">(CP*(D2947-K)&gt;0)*1</f>
        <v>0</v>
      </c>
      <c r="H2947" s="4">
        <v>2932</v>
      </c>
      <c r="I2947" s="3">
        <v>0.66773730498011397</v>
      </c>
      <c r="J2947" s="128">
        <v>1.4388422762754022E-3</v>
      </c>
      <c r="K2947" s="128"/>
      <c r="L2947" s="128">
        <v>3.9E-2</v>
      </c>
      <c r="O2947" s="2"/>
    </row>
    <row r="2948" spans="2:15" x14ac:dyDescent="0.2">
      <c r="B2948" s="1">
        <v>2933</v>
      </c>
      <c r="C2948" s="5">
        <f ca="1"/>
        <v>1.7640876440095952</v>
      </c>
      <c r="D2948" s="5">
        <f ca="1">S0*EXP((μ-0.5*σ*σ)*T+σ*SQRT(T)*$C2948)</f>
        <v>0.79073301653435391</v>
      </c>
      <c r="E2948" s="5">
        <f ca="1">MAX(0,CP*(D2948-K))</f>
        <v>2.5330165343538935E-3</v>
      </c>
      <c r="F2948" s="4">
        <f ca="1">(CP*(D2948-K)&gt;0)*1</f>
        <v>1</v>
      </c>
      <c r="H2948" s="4">
        <v>2933</v>
      </c>
      <c r="I2948" s="3">
        <v>0.66769717594801692</v>
      </c>
      <c r="J2948" s="128">
        <v>1.4064605177204852E-3</v>
      </c>
      <c r="K2948" s="128"/>
      <c r="L2948" s="128">
        <v>4.1399999999999999E-2</v>
      </c>
      <c r="O2948" s="2"/>
    </row>
    <row r="2949" spans="2:15" x14ac:dyDescent="0.2">
      <c r="B2949" s="1">
        <v>2934</v>
      </c>
      <c r="C2949" s="5">
        <f ca="1"/>
        <v>0.56957265174979121</v>
      </c>
      <c r="D2949" s="5">
        <f ca="1">S0*EXP((μ-0.5*σ*σ)*T+σ*SQRT(T)*$C2949)</f>
        <v>0.70288702419831306</v>
      </c>
      <c r="E2949" s="5">
        <f ca="1">MAX(0,CP*(D2949-K))</f>
        <v>0</v>
      </c>
      <c r="F2949" s="4">
        <f ca="1">(CP*(D2949-K)&gt;0)*1</f>
        <v>0</v>
      </c>
      <c r="H2949" s="4">
        <v>2934</v>
      </c>
      <c r="I2949" s="3">
        <v>0.66760213530459322</v>
      </c>
      <c r="J2949" s="128">
        <v>1.1929318544488812E-3</v>
      </c>
      <c r="K2949" s="128"/>
      <c r="L2949" s="128">
        <v>3.78E-2</v>
      </c>
      <c r="O2949" s="2"/>
    </row>
    <row r="2950" spans="2:15" x14ac:dyDescent="0.2">
      <c r="B2950" s="1">
        <v>2935</v>
      </c>
      <c r="C2950" s="5">
        <f ca="1"/>
        <v>0.42702605677101313</v>
      </c>
      <c r="D2950" s="5">
        <f ca="1">S0*EXP((μ-0.5*σ*σ)*T+σ*SQRT(T)*$C2950)</f>
        <v>0.69307822077482439</v>
      </c>
      <c r="E2950" s="5">
        <f ca="1">MAX(0,CP*(D2950-K))</f>
        <v>0</v>
      </c>
      <c r="F2950" s="4">
        <f ca="1">(CP*(D2950-K)&gt;0)*1</f>
        <v>0</v>
      </c>
      <c r="H2950" s="4">
        <v>2935</v>
      </c>
      <c r="I2950" s="3">
        <v>0.66783227138491519</v>
      </c>
      <c r="J2950" s="128">
        <v>1.601478140756668E-3</v>
      </c>
      <c r="K2950" s="128"/>
      <c r="L2950" s="128">
        <v>4.3400000000000001E-2</v>
      </c>
      <c r="O2950" s="2"/>
    </row>
    <row r="2951" spans="2:15" x14ac:dyDescent="0.2">
      <c r="B2951" s="1">
        <v>2936</v>
      </c>
      <c r="C2951" s="5">
        <f ca="1"/>
        <v>-4.1539914711219962E-2</v>
      </c>
      <c r="D2951" s="5">
        <f ca="1">S0*EXP((μ-0.5*σ*σ)*T+σ*SQRT(T)*$C2951)</f>
        <v>0.66178989868459936</v>
      </c>
      <c r="E2951" s="5">
        <f ca="1">MAX(0,CP*(D2951-K))</f>
        <v>0</v>
      </c>
      <c r="F2951" s="4">
        <f ca="1">(CP*(D2951-K)&gt;0)*1</f>
        <v>0</v>
      </c>
      <c r="H2951" s="4">
        <v>2936</v>
      </c>
      <c r="I2951" s="3">
        <v>0.66765743463206384</v>
      </c>
      <c r="J2951" s="128">
        <v>1.3086646383500681E-3</v>
      </c>
      <c r="K2951" s="128"/>
      <c r="L2951" s="128">
        <v>3.9199999999999999E-2</v>
      </c>
      <c r="O2951" s="2"/>
    </row>
    <row r="2952" spans="2:15" x14ac:dyDescent="0.2">
      <c r="B2952" s="1">
        <v>2937</v>
      </c>
      <c r="C2952" s="5">
        <f ca="1"/>
        <v>-7.7321720454721882E-2</v>
      </c>
      <c r="D2952" s="5">
        <f ca="1">S0*EXP((μ-0.5*σ*σ)*T+σ*SQRT(T)*$C2952)</f>
        <v>0.65945945658881955</v>
      </c>
      <c r="E2952" s="5">
        <f ca="1">MAX(0,CP*(D2952-K))</f>
        <v>0</v>
      </c>
      <c r="F2952" s="4">
        <f ca="1">(CP*(D2952-K)&gt;0)*1</f>
        <v>0</v>
      </c>
      <c r="H2952" s="4">
        <v>2937</v>
      </c>
      <c r="I2952" s="3">
        <v>0.66762618545278773</v>
      </c>
      <c r="J2952" s="128">
        <v>1.1358731747408419E-3</v>
      </c>
      <c r="K2952" s="128"/>
      <c r="L2952" s="128">
        <v>3.8199999999999998E-2</v>
      </c>
      <c r="O2952" s="2"/>
    </row>
    <row r="2953" spans="2:15" x14ac:dyDescent="0.2">
      <c r="B2953" s="1">
        <v>2938</v>
      </c>
      <c r="C2953" s="5">
        <f ca="1"/>
        <v>-9.6387719392616727E-2</v>
      </c>
      <c r="D2953" s="5">
        <f ca="1">S0*EXP((μ-0.5*σ*σ)*T+σ*SQRT(T)*$C2953)</f>
        <v>0.65822105561597233</v>
      </c>
      <c r="E2953" s="5">
        <f ca="1">MAX(0,CP*(D2953-K))</f>
        <v>0</v>
      </c>
      <c r="F2953" s="4">
        <f ca="1">(CP*(D2953-K)&gt;0)*1</f>
        <v>0</v>
      </c>
      <c r="H2953" s="4">
        <v>2938</v>
      </c>
      <c r="I2953" s="3">
        <v>0.66776833345468789</v>
      </c>
      <c r="J2953" s="128">
        <v>1.4144539443358588E-3</v>
      </c>
      <c r="K2953" s="128"/>
      <c r="L2953" s="128">
        <v>4.2999999999999997E-2</v>
      </c>
      <c r="O2953" s="2"/>
    </row>
    <row r="2954" spans="2:15" x14ac:dyDescent="0.2">
      <c r="B2954" s="1">
        <v>2939</v>
      </c>
      <c r="C2954" s="5">
        <f ca="1"/>
        <v>-0.44567290348272404</v>
      </c>
      <c r="D2954" s="5">
        <f ca="1">S0*EXP((μ-0.5*σ*σ)*T+σ*SQRT(T)*$C2954)</f>
        <v>0.63594093095660864</v>
      </c>
      <c r="E2954" s="5">
        <f ca="1">MAX(0,CP*(D2954-K))</f>
        <v>0</v>
      </c>
      <c r="F2954" s="4">
        <f ca="1">(CP*(D2954-K)&gt;0)*1</f>
        <v>0</v>
      </c>
      <c r="H2954" s="4">
        <v>2939</v>
      </c>
      <c r="I2954" s="3">
        <v>0.66773645994019104</v>
      </c>
      <c r="J2954" s="128">
        <v>1.3774947373529033E-3</v>
      </c>
      <c r="K2954" s="128"/>
      <c r="L2954" s="128">
        <v>4.02E-2</v>
      </c>
      <c r="O2954" s="2"/>
    </row>
    <row r="2955" spans="2:15" x14ac:dyDescent="0.2">
      <c r="B2955" s="1">
        <v>2940</v>
      </c>
      <c r="C2955" s="5">
        <f ca="1"/>
        <v>-0.42680875095958976</v>
      </c>
      <c r="D2955" s="5">
        <f ca="1">S0*EXP((μ-0.5*σ*σ)*T+σ*SQRT(T)*$C2955)</f>
        <v>0.63712473468744246</v>
      </c>
      <c r="E2955" s="5">
        <f ca="1">MAX(0,CP*(D2955-K))</f>
        <v>0</v>
      </c>
      <c r="F2955" s="4">
        <f ca="1">(CP*(D2955-K)&gt;0)*1</f>
        <v>0</v>
      </c>
      <c r="H2955" s="4">
        <v>2940</v>
      </c>
      <c r="I2955" s="3">
        <v>0.66788373665045564</v>
      </c>
      <c r="J2955" s="128">
        <v>1.6090650449942295E-3</v>
      </c>
      <c r="K2955" s="128"/>
      <c r="L2955" s="128">
        <v>4.3999999999999997E-2</v>
      </c>
      <c r="O2955" s="2"/>
    </row>
    <row r="2956" spans="2:15" x14ac:dyDescent="0.2">
      <c r="B2956" s="1">
        <v>2941</v>
      </c>
      <c r="C2956" s="5">
        <f ca="1"/>
        <v>1.6612710556485741</v>
      </c>
      <c r="D2956" s="5">
        <f ca="1">S0*EXP((μ-0.5*σ*σ)*T+σ*SQRT(T)*$C2956)</f>
        <v>0.78275829467888824</v>
      </c>
      <c r="E2956" s="5">
        <f ca="1">MAX(0,CP*(D2956-K))</f>
        <v>0</v>
      </c>
      <c r="F2956" s="4">
        <f ca="1">(CP*(D2956-K)&gt;0)*1</f>
        <v>0</v>
      </c>
      <c r="H2956" s="4">
        <v>2941</v>
      </c>
      <c r="I2956" s="3">
        <v>0.66749980608624915</v>
      </c>
      <c r="J2956" s="128">
        <v>1.1144515455751888E-3</v>
      </c>
      <c r="K2956" s="128"/>
      <c r="L2956" s="128">
        <v>3.3399999999999999E-2</v>
      </c>
      <c r="O2956" s="2"/>
    </row>
    <row r="2957" spans="2:15" x14ac:dyDescent="0.2">
      <c r="B2957" s="1">
        <v>2942</v>
      </c>
      <c r="C2957" s="5">
        <f ca="1"/>
        <v>-0.66964921959304535</v>
      </c>
      <c r="D2957" s="5">
        <f ca="1">S0*EXP((μ-0.5*σ*σ)*T+σ*SQRT(T)*$C2957)</f>
        <v>0.62205245680647037</v>
      </c>
      <c r="E2957" s="5">
        <f ca="1">MAX(0,CP*(D2957-K))</f>
        <v>0</v>
      </c>
      <c r="F2957" s="4">
        <f ca="1">(CP*(D2957-K)&gt;0)*1</f>
        <v>0</v>
      </c>
      <c r="H2957" s="4">
        <v>2942</v>
      </c>
      <c r="I2957" s="3">
        <v>0.66775385381006891</v>
      </c>
      <c r="J2957" s="128">
        <v>1.3561307543317057E-3</v>
      </c>
      <c r="K2957" s="128"/>
      <c r="L2957" s="128">
        <v>3.8600000000000002E-2</v>
      </c>
      <c r="O2957" s="2"/>
    </row>
    <row r="2958" spans="2:15" x14ac:dyDescent="0.2">
      <c r="B2958" s="1">
        <v>2943</v>
      </c>
      <c r="C2958" s="5">
        <f ca="1"/>
        <v>1.299113484691155</v>
      </c>
      <c r="D2958" s="5">
        <f ca="1">S0*EXP((μ-0.5*σ*σ)*T+σ*SQRT(T)*$C2958)</f>
        <v>0.75530357794393232</v>
      </c>
      <c r="E2958" s="5">
        <f ca="1">MAX(0,CP*(D2958-K))</f>
        <v>0</v>
      </c>
      <c r="F2958" s="4">
        <f ca="1">(CP*(D2958-K)&gt;0)*1</f>
        <v>0</v>
      </c>
      <c r="H2958" s="4">
        <v>2943</v>
      </c>
      <c r="I2958" s="3">
        <v>0.66752156497782111</v>
      </c>
      <c r="J2958" s="128">
        <v>1.0204914120948627E-3</v>
      </c>
      <c r="K2958" s="128"/>
      <c r="L2958" s="128">
        <v>3.5400000000000001E-2</v>
      </c>
      <c r="O2958" s="2"/>
    </row>
    <row r="2959" spans="2:15" x14ac:dyDescent="0.2">
      <c r="B2959" s="1">
        <v>2944</v>
      </c>
      <c r="C2959" s="5">
        <f ca="1"/>
        <v>-0.84868941028044254</v>
      </c>
      <c r="D2959" s="5">
        <f ca="1">S0*EXP((μ-0.5*σ*σ)*T+σ*SQRT(T)*$C2959)</f>
        <v>0.61116887094065242</v>
      </c>
      <c r="E2959" s="5">
        <f ca="1">MAX(0,CP*(D2959-K))</f>
        <v>0</v>
      </c>
      <c r="F2959" s="4">
        <f ca="1">(CP*(D2959-K)&gt;0)*1</f>
        <v>0</v>
      </c>
      <c r="H2959" s="4">
        <v>2944</v>
      </c>
      <c r="I2959" s="3">
        <v>0.66765334863090087</v>
      </c>
      <c r="J2959" s="128">
        <v>1.2578249786190151E-3</v>
      </c>
      <c r="K2959" s="128"/>
      <c r="L2959" s="128">
        <v>3.8800000000000001E-2</v>
      </c>
      <c r="O2959" s="2"/>
    </row>
    <row r="2960" spans="2:15" x14ac:dyDescent="0.2">
      <c r="B2960" s="1">
        <v>2945</v>
      </c>
      <c r="C2960" s="5">
        <f ca="1"/>
        <v>5.8162729589461601E-2</v>
      </c>
      <c r="D2960" s="5">
        <f ca="1">S0*EXP((μ-0.5*σ*σ)*T+σ*SQRT(T)*$C2960)</f>
        <v>0.66832699243786997</v>
      </c>
      <c r="E2960" s="5">
        <f ca="1">MAX(0,CP*(D2960-K))</f>
        <v>0</v>
      </c>
      <c r="F2960" s="4">
        <f ca="1">(CP*(D2960-K)&gt;0)*1</f>
        <v>0</v>
      </c>
      <c r="H2960" s="4">
        <v>2945</v>
      </c>
      <c r="I2960" s="3">
        <v>0.66759271736261672</v>
      </c>
      <c r="J2960" s="128">
        <v>1.249399799967497E-3</v>
      </c>
      <c r="K2960" s="128"/>
      <c r="L2960" s="128">
        <v>3.6999999999999998E-2</v>
      </c>
      <c r="O2960" s="2"/>
    </row>
    <row r="2961" spans="2:15" x14ac:dyDescent="0.2">
      <c r="B2961" s="1">
        <v>2946</v>
      </c>
      <c r="C2961" s="5">
        <f ca="1"/>
        <v>-0.97453178106859961</v>
      </c>
      <c r="D2961" s="5">
        <f ca="1">S0*EXP((μ-0.5*σ*σ)*T+σ*SQRT(T)*$C2961)</f>
        <v>0.60363325787979927</v>
      </c>
      <c r="E2961" s="5">
        <f ca="1">MAX(0,CP*(D2961-K))</f>
        <v>0</v>
      </c>
      <c r="F2961" s="4">
        <f ca="1">(CP*(D2961-K)&gt;0)*1</f>
        <v>0</v>
      </c>
      <c r="H2961" s="4">
        <v>2946</v>
      </c>
      <c r="I2961" s="3">
        <v>0.66776125895125416</v>
      </c>
      <c r="J2961" s="128">
        <v>1.2796641374316516E-3</v>
      </c>
      <c r="K2961" s="128"/>
      <c r="L2961" s="128">
        <v>4.3999999999999997E-2</v>
      </c>
      <c r="O2961" s="2"/>
    </row>
    <row r="2962" spans="2:15" x14ac:dyDescent="0.2">
      <c r="B2962" s="1">
        <v>2947</v>
      </c>
      <c r="C2962" s="5">
        <f ca="1"/>
        <v>-1.1047758950991438</v>
      </c>
      <c r="D2962" s="5">
        <f ca="1">S0*EXP((μ-0.5*σ*σ)*T+σ*SQRT(T)*$C2962)</f>
        <v>0.59593189293047988</v>
      </c>
      <c r="E2962" s="5">
        <f ca="1">MAX(0,CP*(D2962-K))</f>
        <v>0</v>
      </c>
      <c r="F2962" s="4">
        <f ca="1">(CP*(D2962-K)&gt;0)*1</f>
        <v>0</v>
      </c>
      <c r="H2962" s="4">
        <v>2947</v>
      </c>
      <c r="I2962" s="3">
        <v>0.66776823367813276</v>
      </c>
      <c r="J2962" s="128">
        <v>1.2655583339315692E-3</v>
      </c>
      <c r="K2962" s="128"/>
      <c r="L2962" s="128">
        <v>4.36E-2</v>
      </c>
      <c r="O2962" s="2"/>
    </row>
    <row r="2963" spans="2:15" x14ac:dyDescent="0.2">
      <c r="B2963" s="1">
        <v>2948</v>
      </c>
      <c r="C2963" s="5">
        <f ca="1"/>
        <v>1.2339605713209556E-2</v>
      </c>
      <c r="D2963" s="5">
        <f ca="1">S0*EXP((μ-0.5*σ*σ)*T+σ*SQRT(T)*$C2963)</f>
        <v>0.66531457742618416</v>
      </c>
      <c r="E2963" s="5">
        <f ca="1">MAX(0,CP*(D2963-K))</f>
        <v>0</v>
      </c>
      <c r="F2963" s="4">
        <f ca="1">(CP*(D2963-K)&gt;0)*1</f>
        <v>0</v>
      </c>
      <c r="H2963" s="4">
        <v>2948</v>
      </c>
      <c r="I2963" s="3">
        <v>0.66762931144032234</v>
      </c>
      <c r="J2963" s="128">
        <v>1.2329838908108725E-3</v>
      </c>
      <c r="K2963" s="128"/>
      <c r="L2963" s="128">
        <v>3.9600000000000003E-2</v>
      </c>
      <c r="O2963" s="2"/>
    </row>
    <row r="2964" spans="2:15" x14ac:dyDescent="0.2">
      <c r="B2964" s="1">
        <v>2949</v>
      </c>
      <c r="C2964" s="5">
        <f ca="1"/>
        <v>1.0027701168769418</v>
      </c>
      <c r="D2964" s="5">
        <f ca="1">S0*EXP((μ-0.5*σ*σ)*T+σ*SQRT(T)*$C2964)</f>
        <v>0.73355605476936636</v>
      </c>
      <c r="E2964" s="5">
        <f ca="1">MAX(0,CP*(D2964-K))</f>
        <v>0</v>
      </c>
      <c r="F2964" s="4">
        <f ca="1">(CP*(D2964-K)&gt;0)*1</f>
        <v>0</v>
      </c>
      <c r="H2964" s="4">
        <v>2949</v>
      </c>
      <c r="I2964" s="3">
        <v>0.66773682096127596</v>
      </c>
      <c r="J2964" s="128">
        <v>1.3387423959337046E-3</v>
      </c>
      <c r="K2964" s="128"/>
      <c r="L2964" s="128">
        <v>3.9E-2</v>
      </c>
      <c r="O2964" s="2"/>
    </row>
    <row r="2965" spans="2:15" x14ac:dyDescent="0.2">
      <c r="B2965" s="1">
        <v>2950</v>
      </c>
      <c r="C2965" s="5">
        <f ca="1"/>
        <v>2.5612982945026164</v>
      </c>
      <c r="D2965" s="5">
        <f ca="1">S0*EXP((μ-0.5*σ*σ)*T+σ*SQRT(T)*$C2965)</f>
        <v>0.85538816936855244</v>
      </c>
      <c r="E2965" s="5">
        <f ca="1">MAX(0,CP*(D2965-K))</f>
        <v>6.7188169368552431E-2</v>
      </c>
      <c r="F2965" s="4">
        <f ca="1">(CP*(D2965-K)&gt;0)*1</f>
        <v>1</v>
      </c>
      <c r="H2965" s="4">
        <v>2950</v>
      </c>
      <c r="I2965" s="3">
        <v>0.66787962621363617</v>
      </c>
      <c r="J2965" s="128">
        <v>1.4419717319300155E-3</v>
      </c>
      <c r="K2965" s="128"/>
      <c r="L2965" s="128">
        <v>4.58E-2</v>
      </c>
      <c r="O2965" s="2"/>
    </row>
    <row r="2966" spans="2:15" x14ac:dyDescent="0.2">
      <c r="B2966" s="1">
        <v>2951</v>
      </c>
      <c r="C2966" s="5">
        <f ca="1"/>
        <v>-1.5759306351042239</v>
      </c>
      <c r="D2966" s="5">
        <f ca="1">S0*EXP((μ-0.5*σ*σ)*T+σ*SQRT(T)*$C2966)</f>
        <v>0.56888393534300941</v>
      </c>
      <c r="E2966" s="5">
        <f ca="1">MAX(0,CP*(D2966-K))</f>
        <v>0</v>
      </c>
      <c r="F2966" s="4">
        <f ca="1">(CP*(D2966-K)&gt;0)*1</f>
        <v>0</v>
      </c>
      <c r="H2966" s="4">
        <v>2951</v>
      </c>
      <c r="I2966" s="3">
        <v>0.66778085552305455</v>
      </c>
      <c r="J2966" s="128">
        <v>1.3748943372505944E-3</v>
      </c>
      <c r="K2966" s="128"/>
      <c r="L2966" s="128">
        <v>4.4400000000000002E-2</v>
      </c>
      <c r="O2966" s="2"/>
    </row>
    <row r="2967" spans="2:15" x14ac:dyDescent="0.2">
      <c r="B2967" s="1">
        <v>2952</v>
      </c>
      <c r="C2967" s="5">
        <f ca="1"/>
        <v>-1.6045224734785899</v>
      </c>
      <c r="D2967" s="5">
        <f ca="1">S0*EXP((μ-0.5*σ*σ)*T+σ*SQRT(T)*$C2967)</f>
        <v>0.5672826249570988</v>
      </c>
      <c r="E2967" s="5">
        <f ca="1">MAX(0,CP*(D2967-K))</f>
        <v>0</v>
      </c>
      <c r="F2967" s="4">
        <f ca="1">(CP*(D2967-K)&gt;0)*1</f>
        <v>0</v>
      </c>
      <c r="H2967" s="4">
        <v>2952</v>
      </c>
      <c r="I2967" s="3">
        <v>0.66776570299263349</v>
      </c>
      <c r="J2967" s="128">
        <v>1.4374992746586477E-3</v>
      </c>
      <c r="K2967" s="128"/>
      <c r="L2967" s="128">
        <v>4.36E-2</v>
      </c>
      <c r="O2967" s="2"/>
    </row>
    <row r="2968" spans="2:15" x14ac:dyDescent="0.2">
      <c r="B2968" s="1">
        <v>2953</v>
      </c>
      <c r="C2968" s="5">
        <f ca="1"/>
        <v>-0.3377422344763949</v>
      </c>
      <c r="D2968" s="5">
        <f ca="1">S0*EXP((μ-0.5*σ*σ)*T+σ*SQRT(T)*$C2968)</f>
        <v>0.64274386086150581</v>
      </c>
      <c r="E2968" s="5">
        <f ca="1">MAX(0,CP*(D2968-K))</f>
        <v>0</v>
      </c>
      <c r="F2968" s="4">
        <f ca="1">(CP*(D2968-K)&gt;0)*1</f>
        <v>0</v>
      </c>
      <c r="H2968" s="4">
        <v>2953</v>
      </c>
      <c r="I2968" s="3">
        <v>0.66747057951905531</v>
      </c>
      <c r="J2968" s="128">
        <v>1.1244217884691758E-3</v>
      </c>
      <c r="K2968" s="128"/>
      <c r="L2968" s="128">
        <v>3.5200000000000002E-2</v>
      </c>
      <c r="O2968" s="2"/>
    </row>
    <row r="2969" spans="2:15" x14ac:dyDescent="0.2">
      <c r="B2969" s="1">
        <v>2954</v>
      </c>
      <c r="C2969" s="5">
        <f ca="1"/>
        <v>-0.31748738167357266</v>
      </c>
      <c r="D2969" s="5">
        <f ca="1">S0*EXP((μ-0.5*σ*σ)*T+σ*SQRT(T)*$C2969)</f>
        <v>0.64402862213474521</v>
      </c>
      <c r="E2969" s="5">
        <f ca="1">MAX(0,CP*(D2969-K))</f>
        <v>0</v>
      </c>
      <c r="F2969" s="4">
        <f ca="1">(CP*(D2969-K)&gt;0)*1</f>
        <v>0</v>
      </c>
      <c r="H2969" s="4">
        <v>2954</v>
      </c>
      <c r="I2969" s="3">
        <v>0.66757276000640442</v>
      </c>
      <c r="J2969" s="128">
        <v>9.9375676656495988E-4</v>
      </c>
      <c r="K2969" s="128"/>
      <c r="L2969" s="128">
        <v>3.6200000000000003E-2</v>
      </c>
      <c r="O2969" s="2"/>
    </row>
    <row r="2970" spans="2:15" x14ac:dyDescent="0.2">
      <c r="B2970" s="1">
        <v>2955</v>
      </c>
      <c r="C2970" s="5">
        <f ca="1"/>
        <v>1.0270631859284489</v>
      </c>
      <c r="D2970" s="5">
        <f ca="1">S0*EXP((μ-0.5*σ*σ)*T+σ*SQRT(T)*$C2970)</f>
        <v>0.73531502132100512</v>
      </c>
      <c r="E2970" s="5">
        <f ca="1">MAX(0,CP*(D2970-K))</f>
        <v>0</v>
      </c>
      <c r="F2970" s="4">
        <f ca="1">(CP*(D2970-K)&gt;0)*1</f>
        <v>0</v>
      </c>
      <c r="H2970" s="4">
        <v>2955</v>
      </c>
      <c r="I2970" s="3">
        <v>0.66776515078667975</v>
      </c>
      <c r="J2970" s="128">
        <v>1.2948612752799373E-3</v>
      </c>
      <c r="K2970" s="128"/>
      <c r="L2970" s="128">
        <v>3.9600000000000003E-2</v>
      </c>
      <c r="O2970" s="2"/>
    </row>
    <row r="2971" spans="2:15" x14ac:dyDescent="0.2">
      <c r="B2971" s="1">
        <v>2956</v>
      </c>
      <c r="C2971" s="5">
        <f ca="1"/>
        <v>-1.0493317139132028</v>
      </c>
      <c r="D2971" s="5">
        <f ca="1">S0*EXP((μ-0.5*σ*σ)*T+σ*SQRT(T)*$C2971)</f>
        <v>0.59919823611426359</v>
      </c>
      <c r="E2971" s="5">
        <f ca="1">MAX(0,CP*(D2971-K))</f>
        <v>0</v>
      </c>
      <c r="F2971" s="4">
        <f ca="1">(CP*(D2971-K)&gt;0)*1</f>
        <v>0</v>
      </c>
      <c r="H2971" s="4">
        <v>2956</v>
      </c>
      <c r="I2971" s="3">
        <v>0.66779188368902809</v>
      </c>
      <c r="J2971" s="128">
        <v>1.3083889880658346E-3</v>
      </c>
      <c r="K2971" s="128"/>
      <c r="L2971" s="128">
        <v>4.2799999999999998E-2</v>
      </c>
      <c r="O2971" s="2"/>
    </row>
    <row r="2972" spans="2:15" x14ac:dyDescent="0.2">
      <c r="B2972" s="1">
        <v>2957</v>
      </c>
      <c r="C2972" s="5">
        <f ca="1"/>
        <v>-0.13164980492512787</v>
      </c>
      <c r="D2972" s="5">
        <f ca="1">S0*EXP((μ-0.5*σ*σ)*T+σ*SQRT(T)*$C2972)</f>
        <v>0.65593678888882045</v>
      </c>
      <c r="E2972" s="5">
        <f ca="1">MAX(0,CP*(D2972-K))</f>
        <v>0</v>
      </c>
      <c r="F2972" s="4">
        <f ca="1">(CP*(D2972-K)&gt;0)*1</f>
        <v>0</v>
      </c>
      <c r="H2972" s="4">
        <v>2957</v>
      </c>
      <c r="I2972" s="3">
        <v>0.66768367879154444</v>
      </c>
      <c r="J2972" s="128">
        <v>1.2450466559534468E-3</v>
      </c>
      <c r="K2972" s="128"/>
      <c r="L2972" s="128">
        <v>4.0800000000000003E-2</v>
      </c>
      <c r="O2972" s="2"/>
    </row>
    <row r="2973" spans="2:15" x14ac:dyDescent="0.2">
      <c r="B2973" s="1">
        <v>2958</v>
      </c>
      <c r="C2973" s="5">
        <f ca="1"/>
        <v>-1.3696327065271598</v>
      </c>
      <c r="D2973" s="5">
        <f ca="1">S0*EXP((μ-0.5*σ*σ)*T+σ*SQRT(T)*$C2973)</f>
        <v>0.58057258033523651</v>
      </c>
      <c r="E2973" s="5">
        <f ca="1">MAX(0,CP*(D2973-K))</f>
        <v>0</v>
      </c>
      <c r="F2973" s="4">
        <f ca="1">(CP*(D2973-K)&gt;0)*1</f>
        <v>0</v>
      </c>
      <c r="H2973" s="4">
        <v>2958</v>
      </c>
      <c r="I2973" s="3">
        <v>0.66763191036693192</v>
      </c>
      <c r="J2973" s="128">
        <v>1.2133922936979032E-3</v>
      </c>
      <c r="K2973" s="128"/>
      <c r="L2973" s="128">
        <v>3.5999999999999997E-2</v>
      </c>
      <c r="O2973" s="2"/>
    </row>
    <row r="2974" spans="2:15" x14ac:dyDescent="0.2">
      <c r="B2974" s="1">
        <v>2959</v>
      </c>
      <c r="C2974" s="5">
        <f ca="1"/>
        <v>0.62044465171504848</v>
      </c>
      <c r="D2974" s="5">
        <f ca="1">S0*EXP((μ-0.5*σ*σ)*T+σ*SQRT(T)*$C2974)</f>
        <v>0.70642109772683392</v>
      </c>
      <c r="E2974" s="5">
        <f ca="1">MAX(0,CP*(D2974-K))</f>
        <v>0</v>
      </c>
      <c r="F2974" s="4">
        <f ca="1">(CP*(D2974-K)&gt;0)*1</f>
        <v>0</v>
      </c>
      <c r="H2974" s="4">
        <v>2959</v>
      </c>
      <c r="I2974" s="3">
        <v>0.66769306848934673</v>
      </c>
      <c r="J2974" s="128">
        <v>1.2474564178862248E-3</v>
      </c>
      <c r="K2974" s="128"/>
      <c r="L2974" s="128">
        <v>4.0800000000000003E-2</v>
      </c>
      <c r="O2974" s="2"/>
    </row>
    <row r="2975" spans="2:15" x14ac:dyDescent="0.2">
      <c r="B2975" s="1">
        <v>2960</v>
      </c>
      <c r="C2975" s="5">
        <f ca="1"/>
        <v>1.1517265611582435</v>
      </c>
      <c r="D2975" s="5">
        <f ca="1">S0*EXP((μ-0.5*σ*σ)*T+σ*SQRT(T)*$C2975)</f>
        <v>0.74440798730006807</v>
      </c>
      <c r="E2975" s="5">
        <f ca="1">MAX(0,CP*(D2975-K))</f>
        <v>0</v>
      </c>
      <c r="F2975" s="4">
        <f ca="1">(CP*(D2975-K)&gt;0)*1</f>
        <v>0</v>
      </c>
      <c r="H2975" s="4">
        <v>2960</v>
      </c>
      <c r="I2975" s="3">
        <v>0.6678703181138318</v>
      </c>
      <c r="J2975" s="128">
        <v>1.4329360516355917E-3</v>
      </c>
      <c r="K2975" s="128"/>
      <c r="L2975" s="128">
        <v>4.2999999999999997E-2</v>
      </c>
      <c r="O2975" s="2"/>
    </row>
    <row r="2976" spans="2:15" x14ac:dyDescent="0.2">
      <c r="B2976" s="1">
        <v>2961</v>
      </c>
      <c r="C2976" s="5">
        <f ca="1"/>
        <v>0.74511301584424117</v>
      </c>
      <c r="D2976" s="5">
        <f ca="1">S0*EXP((μ-0.5*σ*σ)*T+σ*SQRT(T)*$C2976)</f>
        <v>0.71515711081724764</v>
      </c>
      <c r="E2976" s="5">
        <f ca="1">MAX(0,CP*(D2976-K))</f>
        <v>0</v>
      </c>
      <c r="F2976" s="4">
        <f ca="1">(CP*(D2976-K)&gt;0)*1</f>
        <v>0</v>
      </c>
      <c r="H2976" s="4">
        <v>2961</v>
      </c>
      <c r="I2976" s="3">
        <v>0.66762398930744049</v>
      </c>
      <c r="J2976" s="128">
        <v>1.2245866906291849E-3</v>
      </c>
      <c r="K2976" s="128"/>
      <c r="L2976" s="128">
        <v>3.9399999999999998E-2</v>
      </c>
      <c r="O2976" s="2"/>
    </row>
    <row r="2977" spans="2:15" x14ac:dyDescent="0.2">
      <c r="B2977" s="1">
        <v>2962</v>
      </c>
      <c r="C2977" s="5">
        <f ca="1"/>
        <v>-0.19933165363686897</v>
      </c>
      <c r="D2977" s="5">
        <f ca="1">S0*EXP((μ-0.5*σ*σ)*T+σ*SQRT(T)*$C2977)</f>
        <v>0.65157456656765955</v>
      </c>
      <c r="E2977" s="5">
        <f ca="1">MAX(0,CP*(D2977-K))</f>
        <v>0</v>
      </c>
      <c r="F2977" s="4">
        <f ca="1">(CP*(D2977-K)&gt;0)*1</f>
        <v>0</v>
      </c>
      <c r="H2977" s="4">
        <v>2962</v>
      </c>
      <c r="I2977" s="3">
        <v>0.66785902270936792</v>
      </c>
      <c r="J2977" s="128">
        <v>1.3911380985258772E-3</v>
      </c>
      <c r="K2977" s="128"/>
      <c r="L2977" s="128">
        <v>4.4400000000000002E-2</v>
      </c>
      <c r="O2977" s="2"/>
    </row>
    <row r="2978" spans="2:15" x14ac:dyDescent="0.2">
      <c r="B2978" s="1">
        <v>2963</v>
      </c>
      <c r="C2978" s="5">
        <f ca="1"/>
        <v>7.7974852881192172E-2</v>
      </c>
      <c r="D2978" s="5">
        <f ca="1">S0*EXP((μ-0.5*σ*σ)*T+σ*SQRT(T)*$C2978)</f>
        <v>0.66963366253118095</v>
      </c>
      <c r="E2978" s="5">
        <f ca="1">MAX(0,CP*(D2978-K))</f>
        <v>0</v>
      </c>
      <c r="F2978" s="4">
        <f ca="1">(CP*(D2978-K)&gt;0)*1</f>
        <v>0</v>
      </c>
      <c r="H2978" s="4">
        <v>2963</v>
      </c>
      <c r="I2978" s="3">
        <v>0.66769866985842896</v>
      </c>
      <c r="J2978" s="128">
        <v>1.3399968737151972E-3</v>
      </c>
      <c r="K2978" s="128"/>
      <c r="L2978" s="128">
        <v>4.1399999999999999E-2</v>
      </c>
      <c r="O2978" s="2"/>
    </row>
    <row r="2979" spans="2:15" x14ac:dyDescent="0.2">
      <c r="B2979" s="1">
        <v>2964</v>
      </c>
      <c r="C2979" s="5">
        <f ca="1"/>
        <v>1.3213958660795986</v>
      </c>
      <c r="D2979" s="5">
        <f ca="1">S0*EXP((μ-0.5*σ*σ)*T+σ*SQRT(T)*$C2979)</f>
        <v>0.75696462514764673</v>
      </c>
      <c r="E2979" s="5">
        <f ca="1">MAX(0,CP*(D2979-K))</f>
        <v>0</v>
      </c>
      <c r="F2979" s="4">
        <f ca="1">(CP*(D2979-K)&gt;0)*1</f>
        <v>0</v>
      </c>
      <c r="H2979" s="4">
        <v>2964</v>
      </c>
      <c r="I2979" s="3">
        <v>0.66773024242754886</v>
      </c>
      <c r="J2979" s="128">
        <v>1.3688920134823446E-3</v>
      </c>
      <c r="K2979" s="128"/>
      <c r="L2979" s="128">
        <v>4.1000000000000002E-2</v>
      </c>
      <c r="O2979" s="2"/>
    </row>
    <row r="2980" spans="2:15" x14ac:dyDescent="0.2">
      <c r="B2980" s="1">
        <v>2965</v>
      </c>
      <c r="C2980" s="5">
        <f ca="1"/>
        <v>-1.4676334645613713</v>
      </c>
      <c r="D2980" s="5">
        <f ca="1">S0*EXP((μ-0.5*σ*σ)*T+σ*SQRT(T)*$C2980)</f>
        <v>0.5749903035585322</v>
      </c>
      <c r="E2980" s="5">
        <f ca="1">MAX(0,CP*(D2980-K))</f>
        <v>0</v>
      </c>
      <c r="F2980" s="4">
        <f ca="1">(CP*(D2980-K)&gt;0)*1</f>
        <v>0</v>
      </c>
      <c r="H2980" s="4">
        <v>2965</v>
      </c>
      <c r="I2980" s="3">
        <v>0.66783563347063635</v>
      </c>
      <c r="J2980" s="128">
        <v>1.5693051885262528E-3</v>
      </c>
      <c r="K2980" s="128"/>
      <c r="L2980" s="128">
        <v>4.6199999999999998E-2</v>
      </c>
      <c r="O2980" s="2"/>
    </row>
    <row r="2981" spans="2:15" x14ac:dyDescent="0.2">
      <c r="B2981" s="1">
        <v>2966</v>
      </c>
      <c r="C2981" s="5">
        <f ca="1"/>
        <v>-0.45597498544875364</v>
      </c>
      <c r="D2981" s="5">
        <f ca="1">S0*EXP((μ-0.5*σ*σ)*T+σ*SQRT(T)*$C2981)</f>
        <v>0.6352953615047926</v>
      </c>
      <c r="E2981" s="5">
        <f ca="1">MAX(0,CP*(D2981-K))</f>
        <v>0</v>
      </c>
      <c r="F2981" s="4">
        <f ca="1">(CP*(D2981-K)&gt;0)*1</f>
        <v>0</v>
      </c>
      <c r="H2981" s="4">
        <v>2966</v>
      </c>
      <c r="I2981" s="3">
        <v>0.66776787923265091</v>
      </c>
      <c r="J2981" s="128">
        <v>1.3607160183717233E-3</v>
      </c>
      <c r="K2981" s="128"/>
      <c r="L2981" s="128">
        <v>4.1799999999999997E-2</v>
      </c>
      <c r="O2981" s="2"/>
    </row>
    <row r="2982" spans="2:15" x14ac:dyDescent="0.2">
      <c r="B2982" s="1">
        <v>2967</v>
      </c>
      <c r="C2982" s="5">
        <f ca="1"/>
        <v>0.12450423382332253</v>
      </c>
      <c r="D2982" s="5">
        <f ca="1">S0*EXP((μ-0.5*σ*σ)*T+σ*SQRT(T)*$C2982)</f>
        <v>0.67271247157887615</v>
      </c>
      <c r="E2982" s="5">
        <f ca="1">MAX(0,CP*(D2982-K))</f>
        <v>0</v>
      </c>
      <c r="F2982" s="4">
        <f ca="1">(CP*(D2982-K)&gt;0)*1</f>
        <v>0</v>
      </c>
      <c r="H2982" s="4">
        <v>2967</v>
      </c>
      <c r="I2982" s="3">
        <v>0.66754849114231807</v>
      </c>
      <c r="J2982" s="128">
        <v>1.1761124987391784E-3</v>
      </c>
      <c r="K2982" s="128"/>
      <c r="L2982" s="128">
        <v>3.6400000000000002E-2</v>
      </c>
      <c r="O2982" s="2"/>
    </row>
    <row r="2983" spans="2:15" x14ac:dyDescent="0.2">
      <c r="B2983" s="1">
        <v>2968</v>
      </c>
      <c r="C2983" s="5">
        <f ca="1"/>
        <v>-0.57670354213594532</v>
      </c>
      <c r="D2983" s="5">
        <f ca="1">S0*EXP((μ-0.5*σ*σ)*T+σ*SQRT(T)*$C2983)</f>
        <v>0.6277786926042308</v>
      </c>
      <c r="E2983" s="5">
        <f ca="1">MAX(0,CP*(D2983-K))</f>
        <v>0</v>
      </c>
      <c r="F2983" s="4">
        <f ca="1">(CP*(D2983-K)&gt;0)*1</f>
        <v>0</v>
      </c>
      <c r="H2983" s="4">
        <v>2968</v>
      </c>
      <c r="I2983" s="3">
        <v>0.66770048740307597</v>
      </c>
      <c r="J2983" s="128">
        <v>1.2882760933808134E-3</v>
      </c>
      <c r="K2983" s="128"/>
      <c r="L2983" s="128">
        <v>3.9600000000000003E-2</v>
      </c>
      <c r="O2983" s="2"/>
    </row>
    <row r="2984" spans="2:15" x14ac:dyDescent="0.2">
      <c r="B2984" s="1">
        <v>2969</v>
      </c>
      <c r="C2984" s="5">
        <f ca="1"/>
        <v>-0.61864039809502702</v>
      </c>
      <c r="D2984" s="5">
        <f ca="1">S0*EXP((μ-0.5*σ*σ)*T+σ*SQRT(T)*$C2984)</f>
        <v>0.62518853205131408</v>
      </c>
      <c r="E2984" s="5">
        <f ca="1">MAX(0,CP*(D2984-K))</f>
        <v>0</v>
      </c>
      <c r="F2984" s="4">
        <f ca="1">(CP*(D2984-K)&gt;0)*1</f>
        <v>0</v>
      </c>
      <c r="H2984" s="4">
        <v>2969</v>
      </c>
      <c r="I2984" s="3">
        <v>0.66788481922050258</v>
      </c>
      <c r="J2984" s="128">
        <v>1.4956724498297771E-3</v>
      </c>
      <c r="K2984" s="128"/>
      <c r="L2984" s="128">
        <v>4.4600000000000001E-2</v>
      </c>
      <c r="O2984" s="2"/>
    </row>
    <row r="2985" spans="2:15" x14ac:dyDescent="0.2">
      <c r="B2985" s="1">
        <v>2970</v>
      </c>
      <c r="C2985" s="5">
        <f ca="1"/>
        <v>-0.67858220792002133</v>
      </c>
      <c r="D2985" s="5">
        <f ca="1">S0*EXP((μ-0.5*σ*σ)*T+σ*SQRT(T)*$C2985)</f>
        <v>0.62150486836385532</v>
      </c>
      <c r="E2985" s="5">
        <f ca="1">MAX(0,CP*(D2985-K))</f>
        <v>0</v>
      </c>
      <c r="F2985" s="4">
        <f ca="1">(CP*(D2985-K)&gt;0)*1</f>
        <v>0</v>
      </c>
      <c r="H2985" s="4">
        <v>2970</v>
      </c>
      <c r="I2985" s="3">
        <v>0.66763327108429771</v>
      </c>
      <c r="J2985" s="128">
        <v>1.283428836823115E-3</v>
      </c>
      <c r="K2985" s="128"/>
      <c r="L2985" s="128">
        <v>4.1399999999999999E-2</v>
      </c>
      <c r="O2985" s="2"/>
    </row>
    <row r="2986" spans="2:15" x14ac:dyDescent="0.2">
      <c r="B2986" s="1">
        <v>2971</v>
      </c>
      <c r="C2986" s="5">
        <f ca="1"/>
        <v>-0.58359469597260516</v>
      </c>
      <c r="D2986" s="5">
        <f ca="1">S0*EXP((μ-0.5*σ*σ)*T+σ*SQRT(T)*$C2986)</f>
        <v>0.62735233627005904</v>
      </c>
      <c r="E2986" s="5">
        <f ca="1">MAX(0,CP*(D2986-K))</f>
        <v>0</v>
      </c>
      <c r="F2986" s="4">
        <f ca="1">(CP*(D2986-K)&gt;0)*1</f>
        <v>0</v>
      </c>
      <c r="H2986" s="4">
        <v>2971</v>
      </c>
      <c r="I2986" s="3">
        <v>0.66759432213200176</v>
      </c>
      <c r="J2986" s="128">
        <v>1.161933674540342E-3</v>
      </c>
      <c r="K2986" s="128"/>
      <c r="L2986" s="128">
        <v>4.0599999999999997E-2</v>
      </c>
      <c r="O2986" s="2"/>
    </row>
    <row r="2987" spans="2:15" x14ac:dyDescent="0.2">
      <c r="B2987" s="1">
        <v>2972</v>
      </c>
      <c r="C2987" s="5">
        <f ca="1"/>
        <v>1.1172527727386461</v>
      </c>
      <c r="D2987" s="5">
        <f ca="1">S0*EXP((μ-0.5*σ*σ)*T+σ*SQRT(T)*$C2987)</f>
        <v>0.74188227458259415</v>
      </c>
      <c r="E2987" s="5">
        <f ca="1">MAX(0,CP*(D2987-K))</f>
        <v>0</v>
      </c>
      <c r="F2987" s="4">
        <f ca="1">(CP*(D2987-K)&gt;0)*1</f>
        <v>0</v>
      </c>
      <c r="H2987" s="4">
        <v>2972</v>
      </c>
      <c r="I2987" s="3">
        <v>0.66792118503384779</v>
      </c>
      <c r="J2987" s="128">
        <v>1.5437564487164096E-3</v>
      </c>
      <c r="K2987" s="128"/>
      <c r="L2987" s="128">
        <v>4.9200000000000001E-2</v>
      </c>
      <c r="O2987" s="2"/>
    </row>
    <row r="2988" spans="2:15" x14ac:dyDescent="0.2">
      <c r="B2988" s="1">
        <v>2973</v>
      </c>
      <c r="C2988" s="5">
        <f ca="1"/>
        <v>2.596825810148494</v>
      </c>
      <c r="D2988" s="5">
        <f ca="1">S0*EXP((μ-0.5*σ*σ)*T+σ*SQRT(T)*$C2988)</f>
        <v>0.85838947756469519</v>
      </c>
      <c r="E2988" s="5">
        <f ca="1">MAX(0,CP*(D2988-K))</f>
        <v>7.018947756469518E-2</v>
      </c>
      <c r="F2988" s="4">
        <f ca="1">(CP*(D2988-K)&gt;0)*1</f>
        <v>1</v>
      </c>
      <c r="H2988" s="4">
        <v>2973</v>
      </c>
      <c r="I2988" s="3">
        <v>0.66765223813206154</v>
      </c>
      <c r="J2988" s="128">
        <v>1.2178978246531976E-3</v>
      </c>
      <c r="K2988" s="128"/>
      <c r="L2988" s="128">
        <v>4.2200000000000001E-2</v>
      </c>
      <c r="O2988" s="2"/>
    </row>
    <row r="2989" spans="2:15" x14ac:dyDescent="0.2">
      <c r="B2989" s="1">
        <v>2974</v>
      </c>
      <c r="C2989" s="5">
        <f ca="1"/>
        <v>1.1771957256984078</v>
      </c>
      <c r="D2989" s="5">
        <f ca="1">S0*EXP((μ-0.5*σ*σ)*T+σ*SQRT(T)*$C2989)</f>
        <v>0.74627950010066513</v>
      </c>
      <c r="E2989" s="5">
        <f ca="1">MAX(0,CP*(D2989-K))</f>
        <v>0</v>
      </c>
      <c r="F2989" s="4">
        <f ca="1">(CP*(D2989-K)&gt;0)*1</f>
        <v>0</v>
      </c>
      <c r="H2989" s="4">
        <v>2974</v>
      </c>
      <c r="I2989" s="3">
        <v>0.66768832620191165</v>
      </c>
      <c r="J2989" s="128">
        <v>1.3402939576111111E-3</v>
      </c>
      <c r="K2989" s="128"/>
      <c r="L2989" s="128">
        <v>4.1399999999999999E-2</v>
      </c>
      <c r="O2989" s="2"/>
    </row>
    <row r="2990" spans="2:15" x14ac:dyDescent="0.2">
      <c r="B2990" s="1">
        <v>2975</v>
      </c>
      <c r="C2990" s="5">
        <f ca="1"/>
        <v>1.0687047919746462</v>
      </c>
      <c r="D2990" s="5">
        <f ca="1">S0*EXP((μ-0.5*σ*σ)*T+σ*SQRT(T)*$C2990)</f>
        <v>0.7383399448364345</v>
      </c>
      <c r="E2990" s="5">
        <f ca="1">MAX(0,CP*(D2990-K))</f>
        <v>0</v>
      </c>
      <c r="F2990" s="4">
        <f ca="1">(CP*(D2990-K)&gt;0)*1</f>
        <v>0</v>
      </c>
      <c r="H2990" s="4">
        <v>2975</v>
      </c>
      <c r="I2990" s="3">
        <v>0.66787800699225686</v>
      </c>
      <c r="J2990" s="128">
        <v>1.5530395951373021E-3</v>
      </c>
      <c r="K2990" s="128"/>
      <c r="L2990" s="128">
        <v>4.48E-2</v>
      </c>
      <c r="O2990" s="2"/>
    </row>
    <row r="2991" spans="2:15" x14ac:dyDescent="0.2">
      <c r="B2991" s="1">
        <v>2976</v>
      </c>
      <c r="C2991" s="5">
        <f ca="1"/>
        <v>0.83965221925369871</v>
      </c>
      <c r="D2991" s="5">
        <f ca="1">S0*EXP((μ-0.5*σ*σ)*T+σ*SQRT(T)*$C2991)</f>
        <v>0.72185380686234923</v>
      </c>
      <c r="E2991" s="5">
        <f ca="1">MAX(0,CP*(D2991-K))</f>
        <v>0</v>
      </c>
      <c r="F2991" s="4">
        <f ca="1">(CP*(D2991-K)&gt;0)*1</f>
        <v>0</v>
      </c>
      <c r="H2991" s="4">
        <v>2976</v>
      </c>
      <c r="I2991" s="3">
        <v>0.66781084212218766</v>
      </c>
      <c r="J2991" s="128">
        <v>1.4178090220677536E-3</v>
      </c>
      <c r="K2991" s="128"/>
      <c r="L2991" s="128">
        <v>4.2000000000000003E-2</v>
      </c>
      <c r="O2991" s="2"/>
    </row>
    <row r="2992" spans="2:15" x14ac:dyDescent="0.2">
      <c r="B2992" s="1">
        <v>2977</v>
      </c>
      <c r="C2992" s="5">
        <f ca="1"/>
        <v>-0.92736274018964471</v>
      </c>
      <c r="D2992" s="5">
        <f ca="1">S0*EXP((μ-0.5*σ*σ)*T+σ*SQRT(T)*$C2992)</f>
        <v>0.60644685630221673</v>
      </c>
      <c r="E2992" s="5">
        <f ca="1">MAX(0,CP*(D2992-K))</f>
        <v>0</v>
      </c>
      <c r="F2992" s="4">
        <f ca="1">(CP*(D2992-K)&gt;0)*1</f>
        <v>0</v>
      </c>
      <c r="H2992" s="4">
        <v>2977</v>
      </c>
      <c r="I2992" s="3">
        <v>0.66775881417918548</v>
      </c>
      <c r="J2992" s="128">
        <v>1.2630333068059589E-3</v>
      </c>
      <c r="K2992" s="128"/>
      <c r="L2992" s="128">
        <v>3.7600000000000001E-2</v>
      </c>
      <c r="O2992" s="2"/>
    </row>
    <row r="2993" spans="2:15" x14ac:dyDescent="0.2">
      <c r="B2993" s="1">
        <v>2978</v>
      </c>
      <c r="C2993" s="5">
        <f ca="1"/>
        <v>-0.51165107851529779</v>
      </c>
      <c r="D2993" s="5">
        <f ca="1">S0*EXP((μ-0.5*σ*σ)*T+σ*SQRT(T)*$C2993)</f>
        <v>0.63181780024896694</v>
      </c>
      <c r="E2993" s="5">
        <f ca="1">MAX(0,CP*(D2993-K))</f>
        <v>0</v>
      </c>
      <c r="F2993" s="4">
        <f ca="1">(CP*(D2993-K)&gt;0)*1</f>
        <v>0</v>
      </c>
      <c r="H2993" s="4">
        <v>2978</v>
      </c>
      <c r="I2993" s="3">
        <v>0.66776532239000785</v>
      </c>
      <c r="J2993" s="128">
        <v>1.3490566245301537E-3</v>
      </c>
      <c r="K2993" s="128"/>
      <c r="L2993" s="128">
        <v>4.2599999999999999E-2</v>
      </c>
      <c r="O2993" s="2"/>
    </row>
    <row r="2994" spans="2:15" x14ac:dyDescent="0.2">
      <c r="B2994" s="1">
        <v>2979</v>
      </c>
      <c r="C2994" s="5">
        <f ca="1"/>
        <v>-0.32464172104109584</v>
      </c>
      <c r="D2994" s="5">
        <f ca="1">S0*EXP((μ-0.5*σ*σ)*T+σ*SQRT(T)*$C2994)</f>
        <v>0.64357453073625293</v>
      </c>
      <c r="E2994" s="5">
        <f ca="1">MAX(0,CP*(D2994-K))</f>
        <v>0</v>
      </c>
      <c r="F2994" s="4">
        <f ca="1">(CP*(D2994-K)&gt;0)*1</f>
        <v>0</v>
      </c>
      <c r="H2994" s="4">
        <v>2979</v>
      </c>
      <c r="I2994" s="3">
        <v>0.66781234762571218</v>
      </c>
      <c r="J2994" s="128">
        <v>1.3998479732331935E-3</v>
      </c>
      <c r="K2994" s="128"/>
      <c r="L2994" s="128">
        <v>3.9800000000000002E-2</v>
      </c>
      <c r="O2994" s="2"/>
    </row>
    <row r="2995" spans="2:15" x14ac:dyDescent="0.2">
      <c r="B2995" s="1">
        <v>2980</v>
      </c>
      <c r="C2995" s="5">
        <f ca="1"/>
        <v>0.93789141754975458</v>
      </c>
      <c r="D2995" s="5">
        <f ca="1">S0*EXP((μ-0.5*σ*σ)*T+σ*SQRT(T)*$C2995)</f>
        <v>0.72887903744468596</v>
      </c>
      <c r="E2995" s="5">
        <f ca="1">MAX(0,CP*(D2995-K))</f>
        <v>0</v>
      </c>
      <c r="F2995" s="4">
        <f ca="1">(CP*(D2995-K)&gt;0)*1</f>
        <v>0</v>
      </c>
      <c r="H2995" s="4">
        <v>2980</v>
      </c>
      <c r="I2995" s="3">
        <v>0.66789911013746994</v>
      </c>
      <c r="J2995" s="128">
        <v>1.5555494334116911E-3</v>
      </c>
      <c r="K2995" s="128"/>
      <c r="L2995" s="128">
        <v>5.04E-2</v>
      </c>
      <c r="O2995" s="2"/>
    </row>
    <row r="2996" spans="2:15" x14ac:dyDescent="0.2">
      <c r="B2996" s="1">
        <v>2981</v>
      </c>
      <c r="C2996" s="5">
        <f ca="1"/>
        <v>1.1533232990866285</v>
      </c>
      <c r="D2996" s="5">
        <f ca="1">S0*EXP((μ-0.5*σ*σ)*T+σ*SQRT(T)*$C2996)</f>
        <v>0.74452518000269385</v>
      </c>
      <c r="E2996" s="5">
        <f ca="1">MAX(0,CP*(D2996-K))</f>
        <v>0</v>
      </c>
      <c r="F2996" s="4">
        <f ca="1">(CP*(D2996-K)&gt;0)*1</f>
        <v>0</v>
      </c>
      <c r="H2996" s="4">
        <v>2981</v>
      </c>
      <c r="I2996" s="3">
        <v>0.66793467985291199</v>
      </c>
      <c r="J2996" s="128">
        <v>1.6424473506253807E-3</v>
      </c>
      <c r="K2996" s="128"/>
      <c r="L2996" s="128">
        <v>4.9000000000000002E-2</v>
      </c>
      <c r="O2996" s="2"/>
    </row>
    <row r="2997" spans="2:15" x14ac:dyDescent="0.2">
      <c r="B2997" s="1">
        <v>2982</v>
      </c>
      <c r="C2997" s="5">
        <f ca="1"/>
        <v>0.18513005685167186</v>
      </c>
      <c r="D2997" s="5">
        <f ca="1">S0*EXP((μ-0.5*σ*σ)*T+σ*SQRT(T)*$C2997)</f>
        <v>0.67674527795532302</v>
      </c>
      <c r="E2997" s="5">
        <f ca="1">MAX(0,CP*(D2997-K))</f>
        <v>0</v>
      </c>
      <c r="F2997" s="4">
        <f ca="1">(CP*(D2997-K)&gt;0)*1</f>
        <v>0</v>
      </c>
      <c r="H2997" s="4">
        <v>2982</v>
      </c>
      <c r="I2997" s="3">
        <v>0.66773403408339693</v>
      </c>
      <c r="J2997" s="128">
        <v>1.4020646233286428E-3</v>
      </c>
      <c r="K2997" s="128"/>
      <c r="L2997" s="128">
        <v>4.3999999999999997E-2</v>
      </c>
      <c r="O2997" s="2"/>
    </row>
    <row r="2998" spans="2:15" x14ac:dyDescent="0.2">
      <c r="B2998" s="1">
        <v>2983</v>
      </c>
      <c r="C2998" s="5">
        <f ca="1"/>
        <v>-0.81554831431178509</v>
      </c>
      <c r="D2998" s="5">
        <f ca="1">S0*EXP((μ-0.5*σ*σ)*T+σ*SQRT(T)*$C2998)</f>
        <v>0.6131690067739014</v>
      </c>
      <c r="E2998" s="5">
        <f ca="1">MAX(0,CP*(D2998-K))</f>
        <v>0</v>
      </c>
      <c r="F2998" s="4">
        <f ca="1">(CP*(D2998-K)&gt;0)*1</f>
        <v>0</v>
      </c>
      <c r="H2998" s="4">
        <v>2983</v>
      </c>
      <c r="I2998" s="3">
        <v>0.6678637472787089</v>
      </c>
      <c r="J2998" s="128">
        <v>1.6679985536377146E-3</v>
      </c>
      <c r="K2998" s="128"/>
      <c r="L2998" s="128">
        <v>4.3799999999999999E-2</v>
      </c>
      <c r="O2998" s="2"/>
    </row>
    <row r="2999" spans="2:15" x14ac:dyDescent="0.2">
      <c r="B2999" s="1">
        <v>2984</v>
      </c>
      <c r="C2999" s="5">
        <f ca="1"/>
        <v>-1.7804023715003237</v>
      </c>
      <c r="D2999" s="5">
        <f ca="1">S0*EXP((μ-0.5*σ*σ)*T+σ*SQRT(T)*$C2999)</f>
        <v>0.55753098603931561</v>
      </c>
      <c r="E2999" s="5">
        <f ca="1">MAX(0,CP*(D2999-K))</f>
        <v>0</v>
      </c>
      <c r="F2999" s="4">
        <f ca="1">(CP*(D2999-K)&gt;0)*1</f>
        <v>0</v>
      </c>
      <c r="H2999" s="4">
        <v>2984</v>
      </c>
      <c r="I2999" s="3">
        <v>0.66776421084849169</v>
      </c>
      <c r="J2999" s="128">
        <v>1.4758080587084451E-3</v>
      </c>
      <c r="K2999" s="128"/>
      <c r="L2999" s="128">
        <v>4.1599999999999998E-2</v>
      </c>
      <c r="O2999" s="2"/>
    </row>
    <row r="3000" spans="2:15" x14ac:dyDescent="0.2">
      <c r="B3000" s="1">
        <v>2985</v>
      </c>
      <c r="C3000" s="5">
        <f ca="1"/>
        <v>-0.70766152335414689</v>
      </c>
      <c r="D3000" s="5">
        <f ca="1">S0*EXP((μ-0.5*σ*σ)*T+σ*SQRT(T)*$C3000)</f>
        <v>0.61972565491493081</v>
      </c>
      <c r="E3000" s="5">
        <f ca="1">MAX(0,CP*(D3000-K))</f>
        <v>0</v>
      </c>
      <c r="F3000" s="4">
        <f ca="1">(CP*(D3000-K)&gt;0)*1</f>
        <v>0</v>
      </c>
      <c r="H3000" s="4">
        <v>2985</v>
      </c>
      <c r="I3000" s="3">
        <v>0.66770650759798733</v>
      </c>
      <c r="J3000" s="128">
        <v>1.2868496989439488E-3</v>
      </c>
      <c r="K3000" s="128"/>
      <c r="L3000" s="128">
        <v>4.2000000000000003E-2</v>
      </c>
      <c r="O3000" s="2"/>
    </row>
    <row r="3001" spans="2:15" x14ac:dyDescent="0.2">
      <c r="B3001" s="1">
        <v>2986</v>
      </c>
      <c r="C3001" s="5">
        <f ca="1"/>
        <v>-0.48183195376002952</v>
      </c>
      <c r="D3001" s="5">
        <f ca="1">S0*EXP((μ-0.5*σ*σ)*T+σ*SQRT(T)*$C3001)</f>
        <v>0.63367794608253647</v>
      </c>
      <c r="E3001" s="5">
        <f ca="1">MAX(0,CP*(D3001-K))</f>
        <v>0</v>
      </c>
      <c r="F3001" s="4">
        <f ca="1">(CP*(D3001-K)&gt;0)*1</f>
        <v>0</v>
      </c>
      <c r="H3001" s="4">
        <v>2986</v>
      </c>
      <c r="I3001" s="3">
        <v>0.66765277549794766</v>
      </c>
      <c r="J3001" s="128">
        <v>1.3751892282965375E-3</v>
      </c>
      <c r="K3001" s="128"/>
      <c r="L3001" s="128">
        <v>3.6600000000000001E-2</v>
      </c>
      <c r="O3001" s="2"/>
    </row>
    <row r="3002" spans="2:15" x14ac:dyDescent="0.2">
      <c r="B3002" s="1">
        <v>2987</v>
      </c>
      <c r="C3002" s="5">
        <f ca="1"/>
        <v>4.1017415456536297E-4</v>
      </c>
      <c r="D3002" s="5">
        <f ca="1">S0*EXP((μ-0.5*σ*σ)*T+σ*SQRT(T)*$C3002)</f>
        <v>0.66453256590867271</v>
      </c>
      <c r="E3002" s="5">
        <f ca="1">MAX(0,CP*(D3002-K))</f>
        <v>0</v>
      </c>
      <c r="F3002" s="4">
        <f ca="1">(CP*(D3002-K)&gt;0)*1</f>
        <v>0</v>
      </c>
      <c r="H3002" s="4">
        <v>2987</v>
      </c>
      <c r="I3002" s="3">
        <v>0.6677689615750132</v>
      </c>
      <c r="J3002" s="128">
        <v>1.4747480940866965E-3</v>
      </c>
      <c r="K3002" s="128"/>
      <c r="L3002" s="128">
        <v>4.2599999999999999E-2</v>
      </c>
      <c r="O3002" s="2"/>
    </row>
    <row r="3003" spans="2:15" x14ac:dyDescent="0.2">
      <c r="B3003" s="1">
        <v>2988</v>
      </c>
      <c r="C3003" s="5">
        <f ca="1"/>
        <v>1.7583497526625491</v>
      </c>
      <c r="D3003" s="5">
        <f ca="1">S0*EXP((μ-0.5*σ*σ)*T+σ*SQRT(T)*$C3003)</f>
        <v>0.79028583786161055</v>
      </c>
      <c r="E3003" s="5">
        <f ca="1">MAX(0,CP*(D3003-K))</f>
        <v>2.08583786161054E-3</v>
      </c>
      <c r="F3003" s="4">
        <f ca="1">(CP*(D3003-K)&gt;0)*1</f>
        <v>1</v>
      </c>
      <c r="H3003" s="4">
        <v>2988</v>
      </c>
      <c r="I3003" s="3">
        <v>0.66775484830194709</v>
      </c>
      <c r="J3003" s="128">
        <v>1.4756825146845281E-3</v>
      </c>
      <c r="K3003" s="128"/>
      <c r="L3003" s="128">
        <v>4.1200000000000001E-2</v>
      </c>
      <c r="O3003" s="2"/>
    </row>
    <row r="3004" spans="2:15" x14ac:dyDescent="0.2">
      <c r="B3004" s="1">
        <v>2989</v>
      </c>
      <c r="C3004" s="5">
        <f ca="1"/>
        <v>-0.4721838164379783</v>
      </c>
      <c r="D3004" s="5">
        <f ca="1">S0*EXP((μ-0.5*σ*σ)*T+σ*SQRT(T)*$C3004)</f>
        <v>0.63428097807466088</v>
      </c>
      <c r="E3004" s="5">
        <f ca="1">MAX(0,CP*(D3004-K))</f>
        <v>0</v>
      </c>
      <c r="F3004" s="4">
        <f ca="1">(CP*(D3004-K)&gt;0)*1</f>
        <v>0</v>
      </c>
      <c r="H3004" s="4">
        <v>2989</v>
      </c>
      <c r="I3004" s="3">
        <v>0.66785607936360825</v>
      </c>
      <c r="J3004" s="128">
        <v>1.5076325276953393E-3</v>
      </c>
      <c r="K3004" s="128"/>
      <c r="L3004" s="128">
        <v>4.4999999999999998E-2</v>
      </c>
      <c r="O3004" s="2"/>
    </row>
    <row r="3005" spans="2:15" x14ac:dyDescent="0.2">
      <c r="B3005" s="1">
        <v>2990</v>
      </c>
      <c r="C3005" s="5">
        <f ca="1"/>
        <v>-1.0574550117101482</v>
      </c>
      <c r="D3005" s="5">
        <f ca="1">S0*EXP((μ-0.5*σ*σ)*T+σ*SQRT(T)*$C3005)</f>
        <v>0.59871855708812105</v>
      </c>
      <c r="E3005" s="5">
        <f ca="1">MAX(0,CP*(D3005-K))</f>
        <v>0</v>
      </c>
      <c r="F3005" s="4">
        <f ca="1">(CP*(D3005-K)&gt;0)*1</f>
        <v>0</v>
      </c>
      <c r="H3005" s="4">
        <v>2990</v>
      </c>
      <c r="I3005" s="3">
        <v>0.66787118726835293</v>
      </c>
      <c r="J3005" s="128">
        <v>1.5587898408409792E-3</v>
      </c>
      <c r="K3005" s="128"/>
      <c r="L3005" s="128">
        <v>4.5400000000000003E-2</v>
      </c>
      <c r="O3005" s="2"/>
    </row>
    <row r="3006" spans="2:15" x14ac:dyDescent="0.2">
      <c r="B3006" s="1">
        <v>2991</v>
      </c>
      <c r="C3006" s="5">
        <f ca="1"/>
        <v>0.2086077877276</v>
      </c>
      <c r="D3006" s="5">
        <f ca="1">S0*EXP((μ-0.5*σ*σ)*T+σ*SQRT(T)*$C3006)</f>
        <v>0.67831349360261184</v>
      </c>
      <c r="E3006" s="5">
        <f ca="1">MAX(0,CP*(D3006-K))</f>
        <v>0</v>
      </c>
      <c r="F3006" s="4">
        <f ca="1">(CP*(D3006-K)&gt;0)*1</f>
        <v>0</v>
      </c>
      <c r="H3006" s="4">
        <v>2991</v>
      </c>
      <c r="I3006" s="3">
        <v>0.66766573576266253</v>
      </c>
      <c r="J3006" s="128">
        <v>1.335996307271858E-3</v>
      </c>
      <c r="K3006" s="128"/>
      <c r="L3006" s="128">
        <v>4.1000000000000002E-2</v>
      </c>
      <c r="O3006" s="2"/>
    </row>
    <row r="3007" spans="2:15" x14ac:dyDescent="0.2">
      <c r="B3007" s="1">
        <v>2992</v>
      </c>
      <c r="C3007" s="5">
        <f ca="1"/>
        <v>0.91936983823187957</v>
      </c>
      <c r="D3007" s="5">
        <f ca="1">S0*EXP((μ-0.5*σ*σ)*T+σ*SQRT(T)*$C3007)</f>
        <v>0.72754932189665789</v>
      </c>
      <c r="E3007" s="5">
        <f ca="1">MAX(0,CP*(D3007-K))</f>
        <v>0</v>
      </c>
      <c r="F3007" s="4">
        <f ca="1">(CP*(D3007-K)&gt;0)*1</f>
        <v>0</v>
      </c>
      <c r="H3007" s="4">
        <v>2992</v>
      </c>
      <c r="I3007" s="3">
        <v>0.66770486971949572</v>
      </c>
      <c r="J3007" s="128">
        <v>1.3426945952353562E-3</v>
      </c>
      <c r="K3007" s="128"/>
      <c r="L3007" s="128">
        <v>4.0800000000000003E-2</v>
      </c>
      <c r="O3007" s="2"/>
    </row>
    <row r="3008" spans="2:15" x14ac:dyDescent="0.2">
      <c r="B3008" s="1">
        <v>2993</v>
      </c>
      <c r="C3008" s="5">
        <f ca="1"/>
        <v>-0.95007560385786782</v>
      </c>
      <c r="D3008" s="5">
        <f ca="1">S0*EXP((μ-0.5*σ*σ)*T+σ*SQRT(T)*$C3008)</f>
        <v>0.60509041745979408</v>
      </c>
      <c r="E3008" s="5">
        <f ca="1">MAX(0,CP*(D3008-K))</f>
        <v>0</v>
      </c>
      <c r="F3008" s="4">
        <f ca="1">(CP*(D3008-K)&gt;0)*1</f>
        <v>0</v>
      </c>
      <c r="H3008" s="4">
        <v>2993</v>
      </c>
      <c r="I3008" s="3">
        <v>0.66766899442969196</v>
      </c>
      <c r="J3008" s="128">
        <v>1.2040432324627202E-3</v>
      </c>
      <c r="K3008" s="128"/>
      <c r="L3008" s="128">
        <v>3.6600000000000001E-2</v>
      </c>
      <c r="O3008" s="2"/>
    </row>
    <row r="3009" spans="2:15" x14ac:dyDescent="0.2">
      <c r="B3009" s="1">
        <v>2994</v>
      </c>
      <c r="C3009" s="5">
        <f ca="1"/>
        <v>6.4360451732328239E-2</v>
      </c>
      <c r="D3009" s="5">
        <f ca="1">S0*EXP((μ-0.5*σ*σ)*T+σ*SQRT(T)*$C3009)</f>
        <v>0.66873547687211077</v>
      </c>
      <c r="E3009" s="5">
        <f ca="1">MAX(0,CP*(D3009-K))</f>
        <v>0</v>
      </c>
      <c r="F3009" s="4">
        <f ca="1">(CP*(D3009-K)&gt;0)*1</f>
        <v>0</v>
      </c>
      <c r="H3009" s="4">
        <v>2994</v>
      </c>
      <c r="I3009" s="3">
        <v>0.66765409459917013</v>
      </c>
      <c r="J3009" s="128">
        <v>1.128791697383997E-3</v>
      </c>
      <c r="K3009" s="128"/>
      <c r="L3009" s="128">
        <v>3.3599999999999998E-2</v>
      </c>
      <c r="O3009" s="2"/>
    </row>
    <row r="3010" spans="2:15" x14ac:dyDescent="0.2">
      <c r="B3010" s="1">
        <v>2995</v>
      </c>
      <c r="C3010" s="5">
        <f ca="1"/>
        <v>0.63080471298970586</v>
      </c>
      <c r="D3010" s="5">
        <f ca="1">S0*EXP((μ-0.5*σ*σ)*T+σ*SQRT(T)*$C3010)</f>
        <v>0.70714298521209529</v>
      </c>
      <c r="E3010" s="5">
        <f ca="1">MAX(0,CP*(D3010-K))</f>
        <v>0</v>
      </c>
      <c r="F3010" s="4">
        <f ca="1">(CP*(D3010-K)&gt;0)*1</f>
        <v>0</v>
      </c>
      <c r="H3010" s="4">
        <v>2995</v>
      </c>
      <c r="I3010" s="3">
        <v>0.66773740441530061</v>
      </c>
      <c r="J3010" s="128">
        <v>1.4612306783610915E-3</v>
      </c>
      <c r="K3010" s="128"/>
      <c r="L3010" s="128">
        <v>4.2799999999999998E-2</v>
      </c>
      <c r="O3010" s="2"/>
    </row>
    <row r="3011" spans="2:15" x14ac:dyDescent="0.2">
      <c r="B3011" s="1">
        <v>2996</v>
      </c>
      <c r="C3011" s="5">
        <f ca="1"/>
        <v>1.971832597511797</v>
      </c>
      <c r="D3011" s="5">
        <f ca="1">S0*EXP((μ-0.5*σ*σ)*T+σ*SQRT(T)*$C3011)</f>
        <v>0.80709504222174921</v>
      </c>
      <c r="E3011" s="5">
        <f ca="1">MAX(0,CP*(D3011-K))</f>
        <v>1.8895042221749203E-2</v>
      </c>
      <c r="F3011" s="4">
        <f ca="1">(CP*(D3011-K)&gt;0)*1</f>
        <v>1</v>
      </c>
      <c r="H3011" s="4">
        <v>2996</v>
      </c>
      <c r="I3011" s="3">
        <v>0.66774558493168756</v>
      </c>
      <c r="J3011" s="128">
        <v>1.3576830589891659E-3</v>
      </c>
      <c r="K3011" s="128"/>
      <c r="L3011" s="128">
        <v>4.02E-2</v>
      </c>
      <c r="O3011" s="2"/>
    </row>
    <row r="3012" spans="2:15" x14ac:dyDescent="0.2">
      <c r="B3012" s="1">
        <v>2997</v>
      </c>
      <c r="C3012" s="5">
        <f ca="1"/>
        <v>0.82282341309288098</v>
      </c>
      <c r="D3012" s="5">
        <f ca="1">S0*EXP((μ-0.5*σ*σ)*T+σ*SQRT(T)*$C3012)</f>
        <v>0.72065716536690994</v>
      </c>
      <c r="E3012" s="5">
        <f ca="1">MAX(0,CP*(D3012-K))</f>
        <v>0</v>
      </c>
      <c r="F3012" s="4">
        <f ca="1">(CP*(D3012-K)&gt;0)*1</f>
        <v>0</v>
      </c>
      <c r="H3012" s="4">
        <v>2997</v>
      </c>
      <c r="I3012" s="3">
        <v>0.66791532738951631</v>
      </c>
      <c r="J3012" s="128">
        <v>1.568898757897099E-3</v>
      </c>
      <c r="K3012" s="128"/>
      <c r="L3012" s="128">
        <v>4.3200000000000002E-2</v>
      </c>
      <c r="O3012" s="2"/>
    </row>
    <row r="3013" spans="2:15" x14ac:dyDescent="0.2">
      <c r="B3013" s="1">
        <v>2998</v>
      </c>
      <c r="C3013" s="5">
        <f ca="1"/>
        <v>-0.10953161936977726</v>
      </c>
      <c r="D3013" s="5">
        <f ca="1">S0*EXP((μ-0.5*σ*σ)*T+σ*SQRT(T)*$C3013)</f>
        <v>0.65736866946967754</v>
      </c>
      <c r="E3013" s="5">
        <f ca="1">MAX(0,CP*(D3013-K))</f>
        <v>0</v>
      </c>
      <c r="F3013" s="4">
        <f ca="1">(CP*(D3013-K)&gt;0)*1</f>
        <v>0</v>
      </c>
      <c r="H3013" s="4">
        <v>2998</v>
      </c>
      <c r="I3013" s="3">
        <v>0.66769207544119791</v>
      </c>
      <c r="J3013" s="128">
        <v>1.461011723829526E-3</v>
      </c>
      <c r="K3013" s="128"/>
      <c r="L3013" s="128">
        <v>4.24E-2</v>
      </c>
      <c r="O3013" s="2"/>
    </row>
    <row r="3014" spans="2:15" x14ac:dyDescent="0.2">
      <c r="B3014" s="1">
        <v>2999</v>
      </c>
      <c r="C3014" s="5">
        <f ca="1"/>
        <v>-1.0050243151072031</v>
      </c>
      <c r="D3014" s="5">
        <f ca="1">S0*EXP((μ-0.5*σ*σ)*T+σ*SQRT(T)*$C3014)</f>
        <v>0.60182135140466986</v>
      </c>
      <c r="E3014" s="5">
        <f ca="1">MAX(0,CP*(D3014-K))</f>
        <v>0</v>
      </c>
      <c r="F3014" s="4">
        <f ca="1">(CP*(D3014-K)&gt;0)*1</f>
        <v>0</v>
      </c>
      <c r="H3014" s="4">
        <v>2999</v>
      </c>
      <c r="I3014" s="3">
        <v>0.66769913695236105</v>
      </c>
      <c r="J3014" s="128">
        <v>1.3702809945025866E-3</v>
      </c>
      <c r="K3014" s="128"/>
      <c r="L3014" s="128">
        <v>4.0399999999999998E-2</v>
      </c>
      <c r="O3014" s="2"/>
    </row>
    <row r="3015" spans="2:15" x14ac:dyDescent="0.2">
      <c r="B3015" s="1">
        <v>3000</v>
      </c>
      <c r="C3015" s="5">
        <f ca="1"/>
        <v>2.6840779008954385</v>
      </c>
      <c r="D3015" s="5">
        <f ca="1">S0*EXP((μ-0.5*σ*σ)*T+σ*SQRT(T)*$C3015)</f>
        <v>0.86580516095754811</v>
      </c>
      <c r="E3015" s="5">
        <f ca="1">MAX(0,CP*(D3015-K))</f>
        <v>7.7605160957548103E-2</v>
      </c>
      <c r="F3015" s="4">
        <f ca="1">(CP*(D3015-K)&gt;0)*1</f>
        <v>1</v>
      </c>
      <c r="H3015" s="4">
        <v>3000</v>
      </c>
      <c r="I3015" s="3">
        <v>0.66781270281755789</v>
      </c>
      <c r="J3015" s="128">
        <v>1.519366689134732E-3</v>
      </c>
      <c r="K3015" s="128"/>
      <c r="L3015" s="128">
        <v>4.3999999999999997E-2</v>
      </c>
      <c r="O3015" s="2"/>
    </row>
    <row r="3016" spans="2:15" x14ac:dyDescent="0.2">
      <c r="B3016" s="1">
        <v>3001</v>
      </c>
      <c r="C3016" s="5">
        <f ca="1"/>
        <v>-0.77412884226396717</v>
      </c>
      <c r="D3016" s="5">
        <f ca="1">S0*EXP((μ-0.5*σ*σ)*T+σ*SQRT(T)*$C3016)</f>
        <v>0.6156779653094766</v>
      </c>
      <c r="E3016" s="5">
        <f ca="1">MAX(0,CP*(D3016-K))</f>
        <v>0</v>
      </c>
      <c r="F3016" s="4">
        <f ca="1">(CP*(D3016-K)&gt;0)*1</f>
        <v>0</v>
      </c>
      <c r="H3016" s="4">
        <v>3001</v>
      </c>
      <c r="I3016" s="3">
        <v>0.66765616904965674</v>
      </c>
      <c r="J3016" s="128">
        <v>1.3140292187420277E-3</v>
      </c>
      <c r="K3016" s="128"/>
      <c r="L3016" s="128">
        <v>4.24E-2</v>
      </c>
      <c r="O3016" s="2"/>
    </row>
    <row r="3017" spans="2:15" x14ac:dyDescent="0.2">
      <c r="B3017" s="1">
        <v>3002</v>
      </c>
      <c r="C3017" s="5">
        <f ca="1"/>
        <v>-1.4402754066642949</v>
      </c>
      <c r="D3017" s="5">
        <f ca="1">S0*EXP((μ-0.5*σ*σ)*T+σ*SQRT(T)*$C3017)</f>
        <v>0.57654323870330071</v>
      </c>
      <c r="E3017" s="5">
        <f ca="1">MAX(0,CP*(D3017-K))</f>
        <v>0</v>
      </c>
      <c r="F3017" s="4">
        <f ca="1">(CP*(D3017-K)&gt;0)*1</f>
        <v>0</v>
      </c>
      <c r="H3017" s="4">
        <v>3002</v>
      </c>
      <c r="I3017" s="3">
        <v>0.66788626006895602</v>
      </c>
      <c r="J3017" s="128">
        <v>1.4874824469029936E-3</v>
      </c>
      <c r="K3017" s="128"/>
      <c r="L3017" s="128">
        <v>4.6800000000000001E-2</v>
      </c>
      <c r="O3017" s="2"/>
    </row>
    <row r="3018" spans="2:15" x14ac:dyDescent="0.2">
      <c r="B3018" s="1">
        <v>3003</v>
      </c>
      <c r="C3018" s="5">
        <f ca="1"/>
        <v>0.76246176708688285</v>
      </c>
      <c r="D3018" s="5">
        <f ca="1">S0*EXP((μ-0.5*σ*σ)*T+σ*SQRT(T)*$C3018)</f>
        <v>0.71638134036285472</v>
      </c>
      <c r="E3018" s="5">
        <f ca="1">MAX(0,CP*(D3018-K))</f>
        <v>0</v>
      </c>
      <c r="F3018" s="4">
        <f ca="1">(CP*(D3018-K)&gt;0)*1</f>
        <v>0</v>
      </c>
      <c r="H3018" s="4">
        <v>3003</v>
      </c>
      <c r="I3018" s="3">
        <v>0.66770604822763191</v>
      </c>
      <c r="J3018" s="128">
        <v>1.296658771996975E-3</v>
      </c>
      <c r="K3018" s="128"/>
      <c r="L3018" s="128">
        <v>4.2999999999999997E-2</v>
      </c>
      <c r="O3018" s="2"/>
    </row>
    <row r="3019" spans="2:15" x14ac:dyDescent="0.2">
      <c r="B3019" s="1">
        <v>3004</v>
      </c>
      <c r="C3019" s="5">
        <f ca="1"/>
        <v>-2.6677278602037728</v>
      </c>
      <c r="D3019" s="5">
        <f ca="1">S0*EXP((μ-0.5*σ*σ)*T+σ*SQRT(T)*$C3019)</f>
        <v>0.51083104900282217</v>
      </c>
      <c r="E3019" s="5">
        <f ca="1">MAX(0,CP*(D3019-K))</f>
        <v>0</v>
      </c>
      <c r="F3019" s="4">
        <f ca="1">(CP*(D3019-K)&gt;0)*1</f>
        <v>0</v>
      </c>
      <c r="H3019" s="4">
        <v>3004</v>
      </c>
      <c r="I3019" s="3">
        <v>0.6677573708639265</v>
      </c>
      <c r="J3019" s="128">
        <v>1.3507379551053798E-3</v>
      </c>
      <c r="K3019" s="128"/>
      <c r="L3019" s="128">
        <v>4.02E-2</v>
      </c>
      <c r="O3019" s="2"/>
    </row>
    <row r="3020" spans="2:15" x14ac:dyDescent="0.2">
      <c r="B3020" s="1">
        <v>3005</v>
      </c>
      <c r="C3020" s="5">
        <f ca="1"/>
        <v>1.0560658094409208</v>
      </c>
      <c r="D3020" s="5">
        <f ca="1">S0*EXP((μ-0.5*σ*σ)*T+σ*SQRT(T)*$C3020)</f>
        <v>0.73742051275834464</v>
      </c>
      <c r="E3020" s="5">
        <f ca="1">MAX(0,CP*(D3020-K))</f>
        <v>0</v>
      </c>
      <c r="F3020" s="4">
        <f ca="1">(CP*(D3020-K)&gt;0)*1</f>
        <v>0</v>
      </c>
      <c r="H3020" s="4">
        <v>3005</v>
      </c>
      <c r="I3020" s="3">
        <v>0.66795560578250468</v>
      </c>
      <c r="J3020" s="128">
        <v>1.641960330646515E-3</v>
      </c>
      <c r="K3020" s="128"/>
      <c r="L3020" s="128">
        <v>4.58E-2</v>
      </c>
      <c r="O3020" s="2"/>
    </row>
    <row r="3021" spans="2:15" x14ac:dyDescent="0.2">
      <c r="B3021" s="1">
        <v>3006</v>
      </c>
      <c r="C3021" s="5">
        <f ca="1"/>
        <v>-0.61894944817108744</v>
      </c>
      <c r="D3021" s="5">
        <f ca="1">S0*EXP((μ-0.5*σ*σ)*T+σ*SQRT(T)*$C3021)</f>
        <v>0.62516948380657955</v>
      </c>
      <c r="E3021" s="5">
        <f ca="1">MAX(0,CP*(D3021-K))</f>
        <v>0</v>
      </c>
      <c r="F3021" s="4">
        <f ca="1">(CP*(D3021-K)&gt;0)*1</f>
        <v>0</v>
      </c>
      <c r="H3021" s="4">
        <v>3006</v>
      </c>
      <c r="I3021" s="3">
        <v>0.66769803819274465</v>
      </c>
      <c r="J3021" s="128">
        <v>1.3570880054589896E-3</v>
      </c>
      <c r="K3021" s="128"/>
      <c r="L3021" s="128">
        <v>4.2799999999999998E-2</v>
      </c>
      <c r="O3021" s="2"/>
    </row>
    <row r="3022" spans="2:15" x14ac:dyDescent="0.2">
      <c r="B3022" s="1">
        <v>3007</v>
      </c>
      <c r="C3022" s="5">
        <f ca="1"/>
        <v>-0.8037572661483755</v>
      </c>
      <c r="D3022" s="5">
        <f ca="1">S0*EXP((μ-0.5*σ*σ)*T+σ*SQRT(T)*$C3022)</f>
        <v>0.61388219928790688</v>
      </c>
      <c r="E3022" s="5">
        <f ca="1">MAX(0,CP*(D3022-K))</f>
        <v>0</v>
      </c>
      <c r="F3022" s="4">
        <f ca="1">(CP*(D3022-K)&gt;0)*1</f>
        <v>0</v>
      </c>
      <c r="H3022" s="4">
        <v>3007</v>
      </c>
      <c r="I3022" s="3">
        <v>0.66766000189003971</v>
      </c>
      <c r="J3022" s="128">
        <v>1.1924334262831231E-3</v>
      </c>
      <c r="K3022" s="128"/>
      <c r="L3022" s="128">
        <v>3.5400000000000001E-2</v>
      </c>
      <c r="O3022" s="2"/>
    </row>
    <row r="3023" spans="2:15" x14ac:dyDescent="0.2">
      <c r="B3023" s="1">
        <v>3008</v>
      </c>
      <c r="C3023" s="5">
        <f ca="1"/>
        <v>0.23900832573236955</v>
      </c>
      <c r="D3023" s="5">
        <f ca="1">S0*EXP((μ-0.5*σ*σ)*T+σ*SQRT(T)*$C3023)</f>
        <v>0.68034952477870547</v>
      </c>
      <c r="E3023" s="5">
        <f ca="1">MAX(0,CP*(D3023-K))</f>
        <v>0</v>
      </c>
      <c r="F3023" s="4">
        <f ca="1">(CP*(D3023-K)&gt;0)*1</f>
        <v>0</v>
      </c>
      <c r="H3023" s="4">
        <v>3008</v>
      </c>
      <c r="I3023" s="3">
        <v>0.66767383019428428</v>
      </c>
      <c r="J3023" s="128">
        <v>1.1883207962579666E-3</v>
      </c>
      <c r="K3023" s="128"/>
      <c r="L3023" s="128">
        <v>3.9800000000000002E-2</v>
      </c>
      <c r="O3023" s="2"/>
    </row>
    <row r="3024" spans="2:15" x14ac:dyDescent="0.2">
      <c r="B3024" s="1">
        <v>3009</v>
      </c>
      <c r="C3024" s="5">
        <f ca="1"/>
        <v>0.70608418461866618</v>
      </c>
      <c r="D3024" s="5">
        <f ca="1">S0*EXP((μ-0.5*σ*σ)*T+σ*SQRT(T)*$C3024)</f>
        <v>0.71241064962708678</v>
      </c>
      <c r="E3024" s="5">
        <f ca="1">MAX(0,CP*(D3024-K))</f>
        <v>0</v>
      </c>
      <c r="F3024" s="4">
        <f ca="1">(CP*(D3024-K)&gt;0)*1</f>
        <v>0</v>
      </c>
      <c r="H3024" s="4">
        <v>3009</v>
      </c>
      <c r="I3024" s="3">
        <v>0.66773150618025212</v>
      </c>
      <c r="J3024" s="128">
        <v>1.4599119795016306E-3</v>
      </c>
      <c r="K3024" s="128"/>
      <c r="L3024" s="128">
        <v>4.3400000000000001E-2</v>
      </c>
      <c r="O3024" s="2"/>
    </row>
    <row r="3025" spans="2:15" x14ac:dyDescent="0.2">
      <c r="B3025" s="1">
        <v>3010</v>
      </c>
      <c r="C3025" s="5">
        <f ca="1"/>
        <v>-1.0214702418712092</v>
      </c>
      <c r="D3025" s="5">
        <f ca="1">S0*EXP((μ-0.5*σ*σ)*T+σ*SQRT(T)*$C3025)</f>
        <v>0.6008463715611807</v>
      </c>
      <c r="E3025" s="5">
        <f ca="1">MAX(0,CP*(D3025-K))</f>
        <v>0</v>
      </c>
      <c r="F3025" s="4">
        <f ca="1">(CP*(D3025-K)&gt;0)*1</f>
        <v>0</v>
      </c>
      <c r="H3025" s="4">
        <v>3010</v>
      </c>
      <c r="I3025" s="3">
        <v>0.66763522526153429</v>
      </c>
      <c r="J3025" s="128">
        <v>1.1885659369197524E-3</v>
      </c>
      <c r="K3025" s="128"/>
      <c r="L3025" s="128">
        <v>3.8600000000000002E-2</v>
      </c>
      <c r="O3025" s="2"/>
    </row>
    <row r="3026" spans="2:15" x14ac:dyDescent="0.2">
      <c r="B3026" s="1">
        <v>3011</v>
      </c>
      <c r="C3026" s="5">
        <f ca="1"/>
        <v>-1.6690481485561466E-2</v>
      </c>
      <c r="D3026" s="5">
        <f ca="1">S0*EXP((μ-0.5*σ*σ)*T+σ*SQRT(T)*$C3026)</f>
        <v>0.66341316743215728</v>
      </c>
      <c r="E3026" s="5">
        <f ca="1">MAX(0,CP*(D3026-K))</f>
        <v>0</v>
      </c>
      <c r="F3026" s="4">
        <f ca="1">(CP*(D3026-K)&gt;0)*1</f>
        <v>0</v>
      </c>
      <c r="H3026" s="4">
        <v>3011</v>
      </c>
      <c r="I3026" s="3">
        <v>0.66776457138798717</v>
      </c>
      <c r="J3026" s="128">
        <v>1.4562708073384237E-3</v>
      </c>
      <c r="K3026" s="128"/>
      <c r="L3026" s="128">
        <v>4.5999999999999999E-2</v>
      </c>
      <c r="O3026" s="2"/>
    </row>
    <row r="3027" spans="2:15" x14ac:dyDescent="0.2">
      <c r="B3027" s="1">
        <v>3012</v>
      </c>
      <c r="C3027" s="5">
        <f ca="1"/>
        <v>-0.83725739262252097</v>
      </c>
      <c r="D3027" s="5">
        <f ca="1">S0*EXP((μ-0.5*σ*σ)*T+σ*SQRT(T)*$C3027)</f>
        <v>0.61185807938939385</v>
      </c>
      <c r="E3027" s="5">
        <f ca="1">MAX(0,CP*(D3027-K))</f>
        <v>0</v>
      </c>
      <c r="F3027" s="4">
        <f ca="1">(CP*(D3027-K)&gt;0)*1</f>
        <v>0</v>
      </c>
      <c r="H3027" s="4">
        <v>3012</v>
      </c>
      <c r="I3027" s="3">
        <v>0.66771078946918705</v>
      </c>
      <c r="J3027" s="128">
        <v>1.2013054397367793E-3</v>
      </c>
      <c r="K3027" s="128"/>
      <c r="L3027" s="128">
        <v>3.9E-2</v>
      </c>
      <c r="O3027" s="2"/>
    </row>
    <row r="3028" spans="2:15" x14ac:dyDescent="0.2">
      <c r="B3028" s="1">
        <v>3013</v>
      </c>
      <c r="C3028" s="5">
        <f ca="1"/>
        <v>-5.6906501898697351E-2</v>
      </c>
      <c r="D3028" s="5">
        <f ca="1">S0*EXP((μ-0.5*σ*σ)*T+σ*SQRT(T)*$C3028)</f>
        <v>0.66078807717353738</v>
      </c>
      <c r="E3028" s="5">
        <f ca="1">MAX(0,CP*(D3028-K))</f>
        <v>0</v>
      </c>
      <c r="F3028" s="4">
        <f ca="1">(CP*(D3028-K)&gt;0)*1</f>
        <v>0</v>
      </c>
      <c r="H3028" s="4">
        <v>3013</v>
      </c>
      <c r="I3028" s="3">
        <v>0.66780480275337906</v>
      </c>
      <c r="J3028" s="128">
        <v>1.4238698033696403E-3</v>
      </c>
      <c r="K3028" s="128"/>
      <c r="L3028" s="128">
        <v>4.5199999999999997E-2</v>
      </c>
      <c r="O3028" s="2"/>
    </row>
    <row r="3029" spans="2:15" x14ac:dyDescent="0.2">
      <c r="B3029" s="1">
        <v>3014</v>
      </c>
      <c r="C3029" s="5">
        <f ca="1"/>
        <v>-0.90186297552754591</v>
      </c>
      <c r="D3029" s="5">
        <f ca="1">S0*EXP((μ-0.5*σ*σ)*T+σ*SQRT(T)*$C3029)</f>
        <v>0.6079733557630379</v>
      </c>
      <c r="E3029" s="5">
        <f ca="1">MAX(0,CP*(D3029-K))</f>
        <v>0</v>
      </c>
      <c r="F3029" s="4">
        <f ca="1">(CP*(D3029-K)&gt;0)*1</f>
        <v>0</v>
      </c>
      <c r="H3029" s="4">
        <v>3014</v>
      </c>
      <c r="I3029" s="3">
        <v>0.6677396583668066</v>
      </c>
      <c r="J3029" s="128">
        <v>1.3168179622929687E-3</v>
      </c>
      <c r="K3029" s="128"/>
      <c r="L3029" s="128">
        <v>4.3799999999999999E-2</v>
      </c>
      <c r="O3029" s="2"/>
    </row>
    <row r="3030" spans="2:15" x14ac:dyDescent="0.2">
      <c r="B3030" s="1">
        <v>3015</v>
      </c>
      <c r="C3030" s="5">
        <f ca="1"/>
        <v>0.11552335027335056</v>
      </c>
      <c r="D3030" s="5">
        <f ca="1">S0*EXP((μ-0.5*σ*σ)*T+σ*SQRT(T)*$C3030)</f>
        <v>0.67211711382195416</v>
      </c>
      <c r="E3030" s="5">
        <f ca="1">MAX(0,CP*(D3030-K))</f>
        <v>0</v>
      </c>
      <c r="F3030" s="4">
        <f ca="1">(CP*(D3030-K)&gt;0)*1</f>
        <v>0</v>
      </c>
      <c r="H3030" s="4">
        <v>3015</v>
      </c>
      <c r="I3030" s="3">
        <v>0.66779464298483715</v>
      </c>
      <c r="J3030" s="128">
        <v>1.4772965060518865E-3</v>
      </c>
      <c r="K3030" s="128"/>
      <c r="L3030" s="128">
        <v>4.5199999999999997E-2</v>
      </c>
      <c r="O3030" s="2"/>
    </row>
    <row r="3031" spans="2:15" x14ac:dyDescent="0.2">
      <c r="B3031" s="1">
        <v>3016</v>
      </c>
      <c r="C3031" s="5">
        <f ca="1"/>
        <v>-1.1103198670302572</v>
      </c>
      <c r="D3031" s="5">
        <f ca="1">S0*EXP((μ-0.5*σ*σ)*T+σ*SQRT(T)*$C3031)</f>
        <v>0.59560626571766606</v>
      </c>
      <c r="E3031" s="5">
        <f ca="1">MAX(0,CP*(D3031-K))</f>
        <v>0</v>
      </c>
      <c r="F3031" s="4">
        <f ca="1">(CP*(D3031-K)&gt;0)*1</f>
        <v>0</v>
      </c>
      <c r="H3031" s="4">
        <v>3016</v>
      </c>
      <c r="I3031" s="3">
        <v>0.66778992221998545</v>
      </c>
      <c r="J3031" s="128">
        <v>1.4652362855788106E-3</v>
      </c>
      <c r="K3031" s="128"/>
      <c r="L3031" s="128">
        <v>4.3799999999999999E-2</v>
      </c>
      <c r="O3031" s="2"/>
    </row>
    <row r="3032" spans="2:15" x14ac:dyDescent="0.2">
      <c r="B3032" s="1">
        <v>3017</v>
      </c>
      <c r="C3032" s="5">
        <f ca="1"/>
        <v>0.91218293222455582</v>
      </c>
      <c r="D3032" s="5">
        <f ca="1">S0*EXP((μ-0.5*σ*σ)*T+σ*SQRT(T)*$C3032)</f>
        <v>0.72703400749773872</v>
      </c>
      <c r="E3032" s="5">
        <f ca="1">MAX(0,CP*(D3032-K))</f>
        <v>0</v>
      </c>
      <c r="F3032" s="4">
        <f ca="1">(CP*(D3032-K)&gt;0)*1</f>
        <v>0</v>
      </c>
      <c r="H3032" s="4">
        <v>3017</v>
      </c>
      <c r="I3032" s="3">
        <v>0.66788702637817599</v>
      </c>
      <c r="J3032" s="128">
        <v>1.4566828573311704E-3</v>
      </c>
      <c r="K3032" s="128"/>
      <c r="L3032" s="128">
        <v>4.2799999999999998E-2</v>
      </c>
      <c r="O3032" s="2"/>
    </row>
    <row r="3033" spans="2:15" x14ac:dyDescent="0.2">
      <c r="B3033" s="1">
        <v>3018</v>
      </c>
      <c r="C3033" s="5">
        <f ca="1"/>
        <v>-0.45272127320873184</v>
      </c>
      <c r="D3033" s="5">
        <f ca="1">S0*EXP((μ-0.5*σ*σ)*T+σ*SQRT(T)*$C3033)</f>
        <v>0.63549918122607396</v>
      </c>
      <c r="E3033" s="5">
        <f ca="1">MAX(0,CP*(D3033-K))</f>
        <v>0</v>
      </c>
      <c r="F3033" s="4">
        <f ca="1">(CP*(D3033-K)&gt;0)*1</f>
        <v>0</v>
      </c>
      <c r="H3033" s="4">
        <v>3018</v>
      </c>
      <c r="I3033" s="3">
        <v>0.66756803683483124</v>
      </c>
      <c r="J3033" s="128">
        <v>1.1808593268839509E-3</v>
      </c>
      <c r="K3033" s="128"/>
      <c r="L3033" s="128">
        <v>3.7199999999999997E-2</v>
      </c>
      <c r="O3033" s="2"/>
    </row>
    <row r="3034" spans="2:15" x14ac:dyDescent="0.2">
      <c r="B3034" s="1">
        <v>3019</v>
      </c>
      <c r="C3034" s="5">
        <f ca="1"/>
        <v>1.8262414237950628</v>
      </c>
      <c r="D3034" s="5">
        <f ca="1">S0*EXP((μ-0.5*σ*σ)*T+σ*SQRT(T)*$C3034)</f>
        <v>0.7955931747294025</v>
      </c>
      <c r="E3034" s="5">
        <f ca="1">MAX(0,CP*(D3034-K))</f>
        <v>7.3931747294024852E-3</v>
      </c>
      <c r="F3034" s="4">
        <f ca="1">(CP*(D3034-K)&gt;0)*1</f>
        <v>1</v>
      </c>
      <c r="H3034" s="4">
        <v>3019</v>
      </c>
      <c r="I3034" s="3">
        <v>0.6676005464032515</v>
      </c>
      <c r="J3034" s="128">
        <v>1.3107567446521398E-3</v>
      </c>
      <c r="K3034" s="128"/>
      <c r="L3034" s="128">
        <v>4.0800000000000003E-2</v>
      </c>
      <c r="O3034" s="2"/>
    </row>
    <row r="3035" spans="2:15" x14ac:dyDescent="0.2">
      <c r="B3035" s="1">
        <v>3020</v>
      </c>
      <c r="C3035" s="5">
        <f ca="1"/>
        <v>-1.3116367016504149</v>
      </c>
      <c r="D3035" s="5">
        <f ca="1">S0*EXP((μ-0.5*σ*σ)*T+σ*SQRT(T)*$C3035)</f>
        <v>0.58390161631491078</v>
      </c>
      <c r="E3035" s="5">
        <f ca="1">MAX(0,CP*(D3035-K))</f>
        <v>0</v>
      </c>
      <c r="F3035" s="4">
        <f ca="1">(CP*(D3035-K)&gt;0)*1</f>
        <v>0</v>
      </c>
      <c r="H3035" s="4">
        <v>3020</v>
      </c>
      <c r="I3035" s="3">
        <v>0.66779819689204756</v>
      </c>
      <c r="J3035" s="128">
        <v>1.4242683332865947E-3</v>
      </c>
      <c r="K3035" s="128"/>
      <c r="L3035" s="128">
        <v>4.36E-2</v>
      </c>
      <c r="O3035" s="2"/>
    </row>
    <row r="3036" spans="2:15" x14ac:dyDescent="0.2">
      <c r="B3036" s="1">
        <v>3021</v>
      </c>
      <c r="C3036" s="5">
        <f ca="1"/>
        <v>0.78900043970910672</v>
      </c>
      <c r="D3036" s="5">
        <f ca="1">S0*EXP((μ-0.5*σ*σ)*T+σ*SQRT(T)*$C3036)</f>
        <v>0.71825812070784623</v>
      </c>
      <c r="E3036" s="5">
        <f ca="1">MAX(0,CP*(D3036-K))</f>
        <v>0</v>
      </c>
      <c r="F3036" s="4">
        <f ca="1">(CP*(D3036-K)&gt;0)*1</f>
        <v>0</v>
      </c>
      <c r="H3036" s="4">
        <v>3021</v>
      </c>
      <c r="I3036" s="3">
        <v>0.66776772774497162</v>
      </c>
      <c r="J3036" s="128">
        <v>1.5519339731318606E-3</v>
      </c>
      <c r="K3036" s="128"/>
      <c r="L3036" s="128">
        <v>4.36E-2</v>
      </c>
      <c r="O3036" s="2"/>
    </row>
    <row r="3037" spans="2:15" x14ac:dyDescent="0.2">
      <c r="B3037" s="1">
        <v>3022</v>
      </c>
      <c r="C3037" s="5">
        <f ca="1"/>
        <v>3.4669715699886298E-2</v>
      </c>
      <c r="D3037" s="5">
        <f ca="1">S0*EXP((μ-0.5*σ*σ)*T+σ*SQRT(T)*$C3037)</f>
        <v>0.66678086026797456</v>
      </c>
      <c r="E3037" s="5">
        <f ca="1">MAX(0,CP*(D3037-K))</f>
        <v>0</v>
      </c>
      <c r="F3037" s="4">
        <f ca="1">(CP*(D3037-K)&gt;0)*1</f>
        <v>0</v>
      </c>
      <c r="H3037" s="4">
        <v>3022</v>
      </c>
      <c r="I3037" s="3">
        <v>0.66785528620507062</v>
      </c>
      <c r="J3037" s="128">
        <v>1.4278856086451478E-3</v>
      </c>
      <c r="K3037" s="128"/>
      <c r="L3037" s="128">
        <v>4.3400000000000001E-2</v>
      </c>
      <c r="O3037" s="2"/>
    </row>
    <row r="3038" spans="2:15" x14ac:dyDescent="0.2">
      <c r="B3038" s="1">
        <v>3023</v>
      </c>
      <c r="C3038" s="5">
        <f ca="1"/>
        <v>0.50354859914890837</v>
      </c>
      <c r="D3038" s="5">
        <f ca="1">S0*EXP((μ-0.5*σ*σ)*T+σ*SQRT(T)*$C3038)</f>
        <v>0.69832668918026974</v>
      </c>
      <c r="E3038" s="5">
        <f ca="1">MAX(0,CP*(D3038-K))</f>
        <v>0</v>
      </c>
      <c r="F3038" s="4">
        <f ca="1">(CP*(D3038-K)&gt;0)*1</f>
        <v>0</v>
      </c>
      <c r="H3038" s="4">
        <v>3023</v>
      </c>
      <c r="I3038" s="3">
        <v>0.66773289782423273</v>
      </c>
      <c r="J3038" s="128">
        <v>1.3417858827467558E-3</v>
      </c>
      <c r="K3038" s="128"/>
      <c r="L3038" s="128">
        <v>4.24E-2</v>
      </c>
      <c r="O3038" s="2"/>
    </row>
    <row r="3039" spans="2:15" x14ac:dyDescent="0.2">
      <c r="B3039" s="1">
        <v>3024</v>
      </c>
      <c r="C3039" s="5">
        <f ca="1"/>
        <v>-0.72006886046877538</v>
      </c>
      <c r="D3039" s="5">
        <f ca="1">S0*EXP((μ-0.5*σ*σ)*T+σ*SQRT(T)*$C3039)</f>
        <v>0.61896806499262891</v>
      </c>
      <c r="E3039" s="5">
        <f ca="1">MAX(0,CP*(D3039-K))</f>
        <v>0</v>
      </c>
      <c r="F3039" s="4">
        <f ca="1">(CP*(D3039-K)&gt;0)*1</f>
        <v>0</v>
      </c>
      <c r="H3039" s="4">
        <v>3024</v>
      </c>
      <c r="I3039" s="3">
        <v>0.66766476162940647</v>
      </c>
      <c r="J3039" s="128">
        <v>1.2398079655457734E-3</v>
      </c>
      <c r="K3039" s="128"/>
      <c r="L3039" s="128">
        <v>0.04</v>
      </c>
      <c r="O3039" s="2"/>
    </row>
    <row r="3040" spans="2:15" x14ac:dyDescent="0.2">
      <c r="B3040" s="1">
        <v>3025</v>
      </c>
      <c r="C3040" s="5">
        <f ca="1"/>
        <v>0.75335798032379642</v>
      </c>
      <c r="D3040" s="5">
        <f ca="1">S0*EXP((μ-0.5*σ*σ)*T+σ*SQRT(T)*$C3040)</f>
        <v>0.71573866273317999</v>
      </c>
      <c r="E3040" s="5">
        <f ca="1">MAX(0,CP*(D3040-K))</f>
        <v>0</v>
      </c>
      <c r="F3040" s="4">
        <f ca="1">(CP*(D3040-K)&gt;0)*1</f>
        <v>0</v>
      </c>
      <c r="H3040" s="4">
        <v>3025</v>
      </c>
      <c r="I3040" s="3">
        <v>0.66771924075359435</v>
      </c>
      <c r="J3040" s="128">
        <v>1.3212561869140303E-3</v>
      </c>
      <c r="K3040" s="128"/>
      <c r="L3040" s="128">
        <v>4.1799999999999997E-2</v>
      </c>
      <c r="O3040" s="2"/>
    </row>
    <row r="3041" spans="2:15" x14ac:dyDescent="0.2">
      <c r="B3041" s="1">
        <v>3026</v>
      </c>
      <c r="C3041" s="5">
        <f ca="1"/>
        <v>0.15435493776777007</v>
      </c>
      <c r="D3041" s="5">
        <f ca="1">S0*EXP((μ-0.5*σ*σ)*T+σ*SQRT(T)*$C3041)</f>
        <v>0.67469511666275994</v>
      </c>
      <c r="E3041" s="5">
        <f ca="1">MAX(0,CP*(D3041-K))</f>
        <v>0</v>
      </c>
      <c r="F3041" s="4">
        <f ca="1">(CP*(D3041-K)&gt;0)*1</f>
        <v>0</v>
      </c>
      <c r="H3041" s="4">
        <v>3026</v>
      </c>
      <c r="I3041" s="3">
        <v>0.66761774887725733</v>
      </c>
      <c r="J3041" s="128">
        <v>1.3287879480151066E-3</v>
      </c>
      <c r="K3041" s="128"/>
      <c r="L3041" s="128">
        <v>4.0599999999999997E-2</v>
      </c>
      <c r="O3041" s="2"/>
    </row>
    <row r="3042" spans="2:15" x14ac:dyDescent="0.2">
      <c r="B3042" s="1">
        <v>3027</v>
      </c>
      <c r="C3042" s="5">
        <f ca="1"/>
        <v>0.55505676301021112</v>
      </c>
      <c r="D3042" s="5">
        <f ca="1">S0*EXP((μ-0.5*σ*σ)*T+σ*SQRT(T)*$C3042)</f>
        <v>0.70188185271703418</v>
      </c>
      <c r="E3042" s="5">
        <f ca="1">MAX(0,CP*(D3042-K))</f>
        <v>0</v>
      </c>
      <c r="F3042" s="4">
        <f ca="1">(CP*(D3042-K)&gt;0)*1</f>
        <v>0</v>
      </c>
      <c r="H3042" s="4">
        <v>3027</v>
      </c>
      <c r="I3042" s="3">
        <v>0.66777626449027216</v>
      </c>
      <c r="J3042" s="128">
        <v>1.3265747973142442E-3</v>
      </c>
      <c r="K3042" s="128"/>
      <c r="L3042" s="128">
        <v>4.2000000000000003E-2</v>
      </c>
      <c r="O3042" s="2"/>
    </row>
    <row r="3043" spans="2:15" x14ac:dyDescent="0.2">
      <c r="B3043" s="1">
        <v>3028</v>
      </c>
      <c r="C3043" s="5">
        <f ca="1"/>
        <v>-0.89603516512536885</v>
      </c>
      <c r="D3043" s="5">
        <f ca="1">S0*EXP((μ-0.5*σ*σ)*T+σ*SQRT(T)*$C3043)</f>
        <v>0.60832276666352902</v>
      </c>
      <c r="E3043" s="5">
        <f ca="1">MAX(0,CP*(D3043-K))</f>
        <v>0</v>
      </c>
      <c r="F3043" s="4">
        <f ca="1">(CP*(D3043-K)&gt;0)*1</f>
        <v>0</v>
      </c>
      <c r="H3043" s="4">
        <v>3028</v>
      </c>
      <c r="I3043" s="3">
        <v>0.66774542530676761</v>
      </c>
      <c r="J3043" s="128">
        <v>1.3922415921499367E-3</v>
      </c>
      <c r="K3043" s="128"/>
      <c r="L3043" s="128">
        <v>4.4200000000000003E-2</v>
      </c>
      <c r="O3043" s="2"/>
    </row>
    <row r="3044" spans="2:15" x14ac:dyDescent="0.2">
      <c r="B3044" s="1">
        <v>3029</v>
      </c>
      <c r="C3044" s="5">
        <f ca="1"/>
        <v>3.368513836957622E-2</v>
      </c>
      <c r="D3044" s="5">
        <f ca="1">S0*EXP((μ-0.5*σ*σ)*T+σ*SQRT(T)*$C3044)</f>
        <v>0.66671614099947429</v>
      </c>
      <c r="E3044" s="5">
        <f ca="1">MAX(0,CP*(D3044-K))</f>
        <v>0</v>
      </c>
      <c r="F3044" s="4">
        <f ca="1">(CP*(D3044-K)&gt;0)*1</f>
        <v>0</v>
      </c>
      <c r="H3044" s="4">
        <v>3029</v>
      </c>
      <c r="I3044" s="3">
        <v>0.66771710269770124</v>
      </c>
      <c r="J3044" s="128">
        <v>1.2610962975044115E-3</v>
      </c>
      <c r="K3044" s="128"/>
      <c r="L3044" s="128">
        <v>3.9199999999999999E-2</v>
      </c>
      <c r="O3044" s="2"/>
    </row>
    <row r="3045" spans="2:15" x14ac:dyDescent="0.2">
      <c r="B3045" s="1">
        <v>3030</v>
      </c>
      <c r="C3045" s="5">
        <f ca="1"/>
        <v>0.35180676780489573</v>
      </c>
      <c r="D3045" s="5">
        <f ca="1">S0*EXP((μ-0.5*σ*σ)*T+σ*SQRT(T)*$C3045)</f>
        <v>0.68795758487104441</v>
      </c>
      <c r="E3045" s="5">
        <f ca="1">MAX(0,CP*(D3045-K))</f>
        <v>0</v>
      </c>
      <c r="F3045" s="4">
        <f ca="1">(CP*(D3045-K)&gt;0)*1</f>
        <v>0</v>
      </c>
      <c r="H3045" s="4">
        <v>3030</v>
      </c>
      <c r="I3045" s="3">
        <v>0.66786405775075186</v>
      </c>
      <c r="J3045" s="128">
        <v>1.4175120980948663E-3</v>
      </c>
      <c r="K3045" s="128"/>
      <c r="L3045" s="128">
        <v>4.2599999999999999E-2</v>
      </c>
      <c r="O3045" s="2"/>
    </row>
    <row r="3046" spans="2:15" x14ac:dyDescent="0.2">
      <c r="B3046" s="1">
        <v>3031</v>
      </c>
      <c r="C3046" s="5">
        <f ca="1"/>
        <v>-0.86458418938501336</v>
      </c>
      <c r="D3046" s="5">
        <f ca="1">S0*EXP((μ-0.5*σ*σ)*T+σ*SQRT(T)*$C3046)</f>
        <v>0.61021190338883713</v>
      </c>
      <c r="E3046" s="5">
        <f ca="1">MAX(0,CP*(D3046-K))</f>
        <v>0</v>
      </c>
      <c r="F3046" s="4">
        <f ca="1">(CP*(D3046-K)&gt;0)*1</f>
        <v>0</v>
      </c>
      <c r="H3046" s="4">
        <v>3031</v>
      </c>
      <c r="I3046" s="3">
        <v>0.66765620485265331</v>
      </c>
      <c r="J3046" s="128">
        <v>1.3314897366506671E-3</v>
      </c>
      <c r="K3046" s="128"/>
      <c r="L3046" s="128">
        <v>3.8800000000000001E-2</v>
      </c>
      <c r="O3046" s="2"/>
    </row>
    <row r="3047" spans="2:15" x14ac:dyDescent="0.2">
      <c r="B3047" s="1">
        <v>3032</v>
      </c>
      <c r="C3047" s="5">
        <f ca="1"/>
        <v>1.2009543171612529</v>
      </c>
      <c r="D3047" s="5">
        <f ca="1">S0*EXP((μ-0.5*σ*σ)*T+σ*SQRT(T)*$C3047)</f>
        <v>0.74802955891940692</v>
      </c>
      <c r="E3047" s="5">
        <f ca="1">MAX(0,CP*(D3047-K))</f>
        <v>0</v>
      </c>
      <c r="F3047" s="4">
        <f ca="1">(CP*(D3047-K)&gt;0)*1</f>
        <v>0</v>
      </c>
      <c r="H3047" s="4">
        <v>3032</v>
      </c>
      <c r="I3047" s="3">
        <v>0.66781897855676609</v>
      </c>
      <c r="J3047" s="128">
        <v>1.5617695214299016E-3</v>
      </c>
      <c r="K3047" s="128"/>
      <c r="L3047" s="128">
        <v>4.1399999999999999E-2</v>
      </c>
      <c r="O3047" s="2"/>
    </row>
    <row r="3048" spans="2:15" x14ac:dyDescent="0.2">
      <c r="B3048" s="1">
        <v>3033</v>
      </c>
      <c r="C3048" s="5">
        <f ca="1"/>
        <v>-0.63871025267073345</v>
      </c>
      <c r="D3048" s="5">
        <f ca="1">S0*EXP((μ-0.5*σ*σ)*T+σ*SQRT(T)*$C3048)</f>
        <v>0.62395273440217092</v>
      </c>
      <c r="E3048" s="5">
        <f ca="1">MAX(0,CP*(D3048-K))</f>
        <v>0</v>
      </c>
      <c r="F3048" s="4">
        <f ca="1">(CP*(D3048-K)&gt;0)*1</f>
        <v>0</v>
      </c>
      <c r="H3048" s="4">
        <v>3033</v>
      </c>
      <c r="I3048" s="3">
        <v>0.66787774924112442</v>
      </c>
      <c r="J3048" s="128">
        <v>1.4454758610987107E-3</v>
      </c>
      <c r="K3048" s="128"/>
      <c r="L3048" s="128">
        <v>4.1799999999999997E-2</v>
      </c>
      <c r="O3048" s="2"/>
    </row>
    <row r="3049" spans="2:15" x14ac:dyDescent="0.2">
      <c r="B3049" s="1">
        <v>3034</v>
      </c>
      <c r="C3049" s="5">
        <f ca="1"/>
        <v>1.6447704194286372</v>
      </c>
      <c r="D3049" s="5">
        <f ca="1">S0*EXP((μ-0.5*σ*σ)*T+σ*SQRT(T)*$C3049)</f>
        <v>0.78148597310570744</v>
      </c>
      <c r="E3049" s="5">
        <f ca="1">MAX(0,CP*(D3049-K))</f>
        <v>0</v>
      </c>
      <c r="F3049" s="4">
        <f ca="1">(CP*(D3049-K)&gt;0)*1</f>
        <v>0</v>
      </c>
      <c r="H3049" s="4">
        <v>3034</v>
      </c>
      <c r="I3049" s="3">
        <v>0.66789122622891806</v>
      </c>
      <c r="J3049" s="128">
        <v>1.4702125190017724E-3</v>
      </c>
      <c r="K3049" s="128"/>
      <c r="L3049" s="128">
        <v>4.3200000000000002E-2</v>
      </c>
      <c r="O3049" s="2"/>
    </row>
    <row r="3050" spans="2:15" x14ac:dyDescent="0.2">
      <c r="B3050" s="1">
        <v>3035</v>
      </c>
      <c r="C3050" s="5">
        <f ca="1"/>
        <v>1.0174113313748545</v>
      </c>
      <c r="D3050" s="5">
        <f ca="1">S0*EXP((μ-0.5*σ*σ)*T+σ*SQRT(T)*$C3050)</f>
        <v>0.73461566369188647</v>
      </c>
      <c r="E3050" s="5">
        <f ca="1">MAX(0,CP*(D3050-K))</f>
        <v>0</v>
      </c>
      <c r="F3050" s="4">
        <f ca="1">(CP*(D3050-K)&gt;0)*1</f>
        <v>0</v>
      </c>
      <c r="H3050" s="4">
        <v>3035</v>
      </c>
      <c r="I3050" s="3">
        <v>0.66779782565148793</v>
      </c>
      <c r="J3050" s="128">
        <v>1.3709837054628026E-3</v>
      </c>
      <c r="K3050" s="128"/>
      <c r="L3050" s="128">
        <v>4.5999999999999999E-2</v>
      </c>
      <c r="O3050" s="2"/>
    </row>
    <row r="3051" spans="2:15" x14ac:dyDescent="0.2">
      <c r="B3051" s="1">
        <v>3036</v>
      </c>
      <c r="C3051" s="5">
        <f ca="1"/>
        <v>0.84991080935940033</v>
      </c>
      <c r="D3051" s="5">
        <f ca="1">S0*EXP((μ-0.5*σ*σ)*T+σ*SQRT(T)*$C3051)</f>
        <v>0.72258423632648894</v>
      </c>
      <c r="E3051" s="5">
        <f ca="1">MAX(0,CP*(D3051-K))</f>
        <v>0</v>
      </c>
      <c r="F3051" s="4">
        <f ca="1">(CP*(D3051-K)&gt;0)*1</f>
        <v>0</v>
      </c>
      <c r="H3051" s="4">
        <v>3036</v>
      </c>
      <c r="I3051" s="3">
        <v>0.66766406988701987</v>
      </c>
      <c r="J3051" s="128">
        <v>1.2519412181519855E-3</v>
      </c>
      <c r="K3051" s="128"/>
      <c r="L3051" s="128">
        <v>4.2000000000000003E-2</v>
      </c>
      <c r="O3051" s="2"/>
    </row>
    <row r="3052" spans="2:15" x14ac:dyDescent="0.2">
      <c r="B3052" s="1">
        <v>3037</v>
      </c>
      <c r="C3052" s="5">
        <f ca="1"/>
        <v>1.2924039855041523</v>
      </c>
      <c r="D3052" s="5">
        <f ca="1">S0*EXP((μ-0.5*σ*σ)*T+σ*SQRT(T)*$C3052)</f>
        <v>0.75480413056522522</v>
      </c>
      <c r="E3052" s="5">
        <f ca="1">MAX(0,CP*(D3052-K))</f>
        <v>0</v>
      </c>
      <c r="F3052" s="4">
        <f ca="1">(CP*(D3052-K)&gt;0)*1</f>
        <v>0</v>
      </c>
      <c r="H3052" s="4">
        <v>3037</v>
      </c>
      <c r="I3052" s="3">
        <v>0.66770747826696608</v>
      </c>
      <c r="J3052" s="128">
        <v>1.2342559491081433E-3</v>
      </c>
      <c r="K3052" s="128"/>
      <c r="L3052" s="128">
        <v>4.0800000000000003E-2</v>
      </c>
      <c r="O3052" s="2"/>
    </row>
    <row r="3053" spans="2:15" x14ac:dyDescent="0.2">
      <c r="B3053" s="1">
        <v>3038</v>
      </c>
      <c r="C3053" s="5">
        <f ca="1"/>
        <v>-0.19477754344685777</v>
      </c>
      <c r="D3053" s="5">
        <f ca="1">S0*EXP((μ-0.5*σ*σ)*T+σ*SQRT(T)*$C3053)</f>
        <v>0.65186717502658442</v>
      </c>
      <c r="E3053" s="5">
        <f ca="1">MAX(0,CP*(D3053-K))</f>
        <v>0</v>
      </c>
      <c r="F3053" s="4">
        <f ca="1">(CP*(D3053-K)&gt;0)*1</f>
        <v>0</v>
      </c>
      <c r="H3053" s="4">
        <v>3038</v>
      </c>
      <c r="I3053" s="3">
        <v>0.6676915423803369</v>
      </c>
      <c r="J3053" s="128">
        <v>1.4046604620297607E-3</v>
      </c>
      <c r="K3053" s="128"/>
      <c r="L3053" s="128">
        <v>4.0599999999999997E-2</v>
      </c>
      <c r="O3053" s="2"/>
    </row>
    <row r="3054" spans="2:15" x14ac:dyDescent="0.2">
      <c r="B3054" s="1">
        <v>3039</v>
      </c>
      <c r="C3054" s="5">
        <f ca="1"/>
        <v>-0.91320879077815686</v>
      </c>
      <c r="D3054" s="5">
        <f ca="1">S0*EXP((μ-0.5*σ*σ)*T+σ*SQRT(T)*$C3054)</f>
        <v>0.60729368418966678</v>
      </c>
      <c r="E3054" s="5">
        <f ca="1">MAX(0,CP*(D3054-K))</f>
        <v>0</v>
      </c>
      <c r="F3054" s="4">
        <f ca="1">(CP*(D3054-K)&gt;0)*1</f>
        <v>0</v>
      </c>
      <c r="H3054" s="4">
        <v>3039</v>
      </c>
      <c r="I3054" s="3">
        <v>0.66782714683179467</v>
      </c>
      <c r="J3054" s="128">
        <v>1.4154785682667292E-3</v>
      </c>
      <c r="K3054" s="128"/>
      <c r="L3054" s="128">
        <v>4.5400000000000003E-2</v>
      </c>
      <c r="O3054" s="2"/>
    </row>
    <row r="3055" spans="2:15" x14ac:dyDescent="0.2">
      <c r="B3055" s="1">
        <v>3040</v>
      </c>
      <c r="C3055" s="5">
        <f ca="1"/>
        <v>-1.2299587202757203</v>
      </c>
      <c r="D3055" s="5">
        <f ca="1">S0*EXP((μ-0.5*σ*σ)*T+σ*SQRT(T)*$C3055)</f>
        <v>0.58862242204940796</v>
      </c>
      <c r="E3055" s="5">
        <f ca="1">MAX(0,CP*(D3055-K))</f>
        <v>0</v>
      </c>
      <c r="F3055" s="4">
        <f ca="1">(CP*(D3055-K)&gt;0)*1</f>
        <v>0</v>
      </c>
      <c r="H3055" s="4">
        <v>3040</v>
      </c>
      <c r="I3055" s="3">
        <v>0.66766568260810166</v>
      </c>
      <c r="J3055" s="128">
        <v>1.2232694973431098E-3</v>
      </c>
      <c r="K3055" s="128"/>
      <c r="L3055" s="128">
        <v>3.8399999999999997E-2</v>
      </c>
      <c r="O3055" s="2"/>
    </row>
    <row r="3056" spans="2:15" x14ac:dyDescent="0.2">
      <c r="B3056" s="1">
        <v>3041</v>
      </c>
      <c r="C3056" s="5">
        <f ca="1"/>
        <v>2.1425087428168692</v>
      </c>
      <c r="D3056" s="5">
        <f ca="1">S0*EXP((μ-0.5*σ*σ)*T+σ*SQRT(T)*$C3056)</f>
        <v>0.82079055141498969</v>
      </c>
      <c r="E3056" s="5">
        <f ca="1">MAX(0,CP*(D3056-K))</f>
        <v>3.2590551414989677E-2</v>
      </c>
      <c r="F3056" s="4">
        <f ca="1">(CP*(D3056-K)&gt;0)*1</f>
        <v>1</v>
      </c>
      <c r="H3056" s="4">
        <v>3041</v>
      </c>
      <c r="I3056" s="3">
        <v>0.66772201712596146</v>
      </c>
      <c r="J3056" s="128">
        <v>1.3798794111765246E-3</v>
      </c>
      <c r="K3056" s="128"/>
      <c r="L3056" s="128">
        <v>4.1399999999999999E-2</v>
      </c>
      <c r="O3056" s="2"/>
    </row>
    <row r="3057" spans="2:15" x14ac:dyDescent="0.2">
      <c r="B3057" s="1">
        <v>3042</v>
      </c>
      <c r="C3057" s="5">
        <f ca="1"/>
        <v>0.29126771260486184</v>
      </c>
      <c r="D3057" s="5">
        <f ca="1">S0*EXP((μ-0.5*σ*σ)*T+σ*SQRT(T)*$C3057)</f>
        <v>0.68386381290821618</v>
      </c>
      <c r="E3057" s="5">
        <f ca="1">MAX(0,CP*(D3057-K))</f>
        <v>0</v>
      </c>
      <c r="F3057" s="4">
        <f ca="1">(CP*(D3057-K)&gt;0)*1</f>
        <v>0</v>
      </c>
      <c r="H3057" s="4">
        <v>3042</v>
      </c>
      <c r="I3057" s="3">
        <v>0.66790018798003981</v>
      </c>
      <c r="J3057" s="128">
        <v>1.55578990810483E-3</v>
      </c>
      <c r="K3057" s="128"/>
      <c r="L3057" s="128">
        <v>4.5999999999999999E-2</v>
      </c>
      <c r="O3057" s="2"/>
    </row>
    <row r="3058" spans="2:15" x14ac:dyDescent="0.2">
      <c r="B3058" s="1">
        <v>3043</v>
      </c>
      <c r="C3058" s="5">
        <f ca="1"/>
        <v>-2.055862864385166</v>
      </c>
      <c r="D3058" s="5">
        <f ca="1">S0*EXP((μ-0.5*σ*σ)*T+σ*SQRT(T)*$C3058)</f>
        <v>0.54259388433388811</v>
      </c>
      <c r="E3058" s="5">
        <f ca="1">MAX(0,CP*(D3058-K))</f>
        <v>0</v>
      </c>
      <c r="F3058" s="4">
        <f ca="1">(CP*(D3058-K)&gt;0)*1</f>
        <v>0</v>
      </c>
      <c r="H3058" s="4">
        <v>3043</v>
      </c>
      <c r="I3058" s="3">
        <v>0.66775661408051978</v>
      </c>
      <c r="J3058" s="128">
        <v>1.3186928765930557E-3</v>
      </c>
      <c r="K3058" s="128"/>
      <c r="L3058" s="128">
        <v>4.2000000000000003E-2</v>
      </c>
      <c r="O3058" s="2"/>
    </row>
    <row r="3059" spans="2:15" x14ac:dyDescent="0.2">
      <c r="B3059" s="1">
        <v>3044</v>
      </c>
      <c r="C3059" s="5">
        <f ca="1"/>
        <v>-0.49399149919895013</v>
      </c>
      <c r="D3059" s="5">
        <f ca="1">S0*EXP((μ-0.5*σ*σ)*T+σ*SQRT(T)*$C3059)</f>
        <v>0.63291876152141113</v>
      </c>
      <c r="E3059" s="5">
        <f ca="1">MAX(0,CP*(D3059-K))</f>
        <v>0</v>
      </c>
      <c r="F3059" s="4">
        <f ca="1">(CP*(D3059-K)&gt;0)*1</f>
        <v>0</v>
      </c>
      <c r="H3059" s="4">
        <v>3044</v>
      </c>
      <c r="I3059" s="3">
        <v>0.66773089869903712</v>
      </c>
      <c r="J3059" s="128">
        <v>1.2650916877639386E-3</v>
      </c>
      <c r="K3059" s="128"/>
      <c r="L3059" s="128">
        <v>3.9399999999999998E-2</v>
      </c>
      <c r="O3059" s="2"/>
    </row>
    <row r="3060" spans="2:15" x14ac:dyDescent="0.2">
      <c r="B3060" s="1">
        <v>3045</v>
      </c>
      <c r="C3060" s="5">
        <f ca="1"/>
        <v>1.1971179844606445</v>
      </c>
      <c r="D3060" s="5">
        <f ca="1">S0*EXP((μ-0.5*σ*σ)*T+σ*SQRT(T)*$C3060)</f>
        <v>0.74774669691253892</v>
      </c>
      <c r="E3060" s="5">
        <f ca="1">MAX(0,CP*(D3060-K))</f>
        <v>0</v>
      </c>
      <c r="F3060" s="4">
        <f ca="1">(CP*(D3060-K)&gt;0)*1</f>
        <v>0</v>
      </c>
      <c r="H3060" s="4">
        <v>3045</v>
      </c>
      <c r="I3060" s="3">
        <v>0.66768471836769505</v>
      </c>
      <c r="J3060" s="128">
        <v>1.3102758752155971E-3</v>
      </c>
      <c r="K3060" s="128"/>
      <c r="L3060" s="128">
        <v>4.2000000000000003E-2</v>
      </c>
      <c r="O3060" s="2"/>
    </row>
    <row r="3061" spans="2:15" x14ac:dyDescent="0.2">
      <c r="B3061" s="1">
        <v>3046</v>
      </c>
      <c r="C3061" s="5">
        <f ca="1"/>
        <v>-5.1033731471229964E-2</v>
      </c>
      <c r="D3061" s="5">
        <f ca="1">S0*EXP((μ-0.5*σ*σ)*T+σ*SQRT(T)*$C3061)</f>
        <v>0.66117077207236397</v>
      </c>
      <c r="E3061" s="5">
        <f ca="1">MAX(0,CP*(D3061-K))</f>
        <v>0</v>
      </c>
      <c r="F3061" s="4">
        <f ca="1">(CP*(D3061-K)&gt;0)*1</f>
        <v>0</v>
      </c>
      <c r="H3061" s="4">
        <v>3046</v>
      </c>
      <c r="I3061" s="3">
        <v>0.66774468456080815</v>
      </c>
      <c r="J3061" s="128">
        <v>1.2780148600846704E-3</v>
      </c>
      <c r="K3061" s="128"/>
      <c r="L3061" s="128">
        <v>4.36E-2</v>
      </c>
      <c r="O3061" s="2"/>
    </row>
    <row r="3062" spans="2:15" x14ac:dyDescent="0.2">
      <c r="B3062" s="1">
        <v>3047</v>
      </c>
      <c r="C3062" s="5">
        <f ca="1"/>
        <v>0.41094592720274142</v>
      </c>
      <c r="D3062" s="5">
        <f ca="1">S0*EXP((μ-0.5*σ*σ)*T+σ*SQRT(T)*$C3062)</f>
        <v>0.69198035481839104</v>
      </c>
      <c r="E3062" s="5">
        <f ca="1">MAX(0,CP*(D3062-K))</f>
        <v>0</v>
      </c>
      <c r="F3062" s="4">
        <f ca="1">(CP*(D3062-K)&gt;0)*1</f>
        <v>0</v>
      </c>
      <c r="H3062" s="4">
        <v>3047</v>
      </c>
      <c r="I3062" s="3">
        <v>0.6677666699460032</v>
      </c>
      <c r="J3062" s="128">
        <v>1.3844061113499413E-3</v>
      </c>
      <c r="K3062" s="128"/>
      <c r="L3062" s="128">
        <v>4.2599999999999999E-2</v>
      </c>
      <c r="O3062" s="2"/>
    </row>
    <row r="3063" spans="2:15" x14ac:dyDescent="0.2">
      <c r="B3063" s="1">
        <v>3048</v>
      </c>
      <c r="C3063" s="5">
        <f ca="1"/>
        <v>1.0290393303498098</v>
      </c>
      <c r="D3063" s="5">
        <f ca="1">S0*EXP((μ-0.5*σ*σ)*T+σ*SQRT(T)*$C3063)</f>
        <v>0.73545829161274134</v>
      </c>
      <c r="E3063" s="5">
        <f ca="1">MAX(0,CP*(D3063-K))</f>
        <v>0</v>
      </c>
      <c r="F3063" s="4">
        <f ca="1">(CP*(D3063-K)&gt;0)*1</f>
        <v>0</v>
      </c>
      <c r="H3063" s="4">
        <v>3048</v>
      </c>
      <c r="I3063" s="3">
        <v>0.66770114607993714</v>
      </c>
      <c r="J3063" s="128">
        <v>1.2565048324696862E-3</v>
      </c>
      <c r="K3063" s="128"/>
      <c r="L3063" s="128">
        <v>3.9800000000000002E-2</v>
      </c>
      <c r="O3063" s="2"/>
    </row>
    <row r="3064" spans="2:15" x14ac:dyDescent="0.2">
      <c r="B3064" s="1">
        <v>3049</v>
      </c>
      <c r="C3064" s="5">
        <f ca="1"/>
        <v>1.9077852506361983</v>
      </c>
      <c r="D3064" s="5">
        <f ca="1">S0*EXP((μ-0.5*σ*σ)*T+σ*SQRT(T)*$C3064)</f>
        <v>0.80201488515101571</v>
      </c>
      <c r="E3064" s="5">
        <f ca="1">MAX(0,CP*(D3064-K))</f>
        <v>1.3814885151015699E-2</v>
      </c>
      <c r="F3064" s="4">
        <f ca="1">(CP*(D3064-K)&gt;0)*1</f>
        <v>1</v>
      </c>
      <c r="H3064" s="4">
        <v>3049</v>
      </c>
      <c r="I3064" s="3">
        <v>0.66768432455019788</v>
      </c>
      <c r="J3064" s="128">
        <v>1.172583683730325E-3</v>
      </c>
      <c r="K3064" s="128"/>
      <c r="L3064" s="128">
        <v>3.9399999999999998E-2</v>
      </c>
      <c r="O3064" s="2"/>
    </row>
    <row r="3065" spans="2:15" x14ac:dyDescent="0.2">
      <c r="B3065" s="1">
        <v>3050</v>
      </c>
      <c r="C3065" s="5">
        <f ca="1"/>
        <v>-0.99172935227106596</v>
      </c>
      <c r="D3065" s="5">
        <f ca="1">S0*EXP((μ-0.5*σ*σ)*T+σ*SQRT(T)*$C3065)</f>
        <v>0.60261068591223532</v>
      </c>
      <c r="E3065" s="5">
        <f ca="1">MAX(0,CP*(D3065-K))</f>
        <v>0</v>
      </c>
      <c r="F3065" s="4">
        <f ca="1">(CP*(D3065-K)&gt;0)*1</f>
        <v>0</v>
      </c>
      <c r="H3065" s="4">
        <v>3050</v>
      </c>
      <c r="I3065" s="3">
        <v>0.66756590526378801</v>
      </c>
      <c r="J3065" s="128">
        <v>1.0207823585332836E-3</v>
      </c>
      <c r="K3065" s="128"/>
      <c r="L3065" s="128">
        <v>3.7999999999999999E-2</v>
      </c>
      <c r="O3065" s="2"/>
    </row>
    <row r="3066" spans="2:15" x14ac:dyDescent="0.2">
      <c r="B3066" s="1">
        <v>3051</v>
      </c>
      <c r="C3066" s="5">
        <f ca="1"/>
        <v>0.1896079308849293</v>
      </c>
      <c r="D3066" s="5">
        <f ca="1">S0*EXP((μ-0.5*σ*σ)*T+σ*SQRT(T)*$C3066)</f>
        <v>0.67704410141724858</v>
      </c>
      <c r="E3066" s="5">
        <f ca="1">MAX(0,CP*(D3066-K))</f>
        <v>0</v>
      </c>
      <c r="F3066" s="4">
        <f ca="1">(CP*(D3066-K)&gt;0)*1</f>
        <v>0</v>
      </c>
      <c r="H3066" s="4">
        <v>3051</v>
      </c>
      <c r="I3066" s="3">
        <v>0.66766670421913121</v>
      </c>
      <c r="J3066" s="128">
        <v>1.248489405420883E-3</v>
      </c>
      <c r="K3066" s="128"/>
      <c r="L3066" s="128">
        <v>3.8199999999999998E-2</v>
      </c>
      <c r="O3066" s="2"/>
    </row>
    <row r="3067" spans="2:15" x14ac:dyDescent="0.2">
      <c r="B3067" s="1">
        <v>3052</v>
      </c>
      <c r="C3067" s="5">
        <f ca="1"/>
        <v>-2.953210435459035E-2</v>
      </c>
      <c r="D3067" s="5">
        <f ca="1">S0*EXP((μ-0.5*σ*σ)*T+σ*SQRT(T)*$C3067)</f>
        <v>0.66257380247315845</v>
      </c>
      <c r="E3067" s="5">
        <f ca="1">MAX(0,CP*(D3067-K))</f>
        <v>0</v>
      </c>
      <c r="F3067" s="4">
        <f ca="1">(CP*(D3067-K)&gt;0)*1</f>
        <v>0</v>
      </c>
      <c r="H3067" s="4">
        <v>3052</v>
      </c>
      <c r="I3067" s="3">
        <v>0.66782677809748614</v>
      </c>
      <c r="J3067" s="128">
        <v>1.4521129850828985E-3</v>
      </c>
      <c r="K3067" s="128"/>
      <c r="L3067" s="128">
        <v>4.36E-2</v>
      </c>
      <c r="O3067" s="2"/>
    </row>
    <row r="3068" spans="2:15" x14ac:dyDescent="0.2">
      <c r="B3068" s="1">
        <v>3053</v>
      </c>
      <c r="C3068" s="5">
        <f ca="1"/>
        <v>0.34050313545124067</v>
      </c>
      <c r="D3068" s="5">
        <f ca="1">S0*EXP((μ-0.5*σ*σ)*T+σ*SQRT(T)*$C3068)</f>
        <v>0.68719135435921452</v>
      </c>
      <c r="E3068" s="5">
        <f ca="1">MAX(0,CP*(D3068-K))</f>
        <v>0</v>
      </c>
      <c r="F3068" s="4">
        <f ca="1">(CP*(D3068-K)&gt;0)*1</f>
        <v>0</v>
      </c>
      <c r="H3068" s="4">
        <v>3053</v>
      </c>
      <c r="I3068" s="3">
        <v>0.6677337390027428</v>
      </c>
      <c r="J3068" s="128">
        <v>1.2928483452802157E-3</v>
      </c>
      <c r="K3068" s="128"/>
      <c r="L3068" s="128">
        <v>4.0399999999999998E-2</v>
      </c>
      <c r="O3068" s="2"/>
    </row>
    <row r="3069" spans="2:15" x14ac:dyDescent="0.2">
      <c r="B3069" s="1">
        <v>3054</v>
      </c>
      <c r="C3069" s="5">
        <f ca="1"/>
        <v>-1.1677040264835625</v>
      </c>
      <c r="D3069" s="5">
        <f ca="1">S0*EXP((μ-0.5*σ*σ)*T+σ*SQRT(T)*$C3069)</f>
        <v>0.5922462206523752</v>
      </c>
      <c r="E3069" s="5">
        <f ca="1">MAX(0,CP*(D3069-K))</f>
        <v>0</v>
      </c>
      <c r="F3069" s="4">
        <f ca="1">(CP*(D3069-K)&gt;0)*1</f>
        <v>0</v>
      </c>
      <c r="H3069" s="4">
        <v>3054</v>
      </c>
      <c r="I3069" s="3">
        <v>0.66770640862909192</v>
      </c>
      <c r="J3069" s="128">
        <v>1.3890752787855598E-3</v>
      </c>
      <c r="K3069" s="128"/>
      <c r="L3069" s="128">
        <v>4.2000000000000003E-2</v>
      </c>
      <c r="O3069" s="2"/>
    </row>
    <row r="3070" spans="2:15" x14ac:dyDescent="0.2">
      <c r="B3070" s="1">
        <v>3055</v>
      </c>
      <c r="C3070" s="5">
        <f ca="1"/>
        <v>-0.55145833671547095</v>
      </c>
      <c r="D3070" s="5">
        <f ca="1">S0*EXP((μ-0.5*σ*σ)*T+σ*SQRT(T)*$C3070)</f>
        <v>0.62934309244140973</v>
      </c>
      <c r="E3070" s="5">
        <f ca="1">MAX(0,CP*(D3070-K))</f>
        <v>0</v>
      </c>
      <c r="F3070" s="4">
        <f ca="1">(CP*(D3070-K)&gt;0)*1</f>
        <v>0</v>
      </c>
      <c r="H3070" s="4">
        <v>3055</v>
      </c>
      <c r="I3070" s="3">
        <v>0.66757941908989038</v>
      </c>
      <c r="J3070" s="128">
        <v>1.1939448719803477E-3</v>
      </c>
      <c r="K3070" s="128"/>
      <c r="L3070" s="128">
        <v>3.6999999999999998E-2</v>
      </c>
      <c r="O3070" s="2"/>
    </row>
    <row r="3071" spans="2:15" x14ac:dyDescent="0.2">
      <c r="B3071" s="1">
        <v>3056</v>
      </c>
      <c r="C3071" s="5">
        <f ca="1"/>
        <v>1.8435605528197121</v>
      </c>
      <c r="D3071" s="5">
        <f ca="1">S0*EXP((μ-0.5*σ*σ)*T+σ*SQRT(T)*$C3071)</f>
        <v>0.7969527699760095</v>
      </c>
      <c r="E3071" s="5">
        <f ca="1">MAX(0,CP*(D3071-K))</f>
        <v>8.752769976009489E-3</v>
      </c>
      <c r="F3071" s="4">
        <f ca="1">(CP*(D3071-K)&gt;0)*1</f>
        <v>1</v>
      </c>
      <c r="H3071" s="4">
        <v>3056</v>
      </c>
      <c r="I3071" s="3">
        <v>0.66779271083827585</v>
      </c>
      <c r="J3071" s="128">
        <v>1.3636447365737298E-3</v>
      </c>
      <c r="K3071" s="128"/>
      <c r="L3071" s="128">
        <v>4.2999999999999997E-2</v>
      </c>
      <c r="O3071" s="2"/>
    </row>
    <row r="3072" spans="2:15" x14ac:dyDescent="0.2">
      <c r="B3072" s="1">
        <v>3057</v>
      </c>
      <c r="C3072" s="5">
        <f ca="1"/>
        <v>-0.71490934972446873</v>
      </c>
      <c r="D3072" s="5">
        <f ca="1">S0*EXP((μ-0.5*σ*σ)*T+σ*SQRT(T)*$C3072)</f>
        <v>0.61928299130209041</v>
      </c>
      <c r="E3072" s="5">
        <f ca="1">MAX(0,CP*(D3072-K))</f>
        <v>0</v>
      </c>
      <c r="F3072" s="4">
        <f ca="1">(CP*(D3072-K)&gt;0)*1</f>
        <v>0</v>
      </c>
      <c r="H3072" s="4">
        <v>3057</v>
      </c>
      <c r="I3072" s="3">
        <v>0.66769157714402505</v>
      </c>
      <c r="J3072" s="128">
        <v>1.2786299764772581E-3</v>
      </c>
      <c r="K3072" s="128"/>
      <c r="L3072" s="128">
        <v>3.7600000000000001E-2</v>
      </c>
      <c r="O3072" s="2"/>
    </row>
    <row r="3073" spans="2:15" x14ac:dyDescent="0.2">
      <c r="B3073" s="1">
        <v>3058</v>
      </c>
      <c r="C3073" s="5">
        <f ca="1"/>
        <v>-0.72583709937355678</v>
      </c>
      <c r="D3073" s="5">
        <f ca="1">S0*EXP((μ-0.5*σ*σ)*T+σ*SQRT(T)*$C3073)</f>
        <v>0.61861617272655545</v>
      </c>
      <c r="E3073" s="5">
        <f ca="1">MAX(0,CP*(D3073-K))</f>
        <v>0</v>
      </c>
      <c r="F3073" s="4">
        <f ca="1">(CP*(D3073-K)&gt;0)*1</f>
        <v>0</v>
      </c>
      <c r="H3073" s="4">
        <v>3058</v>
      </c>
      <c r="I3073" s="3">
        <v>0.66767818934220535</v>
      </c>
      <c r="J3073" s="128">
        <v>1.3406801203808313E-3</v>
      </c>
      <c r="K3073" s="128"/>
      <c r="L3073" s="128">
        <v>4.1599999999999998E-2</v>
      </c>
      <c r="O3073" s="2"/>
    </row>
    <row r="3074" spans="2:15" x14ac:dyDescent="0.2">
      <c r="B3074" s="1">
        <v>3059</v>
      </c>
      <c r="C3074" s="5">
        <f ca="1"/>
        <v>-0.50647911977833771</v>
      </c>
      <c r="D3074" s="5">
        <f ca="1">S0*EXP((μ-0.5*σ*σ)*T+σ*SQRT(T)*$C3074)</f>
        <v>0.63214004017931724</v>
      </c>
      <c r="E3074" s="5">
        <f ca="1">MAX(0,CP*(D3074-K))</f>
        <v>0</v>
      </c>
      <c r="F3074" s="4">
        <f ca="1">(CP*(D3074-K)&gt;0)*1</f>
        <v>0</v>
      </c>
      <c r="H3074" s="4">
        <v>3059</v>
      </c>
      <c r="I3074" s="3">
        <v>0.66772766857721433</v>
      </c>
      <c r="J3074" s="128">
        <v>1.319894480033644E-3</v>
      </c>
      <c r="K3074" s="128"/>
      <c r="L3074" s="128">
        <v>4.1799999999999997E-2</v>
      </c>
      <c r="O3074" s="2"/>
    </row>
    <row r="3075" spans="2:15" x14ac:dyDescent="0.2">
      <c r="B3075" s="1">
        <v>3060</v>
      </c>
      <c r="C3075" s="5">
        <f ca="1"/>
        <v>-4.0606644145855034E-2</v>
      </c>
      <c r="D3075" s="5">
        <f ca="1">S0*EXP((μ-0.5*σ*σ)*T+σ*SQRT(T)*$C3075)</f>
        <v>0.66185079196950813</v>
      </c>
      <c r="E3075" s="5">
        <f ca="1">MAX(0,CP*(D3075-K))</f>
        <v>0</v>
      </c>
      <c r="F3075" s="4">
        <f ca="1">(CP*(D3075-K)&gt;0)*1</f>
        <v>0</v>
      </c>
      <c r="H3075" s="4">
        <v>3060</v>
      </c>
      <c r="I3075" s="3">
        <v>0.66779558051938315</v>
      </c>
      <c r="J3075" s="128">
        <v>1.4923807438322872E-3</v>
      </c>
      <c r="K3075" s="128"/>
      <c r="L3075" s="128">
        <v>4.4200000000000003E-2</v>
      </c>
      <c r="O3075" s="2"/>
    </row>
    <row r="3076" spans="2:15" x14ac:dyDescent="0.2">
      <c r="B3076" s="1">
        <v>3061</v>
      </c>
      <c r="C3076" s="5">
        <f ca="1"/>
        <v>-1.080005706853032</v>
      </c>
      <c r="D3076" s="5">
        <f ca="1">S0*EXP((μ-0.5*σ*σ)*T+σ*SQRT(T)*$C3076)</f>
        <v>0.5973889549714092</v>
      </c>
      <c r="E3076" s="5">
        <f ca="1">MAX(0,CP*(D3076-K))</f>
        <v>0</v>
      </c>
      <c r="F3076" s="4">
        <f ca="1">(CP*(D3076-K)&gt;0)*1</f>
        <v>0</v>
      </c>
      <c r="H3076" s="4">
        <v>3061</v>
      </c>
      <c r="I3076" s="3">
        <v>0.66779927748692336</v>
      </c>
      <c r="J3076" s="128">
        <v>1.4020936708934362E-3</v>
      </c>
      <c r="K3076" s="128"/>
      <c r="L3076" s="128">
        <v>0.04</v>
      </c>
      <c r="O3076" s="2"/>
    </row>
    <row r="3077" spans="2:15" x14ac:dyDescent="0.2">
      <c r="B3077" s="1">
        <v>3062</v>
      </c>
      <c r="C3077" s="5">
        <f ca="1"/>
        <v>-1.1956750087927359</v>
      </c>
      <c r="D3077" s="5">
        <f ca="1">S0*EXP((μ-0.5*σ*σ)*T+σ*SQRT(T)*$C3077)</f>
        <v>0.59061529909954791</v>
      </c>
      <c r="E3077" s="5">
        <f ca="1">MAX(0,CP*(D3077-K))</f>
        <v>0</v>
      </c>
      <c r="F3077" s="4">
        <f ca="1">(CP*(D3077-K)&gt;0)*1</f>
        <v>0</v>
      </c>
      <c r="H3077" s="4">
        <v>3062</v>
      </c>
      <c r="I3077" s="3">
        <v>0.66766487137941999</v>
      </c>
      <c r="J3077" s="128">
        <v>1.3735985805009762E-3</v>
      </c>
      <c r="K3077" s="128"/>
      <c r="L3077" s="128">
        <v>4.0800000000000003E-2</v>
      </c>
      <c r="O3077" s="2"/>
    </row>
    <row r="3078" spans="2:15" x14ac:dyDescent="0.2">
      <c r="B3078" s="1">
        <v>3063</v>
      </c>
      <c r="C3078" s="5">
        <f ca="1"/>
        <v>1.8942159219485744</v>
      </c>
      <c r="D3078" s="5">
        <f ca="1">S0*EXP((μ-0.5*σ*σ)*T+σ*SQRT(T)*$C3078)</f>
        <v>0.80094269441141108</v>
      </c>
      <c r="E3078" s="5">
        <f ca="1">MAX(0,CP*(D3078-K))</f>
        <v>1.2742694411411071E-2</v>
      </c>
      <c r="F3078" s="4">
        <f ca="1">(CP*(D3078-K)&gt;0)*1</f>
        <v>1</v>
      </c>
      <c r="H3078" s="4">
        <v>3063</v>
      </c>
      <c r="I3078" s="3">
        <v>0.66769426920548025</v>
      </c>
      <c r="J3078" s="128">
        <v>1.1891976386663738E-3</v>
      </c>
      <c r="K3078" s="128"/>
      <c r="L3078" s="128">
        <v>4.2799999999999998E-2</v>
      </c>
      <c r="O3078" s="2"/>
    </row>
    <row r="3079" spans="2:15" x14ac:dyDescent="0.2">
      <c r="B3079" s="1">
        <v>3064</v>
      </c>
      <c r="C3079" s="5">
        <f ca="1"/>
        <v>-0.51088274095869224</v>
      </c>
      <c r="D3079" s="5">
        <f ca="1">S0*EXP((μ-0.5*σ*σ)*T+σ*SQRT(T)*$C3079)</f>
        <v>0.63186566128424215</v>
      </c>
      <c r="E3079" s="5">
        <f ca="1">MAX(0,CP*(D3079-K))</f>
        <v>0</v>
      </c>
      <c r="F3079" s="4">
        <f ca="1">(CP*(D3079-K)&gt;0)*1</f>
        <v>0</v>
      </c>
      <c r="H3079" s="4">
        <v>3064</v>
      </c>
      <c r="I3079" s="3">
        <v>0.667789450873843</v>
      </c>
      <c r="J3079" s="128">
        <v>1.4569964845029069E-3</v>
      </c>
      <c r="K3079" s="128"/>
      <c r="L3079" s="128">
        <v>4.2799999999999998E-2</v>
      </c>
      <c r="O3079" s="2"/>
    </row>
    <row r="3080" spans="2:15" x14ac:dyDescent="0.2">
      <c r="B3080" s="1">
        <v>3065</v>
      </c>
      <c r="C3080" s="5">
        <f ca="1"/>
        <v>1.5484449580336423</v>
      </c>
      <c r="D3080" s="5">
        <f ca="1">S0*EXP((μ-0.5*σ*σ)*T+σ*SQRT(T)*$C3080)</f>
        <v>0.77409973161796242</v>
      </c>
      <c r="E3080" s="5">
        <f ca="1">MAX(0,CP*(D3080-K))</f>
        <v>0</v>
      </c>
      <c r="F3080" s="4">
        <f ca="1">(CP*(D3080-K)&gt;0)*1</f>
        <v>0</v>
      </c>
      <c r="H3080" s="4">
        <v>3065</v>
      </c>
      <c r="I3080" s="3">
        <v>0.66782206606587646</v>
      </c>
      <c r="J3080" s="128">
        <v>1.5017586195269202E-3</v>
      </c>
      <c r="K3080" s="128"/>
      <c r="L3080" s="128">
        <v>4.2200000000000001E-2</v>
      </c>
      <c r="O3080" s="2"/>
    </row>
    <row r="3081" spans="2:15" x14ac:dyDescent="0.2">
      <c r="B3081" s="1">
        <v>3066</v>
      </c>
      <c r="C3081" s="5">
        <f ca="1"/>
        <v>-0.14472083540563258</v>
      </c>
      <c r="D3081" s="5">
        <f ca="1">S0*EXP((μ-0.5*σ*σ)*T+σ*SQRT(T)*$C3081)</f>
        <v>0.65509206700996048</v>
      </c>
      <c r="E3081" s="5">
        <f ca="1">MAX(0,CP*(D3081-K))</f>
        <v>0</v>
      </c>
      <c r="F3081" s="4">
        <f ca="1">(CP*(D3081-K)&gt;0)*1</f>
        <v>0</v>
      </c>
      <c r="H3081" s="4">
        <v>3066</v>
      </c>
      <c r="I3081" s="3">
        <v>0.6676528751002867</v>
      </c>
      <c r="J3081" s="128">
        <v>1.2611720941289588E-3</v>
      </c>
      <c r="K3081" s="128"/>
      <c r="L3081" s="128">
        <v>3.9600000000000003E-2</v>
      </c>
      <c r="O3081" s="2"/>
    </row>
    <row r="3082" spans="2:15" x14ac:dyDescent="0.2">
      <c r="B3082" s="1">
        <v>3067</v>
      </c>
      <c r="C3082" s="5">
        <f ca="1"/>
        <v>0.50503367154078738</v>
      </c>
      <c r="D3082" s="5">
        <f ca="1">S0*EXP((μ-0.5*σ*σ)*T+σ*SQRT(T)*$C3082)</f>
        <v>0.69842893834721376</v>
      </c>
      <c r="E3082" s="5">
        <f ca="1">MAX(0,CP*(D3082-K))</f>
        <v>0</v>
      </c>
      <c r="F3082" s="4">
        <f ca="1">(CP*(D3082-K)&gt;0)*1</f>
        <v>0</v>
      </c>
      <c r="H3082" s="4">
        <v>3067</v>
      </c>
      <c r="I3082" s="3">
        <v>0.66769538612600565</v>
      </c>
      <c r="J3082" s="128">
        <v>1.3348505507745519E-3</v>
      </c>
      <c r="K3082" s="128"/>
      <c r="L3082" s="128">
        <v>4.2799999999999998E-2</v>
      </c>
      <c r="O3082" s="2"/>
    </row>
    <row r="3083" spans="2:15" x14ac:dyDescent="0.2">
      <c r="B3083" s="1">
        <v>3068</v>
      </c>
      <c r="C3083" s="5">
        <f ca="1"/>
        <v>0.88506158162571136</v>
      </c>
      <c r="D3083" s="5">
        <f ca="1">S0*EXP((μ-0.5*σ*σ)*T+σ*SQRT(T)*$C3083)</f>
        <v>0.72509264214414593</v>
      </c>
      <c r="E3083" s="5">
        <f ca="1">MAX(0,CP*(D3083-K))</f>
        <v>0</v>
      </c>
      <c r="F3083" s="4">
        <f ca="1">(CP*(D3083-K)&gt;0)*1</f>
        <v>0</v>
      </c>
      <c r="H3083" s="4">
        <v>3068</v>
      </c>
      <c r="I3083" s="3">
        <v>0.66776271462490622</v>
      </c>
      <c r="J3083" s="128">
        <v>1.403385497432997E-3</v>
      </c>
      <c r="K3083" s="128"/>
      <c r="L3083" s="128">
        <v>4.24E-2</v>
      </c>
      <c r="O3083" s="2"/>
    </row>
    <row r="3084" spans="2:15" x14ac:dyDescent="0.2">
      <c r="B3084" s="1">
        <v>3069</v>
      </c>
      <c r="C3084" s="5">
        <f ca="1"/>
        <v>1.1289755500741365</v>
      </c>
      <c r="D3084" s="5">
        <f ca="1">S0*EXP((μ-0.5*σ*σ)*T+σ*SQRT(T)*$C3084)</f>
        <v>0.7427401776422734</v>
      </c>
      <c r="E3084" s="5">
        <f ca="1">MAX(0,CP*(D3084-K))</f>
        <v>0</v>
      </c>
      <c r="F3084" s="4">
        <f ca="1">(CP*(D3084-K)&gt;0)*1</f>
        <v>0</v>
      </c>
      <c r="H3084" s="4">
        <v>3069</v>
      </c>
      <c r="I3084" s="3">
        <v>0.66788830885557404</v>
      </c>
      <c r="J3084" s="128">
        <v>1.5674718669160387E-3</v>
      </c>
      <c r="K3084" s="128"/>
      <c r="L3084" s="128">
        <v>4.48E-2</v>
      </c>
      <c r="O3084" s="2"/>
    </row>
    <row r="3085" spans="2:15" x14ac:dyDescent="0.2">
      <c r="B3085" s="1">
        <v>3070</v>
      </c>
      <c r="C3085" s="5">
        <f ca="1"/>
        <v>1.6001250103001197</v>
      </c>
      <c r="D3085" s="5">
        <f ca="1">S0*EXP((μ-0.5*σ*σ)*T+σ*SQRT(T)*$C3085)</f>
        <v>0.77805383862200073</v>
      </c>
      <c r="E3085" s="5">
        <f ca="1">MAX(0,CP*(D3085-K))</f>
        <v>0</v>
      </c>
      <c r="F3085" s="4">
        <f ca="1">(CP*(D3085-K)&gt;0)*1</f>
        <v>0</v>
      </c>
      <c r="H3085" s="4">
        <v>3070</v>
      </c>
      <c r="I3085" s="3">
        <v>0.66765557729976821</v>
      </c>
      <c r="J3085" s="128">
        <v>1.3444465287222181E-3</v>
      </c>
      <c r="K3085" s="128"/>
      <c r="L3085" s="128">
        <v>3.6600000000000001E-2</v>
      </c>
      <c r="O3085" s="2"/>
    </row>
    <row r="3086" spans="2:15" x14ac:dyDescent="0.2">
      <c r="B3086" s="1">
        <v>3071</v>
      </c>
      <c r="C3086" s="5">
        <f ca="1"/>
        <v>-0.92006351960403832</v>
      </c>
      <c r="D3086" s="5">
        <f ca="1">S0*EXP((μ-0.5*σ*σ)*T+σ*SQRT(T)*$C3086)</f>
        <v>0.60688341960773451</v>
      </c>
      <c r="E3086" s="5">
        <f ca="1">MAX(0,CP*(D3086-K))</f>
        <v>0</v>
      </c>
      <c r="F3086" s="4">
        <f ca="1">(CP*(D3086-K)&gt;0)*1</f>
        <v>0</v>
      </c>
      <c r="H3086" s="4">
        <v>3071</v>
      </c>
      <c r="I3086" s="3">
        <v>0.66776240811251653</v>
      </c>
      <c r="J3086" s="128">
        <v>1.4009506115764553E-3</v>
      </c>
      <c r="K3086" s="128"/>
      <c r="L3086" s="128">
        <v>4.36E-2</v>
      </c>
      <c r="O3086" s="2"/>
    </row>
    <row r="3087" spans="2:15" x14ac:dyDescent="0.2">
      <c r="B3087" s="1">
        <v>3072</v>
      </c>
      <c r="C3087" s="5">
        <f ca="1"/>
        <v>-0.77865000080030866</v>
      </c>
      <c r="D3087" s="5">
        <f ca="1">S0*EXP((μ-0.5*σ*σ)*T+σ*SQRT(T)*$C3087)</f>
        <v>0.61540360057911547</v>
      </c>
      <c r="E3087" s="5">
        <f ca="1">MAX(0,CP*(D3087-K))</f>
        <v>0</v>
      </c>
      <c r="F3087" s="4">
        <f ca="1">(CP*(D3087-K)&gt;0)*1</f>
        <v>0</v>
      </c>
      <c r="H3087" s="4">
        <v>3072</v>
      </c>
      <c r="I3087" s="3">
        <v>0.66780823011890111</v>
      </c>
      <c r="J3087" s="128">
        <v>1.4076605883547441E-3</v>
      </c>
      <c r="K3087" s="128"/>
      <c r="L3087" s="128">
        <v>4.6199999999999998E-2</v>
      </c>
      <c r="O3087" s="2"/>
    </row>
    <row r="3088" spans="2:15" x14ac:dyDescent="0.2">
      <c r="B3088" s="1">
        <v>3073</v>
      </c>
      <c r="C3088" s="5">
        <f ca="1"/>
        <v>1.3920483976642415</v>
      </c>
      <c r="D3088" s="5">
        <f ca="1">S0*EXP((μ-0.5*σ*σ)*T+σ*SQRT(T)*$C3088)</f>
        <v>0.76225563341183522</v>
      </c>
      <c r="E3088" s="5">
        <f ca="1">MAX(0,CP*(D3088-K))</f>
        <v>0</v>
      </c>
      <c r="F3088" s="4">
        <f ca="1">(CP*(D3088-K)&gt;0)*1</f>
        <v>0</v>
      </c>
      <c r="H3088" s="4">
        <v>3073</v>
      </c>
      <c r="I3088" s="3">
        <v>0.66768132177884598</v>
      </c>
      <c r="J3088" s="128">
        <v>1.3506679476290588E-3</v>
      </c>
      <c r="K3088" s="128"/>
      <c r="L3088" s="128">
        <v>3.7999999999999999E-2</v>
      </c>
      <c r="O3088" s="2"/>
    </row>
    <row r="3089" spans="2:15" x14ac:dyDescent="0.2">
      <c r="B3089" s="1">
        <v>3074</v>
      </c>
      <c r="C3089" s="5">
        <f ca="1"/>
        <v>0.83563123890328372</v>
      </c>
      <c r="D3089" s="5">
        <f ca="1">S0*EXP((μ-0.5*σ*σ)*T+σ*SQRT(T)*$C3089)</f>
        <v>0.72156770753005706</v>
      </c>
      <c r="E3089" s="5">
        <f ca="1">MAX(0,CP*(D3089-K))</f>
        <v>0</v>
      </c>
      <c r="F3089" s="4">
        <f ca="1">(CP*(D3089-K)&gt;0)*1</f>
        <v>0</v>
      </c>
      <c r="H3089" s="4">
        <v>3074</v>
      </c>
      <c r="I3089" s="3">
        <v>0.66779357824359487</v>
      </c>
      <c r="J3089" s="128">
        <v>1.4447986630675336E-3</v>
      </c>
      <c r="K3089" s="128"/>
      <c r="L3089" s="128">
        <v>4.1799999999999997E-2</v>
      </c>
      <c r="O3089" s="2"/>
    </row>
    <row r="3090" spans="2:15" x14ac:dyDescent="0.2">
      <c r="B3090" s="1">
        <v>3075</v>
      </c>
      <c r="C3090" s="5">
        <f ca="1"/>
        <v>-0.8404980240151062</v>
      </c>
      <c r="D3090" s="5">
        <f ca="1">S0*EXP((μ-0.5*σ*σ)*T+σ*SQRT(T)*$C3090)</f>
        <v>0.61166263073676352</v>
      </c>
      <c r="E3090" s="5">
        <f ca="1">MAX(0,CP*(D3090-K))</f>
        <v>0</v>
      </c>
      <c r="F3090" s="4">
        <f ca="1">(CP*(D3090-K)&gt;0)*1</f>
        <v>0</v>
      </c>
      <c r="H3090" s="4">
        <v>3075</v>
      </c>
      <c r="I3090" s="3">
        <v>0.66784985827730226</v>
      </c>
      <c r="J3090" s="128">
        <v>1.4261994307742179E-3</v>
      </c>
      <c r="K3090" s="128"/>
      <c r="L3090" s="128">
        <v>4.4200000000000003E-2</v>
      </c>
      <c r="O3090" s="2"/>
    </row>
    <row r="3091" spans="2:15" x14ac:dyDescent="0.2">
      <c r="B3091" s="1">
        <v>3076</v>
      </c>
      <c r="C3091" s="5">
        <f ca="1"/>
        <v>-0.28146040264028116</v>
      </c>
      <c r="D3091" s="5">
        <f ca="1">S0*EXP((μ-0.5*σ*σ)*T+σ*SQRT(T)*$C3091)</f>
        <v>0.64632015573681145</v>
      </c>
      <c r="E3091" s="5">
        <f ca="1">MAX(0,CP*(D3091-K))</f>
        <v>0</v>
      </c>
      <c r="F3091" s="4">
        <f ca="1">(CP*(D3091-K)&gt;0)*1</f>
        <v>0</v>
      </c>
      <c r="H3091" s="4">
        <v>3076</v>
      </c>
      <c r="I3091" s="3">
        <v>0.6675533967563807</v>
      </c>
      <c r="J3091" s="128">
        <v>1.2266521569230826E-3</v>
      </c>
      <c r="K3091" s="128"/>
      <c r="L3091" s="128">
        <v>3.8399999999999997E-2</v>
      </c>
      <c r="O3091" s="2"/>
    </row>
    <row r="3092" spans="2:15" x14ac:dyDescent="0.2">
      <c r="B3092" s="1">
        <v>3077</v>
      </c>
      <c r="C3092" s="5">
        <f ca="1"/>
        <v>1.5248649529346736</v>
      </c>
      <c r="D3092" s="5">
        <f ca="1">S0*EXP((μ-0.5*σ*σ)*T+σ*SQRT(T)*$C3092)</f>
        <v>0.7723022774342958</v>
      </c>
      <c r="E3092" s="5">
        <f ca="1">MAX(0,CP*(D3092-K))</f>
        <v>0</v>
      </c>
      <c r="F3092" s="4">
        <f ca="1">(CP*(D3092-K)&gt;0)*1</f>
        <v>0</v>
      </c>
      <c r="H3092" s="4">
        <v>3077</v>
      </c>
      <c r="I3092" s="3">
        <v>0.66775969792581868</v>
      </c>
      <c r="J3092" s="128">
        <v>1.2179217114476381E-3</v>
      </c>
      <c r="K3092" s="128"/>
      <c r="L3092" s="128">
        <v>4.3400000000000001E-2</v>
      </c>
      <c r="O3092" s="2"/>
    </row>
    <row r="3093" spans="2:15" x14ac:dyDescent="0.2">
      <c r="B3093" s="1">
        <v>3078</v>
      </c>
      <c r="C3093" s="5">
        <f ca="1"/>
        <v>-0.334138776804278</v>
      </c>
      <c r="D3093" s="5">
        <f ca="1">S0*EXP((μ-0.5*σ*σ)*T+σ*SQRT(T)*$C3093)</f>
        <v>0.64297223989350416</v>
      </c>
      <c r="E3093" s="5">
        <f ca="1">MAX(0,CP*(D3093-K))</f>
        <v>0</v>
      </c>
      <c r="F3093" s="4">
        <f ca="1">(CP*(D3093-K)&gt;0)*1</f>
        <v>0</v>
      </c>
      <c r="H3093" s="4">
        <v>3078</v>
      </c>
      <c r="I3093" s="3">
        <v>0.66775750904278253</v>
      </c>
      <c r="J3093" s="128">
        <v>1.4059794962326348E-3</v>
      </c>
      <c r="K3093" s="128"/>
      <c r="L3093" s="128">
        <v>4.0800000000000003E-2</v>
      </c>
      <c r="O3093" s="2"/>
    </row>
    <row r="3094" spans="2:15" x14ac:dyDescent="0.2">
      <c r="B3094" s="1">
        <v>3079</v>
      </c>
      <c r="C3094" s="5">
        <f ca="1"/>
        <v>-0.50026814482137905</v>
      </c>
      <c r="D3094" s="5">
        <f ca="1">S0*EXP((μ-0.5*σ*σ)*T+σ*SQRT(T)*$C3094)</f>
        <v>0.63252723342230821</v>
      </c>
      <c r="E3094" s="5">
        <f ca="1">MAX(0,CP*(D3094-K))</f>
        <v>0</v>
      </c>
      <c r="F3094" s="4">
        <f ca="1">(CP*(D3094-K)&gt;0)*1</f>
        <v>0</v>
      </c>
      <c r="H3094" s="4">
        <v>3079</v>
      </c>
      <c r="I3094" s="3">
        <v>0.66781672153200033</v>
      </c>
      <c r="J3094" s="128">
        <v>1.4660467225821228E-3</v>
      </c>
      <c r="K3094" s="128"/>
      <c r="L3094" s="128">
        <v>4.1799999999999997E-2</v>
      </c>
      <c r="O3094" s="2"/>
    </row>
    <row r="3095" spans="2:15" x14ac:dyDescent="0.2">
      <c r="B3095" s="1">
        <v>3080</v>
      </c>
      <c r="C3095" s="5">
        <f ca="1"/>
        <v>1.7426790032628208</v>
      </c>
      <c r="D3095" s="5">
        <f ca="1">S0*EXP((μ-0.5*σ*σ)*T+σ*SQRT(T)*$C3095)</f>
        <v>0.78906583668557062</v>
      </c>
      <c r="E3095" s="5">
        <f ca="1">MAX(0,CP*(D3095-K))</f>
        <v>8.65836685570609E-4</v>
      </c>
      <c r="F3095" s="4">
        <f ca="1">(CP*(D3095-K)&gt;0)*1</f>
        <v>1</v>
      </c>
      <c r="H3095" s="4">
        <v>3080</v>
      </c>
      <c r="I3095" s="3">
        <v>0.66769358979570692</v>
      </c>
      <c r="J3095" s="128">
        <v>1.1518180140164809E-3</v>
      </c>
      <c r="K3095" s="128"/>
      <c r="L3095" s="128">
        <v>3.9600000000000003E-2</v>
      </c>
      <c r="O3095" s="2"/>
    </row>
    <row r="3096" spans="2:15" x14ac:dyDescent="0.2">
      <c r="B3096" s="1">
        <v>3081</v>
      </c>
      <c r="C3096" s="5">
        <f ca="1"/>
        <v>-1.1610093166608515</v>
      </c>
      <c r="D3096" s="5">
        <f ca="1">S0*EXP((μ-0.5*σ*σ)*T+σ*SQRT(T)*$C3096)</f>
        <v>0.59263724077209046</v>
      </c>
      <c r="E3096" s="5">
        <f ca="1">MAX(0,CP*(D3096-K))</f>
        <v>0</v>
      </c>
      <c r="F3096" s="4">
        <f ca="1">(CP*(D3096-K)&gt;0)*1</f>
        <v>0</v>
      </c>
      <c r="H3096" s="4">
        <v>3081</v>
      </c>
      <c r="I3096" s="3">
        <v>0.66795674059669885</v>
      </c>
      <c r="J3096" s="128">
        <v>1.6685721175302656E-3</v>
      </c>
      <c r="K3096" s="128"/>
      <c r="L3096" s="128">
        <v>4.7E-2</v>
      </c>
      <c r="O3096" s="2"/>
    </row>
    <row r="3097" spans="2:15" x14ac:dyDescent="0.2">
      <c r="B3097" s="1">
        <v>3082</v>
      </c>
      <c r="C3097" s="5">
        <f ca="1"/>
        <v>1.1590027362274584</v>
      </c>
      <c r="D3097" s="5">
        <f ca="1">S0*EXP((μ-0.5*σ*σ)*T+σ*SQRT(T)*$C3097)</f>
        <v>0.74494217226765747</v>
      </c>
      <c r="E3097" s="5">
        <f ca="1">MAX(0,CP*(D3097-K))</f>
        <v>0</v>
      </c>
      <c r="F3097" s="4">
        <f ca="1">(CP*(D3097-K)&gt;0)*1</f>
        <v>0</v>
      </c>
      <c r="H3097" s="4">
        <v>3082</v>
      </c>
      <c r="I3097" s="3">
        <v>0.66775823683820223</v>
      </c>
      <c r="J3097" s="128">
        <v>1.3412288410412187E-3</v>
      </c>
      <c r="K3097" s="128"/>
      <c r="L3097" s="128">
        <v>4.1599999999999998E-2</v>
      </c>
      <c r="O3097" s="2"/>
    </row>
    <row r="3098" spans="2:15" x14ac:dyDescent="0.2">
      <c r="B3098" s="1">
        <v>3083</v>
      </c>
      <c r="C3098" s="5">
        <f ca="1"/>
        <v>0.92623606746173182</v>
      </c>
      <c r="D3098" s="5">
        <f ca="1">S0*EXP((μ-0.5*σ*σ)*T+σ*SQRT(T)*$C3098)</f>
        <v>0.72804198434367673</v>
      </c>
      <c r="E3098" s="5">
        <f ca="1">MAX(0,CP*(D3098-K))</f>
        <v>0</v>
      </c>
      <c r="F3098" s="4">
        <f ca="1">(CP*(D3098-K)&gt;0)*1</f>
        <v>0</v>
      </c>
      <c r="H3098" s="4">
        <v>3083</v>
      </c>
      <c r="I3098" s="3">
        <v>0.66781712277994743</v>
      </c>
      <c r="J3098" s="128">
        <v>1.2878958972721141E-3</v>
      </c>
      <c r="K3098" s="128"/>
      <c r="L3098" s="128">
        <v>4.0599999999999997E-2</v>
      </c>
      <c r="O3098" s="2"/>
    </row>
    <row r="3099" spans="2:15" x14ac:dyDescent="0.2">
      <c r="B3099" s="1">
        <v>3084</v>
      </c>
      <c r="C3099" s="5">
        <f ca="1"/>
        <v>0.26607143287995971</v>
      </c>
      <c r="D3099" s="5">
        <f ca="1">S0*EXP((μ-0.5*σ*σ)*T+σ*SQRT(T)*$C3099)</f>
        <v>0.68216717770111068</v>
      </c>
      <c r="E3099" s="5">
        <f ca="1">MAX(0,CP*(D3099-K))</f>
        <v>0</v>
      </c>
      <c r="F3099" s="4">
        <f ca="1">(CP*(D3099-K)&gt;0)*1</f>
        <v>0</v>
      </c>
      <c r="H3099" s="4">
        <v>3084</v>
      </c>
      <c r="I3099" s="3">
        <v>0.66781515547565828</v>
      </c>
      <c r="J3099" s="128">
        <v>1.5693607650181186E-3</v>
      </c>
      <c r="K3099" s="128"/>
      <c r="L3099" s="128">
        <v>4.4999999999999998E-2</v>
      </c>
      <c r="O3099" s="2"/>
    </row>
    <row r="3100" spans="2:15" x14ac:dyDescent="0.2">
      <c r="B3100" s="1">
        <v>3085</v>
      </c>
      <c r="C3100" s="5">
        <f ca="1"/>
        <v>1.0708711285061985</v>
      </c>
      <c r="D3100" s="5">
        <f ca="1">S0*EXP((μ-0.5*σ*σ)*T+σ*SQRT(T)*$C3100)</f>
        <v>0.7384976516243924</v>
      </c>
      <c r="E3100" s="5">
        <f ca="1">MAX(0,CP*(D3100-K))</f>
        <v>0</v>
      </c>
      <c r="F3100" s="4">
        <f ca="1">(CP*(D3100-K)&gt;0)*1</f>
        <v>0</v>
      </c>
      <c r="H3100" s="4">
        <v>3085</v>
      </c>
      <c r="I3100" s="3">
        <v>0.66781185357770656</v>
      </c>
      <c r="J3100" s="128">
        <v>1.4239663643906993E-3</v>
      </c>
      <c r="K3100" s="128"/>
      <c r="L3100" s="128">
        <v>4.4600000000000001E-2</v>
      </c>
      <c r="O3100" s="2"/>
    </row>
    <row r="3101" spans="2:15" x14ac:dyDescent="0.2">
      <c r="B3101" s="1">
        <v>3086</v>
      </c>
      <c r="C3101" s="5">
        <f ca="1"/>
        <v>-8.7886076732142951E-2</v>
      </c>
      <c r="D3101" s="5">
        <f ca="1">S0*EXP((μ-0.5*σ*σ)*T+σ*SQRT(T)*$C3101)</f>
        <v>0.65877297843975569</v>
      </c>
      <c r="E3101" s="5">
        <f ca="1">MAX(0,CP*(D3101-K))</f>
        <v>0</v>
      </c>
      <c r="F3101" s="4">
        <f ca="1">(CP*(D3101-K)&gt;0)*1</f>
        <v>0</v>
      </c>
      <c r="H3101" s="4">
        <v>3086</v>
      </c>
      <c r="I3101" s="3">
        <v>0.66771761376616512</v>
      </c>
      <c r="J3101" s="128">
        <v>1.4252956891439509E-3</v>
      </c>
      <c r="K3101" s="128"/>
      <c r="L3101" s="128">
        <v>4.02E-2</v>
      </c>
      <c r="O3101" s="2"/>
    </row>
    <row r="3102" spans="2:15" x14ac:dyDescent="0.2">
      <c r="B3102" s="1">
        <v>3087</v>
      </c>
      <c r="C3102" s="5">
        <f ca="1"/>
        <v>2.9974947122395021</v>
      </c>
      <c r="D3102" s="5">
        <f ca="1">S0*EXP((μ-0.5*σ*σ)*T+σ*SQRT(T)*$C3102)</f>
        <v>0.89297525123270305</v>
      </c>
      <c r="E3102" s="5">
        <f ca="1">MAX(0,CP*(D3102-K))</f>
        <v>0.10477525123270304</v>
      </c>
      <c r="F3102" s="4">
        <f ca="1">(CP*(D3102-K)&gt;0)*1</f>
        <v>1</v>
      </c>
      <c r="H3102" s="4">
        <v>3087</v>
      </c>
      <c r="I3102" s="3">
        <v>0.66785626080799609</v>
      </c>
      <c r="J3102" s="128">
        <v>1.5890509595857579E-3</v>
      </c>
      <c r="K3102" s="128"/>
      <c r="L3102" s="128">
        <v>4.48E-2</v>
      </c>
      <c r="O3102" s="2"/>
    </row>
    <row r="3103" spans="2:15" x14ac:dyDescent="0.2">
      <c r="B3103" s="1">
        <v>3088</v>
      </c>
      <c r="C3103" s="5">
        <f ca="1"/>
        <v>1.0824280236417789</v>
      </c>
      <c r="D3103" s="5">
        <f ca="1">S0*EXP((μ-0.5*σ*σ)*T+σ*SQRT(T)*$C3103)</f>
        <v>0.73933954956125814</v>
      </c>
      <c r="E3103" s="5">
        <f ca="1">MAX(0,CP*(D3103-K))</f>
        <v>0</v>
      </c>
      <c r="F3103" s="4">
        <f ca="1">(CP*(D3103-K)&gt;0)*1</f>
        <v>0</v>
      </c>
      <c r="H3103" s="4">
        <v>3088</v>
      </c>
      <c r="I3103" s="3">
        <v>0.66787319883261376</v>
      </c>
      <c r="J3103" s="128">
        <v>1.6067756461112519E-3</v>
      </c>
      <c r="K3103" s="128"/>
      <c r="L3103" s="128">
        <v>4.4400000000000002E-2</v>
      </c>
      <c r="O3103" s="2"/>
    </row>
    <row r="3104" spans="2:15" x14ac:dyDescent="0.2">
      <c r="B3104" s="1">
        <v>3089</v>
      </c>
      <c r="C3104" s="5">
        <f ca="1"/>
        <v>-1.0751646811241384</v>
      </c>
      <c r="D3104" s="5">
        <f ca="1">S0*EXP((μ-0.5*σ*σ)*T+σ*SQRT(T)*$C3104)</f>
        <v>0.59767413554677684</v>
      </c>
      <c r="E3104" s="5">
        <f ca="1">MAX(0,CP*(D3104-K))</f>
        <v>0</v>
      </c>
      <c r="F3104" s="4">
        <f ca="1">(CP*(D3104-K)&gt;0)*1</f>
        <v>0</v>
      </c>
      <c r="H3104" s="4">
        <v>3089</v>
      </c>
      <c r="I3104" s="3">
        <v>0.66792169709902205</v>
      </c>
      <c r="J3104" s="128">
        <v>1.5407001090228572E-3</v>
      </c>
      <c r="K3104" s="128"/>
      <c r="L3104" s="128">
        <v>4.6600000000000003E-2</v>
      </c>
      <c r="O3104" s="2"/>
    </row>
    <row r="3105" spans="2:15" x14ac:dyDescent="0.2">
      <c r="B3105" s="1">
        <v>3090</v>
      </c>
      <c r="C3105" s="5">
        <f ca="1"/>
        <v>-0.10380727577288998</v>
      </c>
      <c r="D3105" s="5">
        <f ca="1">S0*EXP((μ-0.5*σ*σ)*T+σ*SQRT(T)*$C3105)</f>
        <v>0.65773975922800298</v>
      </c>
      <c r="E3105" s="5">
        <f ca="1">MAX(0,CP*(D3105-K))</f>
        <v>0</v>
      </c>
      <c r="F3105" s="4">
        <f ca="1">(CP*(D3105-K)&gt;0)*1</f>
        <v>0</v>
      </c>
      <c r="H3105" s="4">
        <v>3090</v>
      </c>
      <c r="I3105" s="3">
        <v>0.66774322549850951</v>
      </c>
      <c r="J3105" s="128">
        <v>1.4962127831329212E-3</v>
      </c>
      <c r="K3105" s="128"/>
      <c r="L3105" s="128">
        <v>4.4999999999999998E-2</v>
      </c>
      <c r="O3105" s="2"/>
    </row>
    <row r="3106" spans="2:15" x14ac:dyDescent="0.2">
      <c r="B3106" s="1">
        <v>3091</v>
      </c>
      <c r="C3106" s="5">
        <f ca="1"/>
        <v>-1.6908191789569571</v>
      </c>
      <c r="D3106" s="5">
        <f ca="1">S0*EXP((μ-0.5*σ*σ)*T+σ*SQRT(T)*$C3106)</f>
        <v>0.56247678516755018</v>
      </c>
      <c r="E3106" s="5">
        <f ca="1">MAX(0,CP*(D3106-K))</f>
        <v>0</v>
      </c>
      <c r="F3106" s="4">
        <f ca="1">(CP*(D3106-K)&gt;0)*1</f>
        <v>0</v>
      </c>
      <c r="H3106" s="4">
        <v>3091</v>
      </c>
      <c r="I3106" s="3">
        <v>0.66776330377488757</v>
      </c>
      <c r="J3106" s="128">
        <v>1.4435168948312895E-3</v>
      </c>
      <c r="K3106" s="128"/>
      <c r="L3106" s="128">
        <v>4.24E-2</v>
      </c>
      <c r="O3106" s="2"/>
    </row>
    <row r="3107" spans="2:15" x14ac:dyDescent="0.2">
      <c r="B3107" s="1">
        <v>3092</v>
      </c>
      <c r="C3107" s="5">
        <f ca="1"/>
        <v>-1.0882218427712895</v>
      </c>
      <c r="D3107" s="5">
        <f ca="1">S0*EXP((μ-0.5*σ*σ)*T+σ*SQRT(T)*$C3107)</f>
        <v>0.59690526103259645</v>
      </c>
      <c r="E3107" s="5">
        <f ca="1">MAX(0,CP*(D3107-K))</f>
        <v>0</v>
      </c>
      <c r="F3107" s="4">
        <f ca="1">(CP*(D3107-K)&gt;0)*1</f>
        <v>0</v>
      </c>
      <c r="H3107" s="4">
        <v>3092</v>
      </c>
      <c r="I3107" s="3">
        <v>0.66757486770928565</v>
      </c>
      <c r="J3107" s="128">
        <v>1.2148168412325824E-3</v>
      </c>
      <c r="K3107" s="128"/>
      <c r="L3107" s="128">
        <v>3.6200000000000003E-2</v>
      </c>
      <c r="O3107" s="2"/>
    </row>
    <row r="3108" spans="2:15" x14ac:dyDescent="0.2">
      <c r="B3108" s="1">
        <v>3093</v>
      </c>
      <c r="C3108" s="5">
        <f ca="1"/>
        <v>-1.7029767415685206</v>
      </c>
      <c r="D3108" s="5">
        <f ca="1">S0*EXP((μ-0.5*σ*σ)*T+σ*SQRT(T)*$C3108)</f>
        <v>0.5618030137321659</v>
      </c>
      <c r="E3108" s="5">
        <f ca="1">MAX(0,CP*(D3108-K))</f>
        <v>0</v>
      </c>
      <c r="F3108" s="4">
        <f ca="1">(CP*(D3108-K)&gt;0)*1</f>
        <v>0</v>
      </c>
      <c r="H3108" s="4">
        <v>3093</v>
      </c>
      <c r="I3108" s="3">
        <v>0.66777321480526863</v>
      </c>
      <c r="J3108" s="128">
        <v>1.4644083329781934E-3</v>
      </c>
      <c r="K3108" s="128"/>
      <c r="L3108" s="128">
        <v>4.1399999999999999E-2</v>
      </c>
      <c r="O3108" s="2"/>
    </row>
    <row r="3109" spans="2:15" x14ac:dyDescent="0.2">
      <c r="B3109" s="1">
        <v>3094</v>
      </c>
      <c r="C3109" s="5">
        <f ca="1"/>
        <v>0.68570694968732271</v>
      </c>
      <c r="D3109" s="5">
        <f ca="1">S0*EXP((μ-0.5*σ*σ)*T+σ*SQRT(T)*$C3109)</f>
        <v>0.71098089597918235</v>
      </c>
      <c r="E3109" s="5">
        <f ca="1">MAX(0,CP*(D3109-K))</f>
        <v>0</v>
      </c>
      <c r="F3109" s="4">
        <f ca="1">(CP*(D3109-K)&gt;0)*1</f>
        <v>0</v>
      </c>
      <c r="H3109" s="4">
        <v>3094</v>
      </c>
      <c r="I3109" s="3">
        <v>0.66778930535429704</v>
      </c>
      <c r="J3109" s="128">
        <v>1.4431265452511954E-3</v>
      </c>
      <c r="K3109" s="128"/>
      <c r="L3109" s="128">
        <v>4.1799999999999997E-2</v>
      </c>
      <c r="O3109" s="2"/>
    </row>
    <row r="3110" spans="2:15" x14ac:dyDescent="0.2">
      <c r="B3110" s="1">
        <v>3095</v>
      </c>
      <c r="C3110" s="5">
        <f ca="1"/>
        <v>1.0844445037064705</v>
      </c>
      <c r="D3110" s="5">
        <f ca="1">S0*EXP((μ-0.5*σ*σ)*T+σ*SQRT(T)*$C3110)</f>
        <v>0.73948654462858188</v>
      </c>
      <c r="E3110" s="5">
        <f ca="1">MAX(0,CP*(D3110-K))</f>
        <v>0</v>
      </c>
      <c r="F3110" s="4">
        <f ca="1">(CP*(D3110-K)&gt;0)*1</f>
        <v>0</v>
      </c>
      <c r="H3110" s="4">
        <v>3095</v>
      </c>
      <c r="I3110" s="3">
        <v>0.66774551074175825</v>
      </c>
      <c r="J3110" s="128">
        <v>1.4346799173252385E-3</v>
      </c>
      <c r="K3110" s="128"/>
      <c r="L3110" s="128">
        <v>4.2999999999999997E-2</v>
      </c>
      <c r="O3110" s="2"/>
    </row>
    <row r="3111" spans="2:15" x14ac:dyDescent="0.2">
      <c r="B3111" s="1">
        <v>3096</v>
      </c>
      <c r="C3111" s="5">
        <f ca="1"/>
        <v>0.16952230088548265</v>
      </c>
      <c r="D3111" s="5">
        <f ca="1">S0*EXP((μ-0.5*σ*σ)*T+σ*SQRT(T)*$C3111)</f>
        <v>0.67570475100598915</v>
      </c>
      <c r="E3111" s="5">
        <f ca="1">MAX(0,CP*(D3111-K))</f>
        <v>0</v>
      </c>
      <c r="F3111" s="4">
        <f ca="1">(CP*(D3111-K)&gt;0)*1</f>
        <v>0</v>
      </c>
      <c r="H3111" s="4">
        <v>3096</v>
      </c>
      <c r="I3111" s="3">
        <v>0.66758568717241429</v>
      </c>
      <c r="J3111" s="128">
        <v>1.1853115409904227E-3</v>
      </c>
      <c r="K3111" s="128"/>
      <c r="L3111" s="128">
        <v>3.7600000000000001E-2</v>
      </c>
      <c r="O3111" s="2"/>
    </row>
    <row r="3112" spans="2:15" x14ac:dyDescent="0.2">
      <c r="B3112" s="1">
        <v>3097</v>
      </c>
      <c r="C3112" s="5">
        <f ca="1"/>
        <v>-0.44794798482254178</v>
      </c>
      <c r="D3112" s="5">
        <f ca="1">S0*EXP((μ-0.5*σ*σ)*T+σ*SQRT(T)*$C3112)</f>
        <v>0.63579830889063205</v>
      </c>
      <c r="E3112" s="5">
        <f ca="1">MAX(0,CP*(D3112-K))</f>
        <v>0</v>
      </c>
      <c r="F3112" s="4">
        <f ca="1">(CP*(D3112-K)&gt;0)*1</f>
        <v>0</v>
      </c>
      <c r="H3112" s="4">
        <v>3097</v>
      </c>
      <c r="I3112" s="3">
        <v>0.66761443692798994</v>
      </c>
      <c r="J3112" s="128">
        <v>1.2068585265649868E-3</v>
      </c>
      <c r="K3112" s="128"/>
      <c r="L3112" s="128">
        <v>3.6400000000000002E-2</v>
      </c>
      <c r="O3112" s="2"/>
    </row>
    <row r="3113" spans="2:15" x14ac:dyDescent="0.2">
      <c r="B3113" s="1">
        <v>3098</v>
      </c>
      <c r="C3113" s="5">
        <f ca="1"/>
        <v>-0.21145598661492612</v>
      </c>
      <c r="D3113" s="5">
        <f ca="1">S0*EXP((μ-0.5*σ*σ)*T+σ*SQRT(T)*$C3113)</f>
        <v>0.65079620001111482</v>
      </c>
      <c r="E3113" s="5">
        <f ca="1">MAX(0,CP*(D3113-K))</f>
        <v>0</v>
      </c>
      <c r="F3113" s="4">
        <f ca="1">(CP*(D3113-K)&gt;0)*1</f>
        <v>0</v>
      </c>
      <c r="H3113" s="4">
        <v>3098</v>
      </c>
      <c r="I3113" s="3">
        <v>0.66766023630533211</v>
      </c>
      <c r="J3113" s="128">
        <v>1.2110937313908659E-3</v>
      </c>
      <c r="K3113" s="128"/>
      <c r="L3113" s="128">
        <v>3.8800000000000001E-2</v>
      </c>
      <c r="O3113" s="2"/>
    </row>
    <row r="3114" spans="2:15" x14ac:dyDescent="0.2">
      <c r="B3114" s="1">
        <v>3099</v>
      </c>
      <c r="C3114" s="5">
        <f ca="1"/>
        <v>3.3295971551619212E-3</v>
      </c>
      <c r="D3114" s="5">
        <f ca="1">S0*EXP((μ-0.5*σ*σ)*T+σ*SQRT(T)*$C3114)</f>
        <v>0.66472385822017721</v>
      </c>
      <c r="E3114" s="5">
        <f ca="1">MAX(0,CP*(D3114-K))</f>
        <v>0</v>
      </c>
      <c r="F3114" s="4">
        <f ca="1">(CP*(D3114-K)&gt;0)*1</f>
        <v>0</v>
      </c>
      <c r="H3114" s="4">
        <v>3099</v>
      </c>
      <c r="I3114" s="3">
        <v>0.66768185598021279</v>
      </c>
      <c r="J3114" s="128">
        <v>1.262961979900506E-3</v>
      </c>
      <c r="K3114" s="128"/>
      <c r="L3114" s="128">
        <v>4.0599999999999997E-2</v>
      </c>
      <c r="O3114" s="2"/>
    </row>
    <row r="3115" spans="2:15" x14ac:dyDescent="0.2">
      <c r="B3115" s="1">
        <v>3100</v>
      </c>
      <c r="C3115" s="5">
        <f ca="1"/>
        <v>-3.9919228262122783E-2</v>
      </c>
      <c r="D3115" s="5">
        <f ca="1">S0*EXP((μ-0.5*σ*σ)*T+σ*SQRT(T)*$C3115)</f>
        <v>0.66189564750984409</v>
      </c>
      <c r="E3115" s="5">
        <f ca="1">MAX(0,CP*(D3115-K))</f>
        <v>0</v>
      </c>
      <c r="F3115" s="4">
        <f ca="1">(CP*(D3115-K)&gt;0)*1</f>
        <v>0</v>
      </c>
      <c r="H3115" s="4">
        <v>3100</v>
      </c>
      <c r="I3115" s="3">
        <v>0.66780561895092094</v>
      </c>
      <c r="J3115" s="128">
        <v>1.406154528193611E-3</v>
      </c>
      <c r="K3115" s="128"/>
      <c r="L3115" s="128">
        <v>4.3200000000000002E-2</v>
      </c>
      <c r="O3115" s="2"/>
    </row>
    <row r="3116" spans="2:15" x14ac:dyDescent="0.2">
      <c r="B3116" s="1">
        <v>3101</v>
      </c>
      <c r="C3116" s="5">
        <f ca="1"/>
        <v>0.39403872786856964</v>
      </c>
      <c r="D3116" s="5">
        <f ca="1">S0*EXP((μ-0.5*σ*σ)*T+σ*SQRT(T)*$C3116)</f>
        <v>0.69082789641335274</v>
      </c>
      <c r="E3116" s="5">
        <f ca="1">MAX(0,CP*(D3116-K))</f>
        <v>0</v>
      </c>
      <c r="F3116" s="4">
        <f ca="1">(CP*(D3116-K)&gt;0)*1</f>
        <v>0</v>
      </c>
      <c r="H3116" s="4">
        <v>3101</v>
      </c>
      <c r="I3116" s="3">
        <v>0.66770728749338759</v>
      </c>
      <c r="J3116" s="128">
        <v>1.4442535149804794E-3</v>
      </c>
      <c r="K3116" s="128"/>
      <c r="L3116" s="128">
        <v>4.2200000000000001E-2</v>
      </c>
      <c r="O3116" s="2"/>
    </row>
    <row r="3117" spans="2:15" x14ac:dyDescent="0.2">
      <c r="B3117" s="1">
        <v>3102</v>
      </c>
      <c r="C3117" s="5">
        <f ca="1"/>
        <v>0.58300900617715534</v>
      </c>
      <c r="D3117" s="5">
        <f ca="1">S0*EXP((μ-0.5*σ*σ)*T+σ*SQRT(T)*$C3117)</f>
        <v>0.70381872479791152</v>
      </c>
      <c r="E3117" s="5">
        <f ca="1">MAX(0,CP*(D3117-K))</f>
        <v>0</v>
      </c>
      <c r="F3117" s="4">
        <f ca="1">(CP*(D3117-K)&gt;0)*1</f>
        <v>0</v>
      </c>
      <c r="H3117" s="4">
        <v>3102</v>
      </c>
      <c r="I3117" s="3">
        <v>0.66766851372409797</v>
      </c>
      <c r="J3117" s="128">
        <v>1.334234930731199E-3</v>
      </c>
      <c r="K3117" s="128"/>
      <c r="L3117" s="128">
        <v>4.1799999999999997E-2</v>
      </c>
      <c r="O3117" s="2"/>
    </row>
    <row r="3118" spans="2:15" x14ac:dyDescent="0.2">
      <c r="B3118" s="1">
        <v>3103</v>
      </c>
      <c r="C3118" s="5">
        <f ca="1"/>
        <v>-1.7413535027982689</v>
      </c>
      <c r="D3118" s="5">
        <f ca="1">S0*EXP((μ-0.5*σ*σ)*T+σ*SQRT(T)*$C3118)</f>
        <v>0.55968146606171021</v>
      </c>
      <c r="E3118" s="5">
        <f ca="1">MAX(0,CP*(D3118-K))</f>
        <v>0</v>
      </c>
      <c r="F3118" s="4">
        <f ca="1">(CP*(D3118-K)&gt;0)*1</f>
        <v>0</v>
      </c>
      <c r="H3118" s="4">
        <v>3103</v>
      </c>
      <c r="I3118" s="3">
        <v>0.66777919032470823</v>
      </c>
      <c r="J3118" s="128">
        <v>1.3196889595147644E-3</v>
      </c>
      <c r="K3118" s="128"/>
      <c r="L3118" s="128">
        <v>4.6199999999999998E-2</v>
      </c>
      <c r="O3118" s="2"/>
    </row>
    <row r="3119" spans="2:15" x14ac:dyDescent="0.2">
      <c r="B3119" s="1">
        <v>3104</v>
      </c>
      <c r="C3119" s="5">
        <f ca="1"/>
        <v>-1.0068687680979014</v>
      </c>
      <c r="D3119" s="5">
        <f ca="1">S0*EXP((μ-0.5*σ*σ)*T+σ*SQRT(T)*$C3119)</f>
        <v>0.60171192618740743</v>
      </c>
      <c r="E3119" s="5">
        <f ca="1">MAX(0,CP*(D3119-K))</f>
        <v>0</v>
      </c>
      <c r="F3119" s="4">
        <f ca="1">(CP*(D3119-K)&gt;0)*1</f>
        <v>0</v>
      </c>
      <c r="H3119" s="4">
        <v>3104</v>
      </c>
      <c r="I3119" s="3">
        <v>0.66765453913424977</v>
      </c>
      <c r="J3119" s="128">
        <v>1.3014825516711789E-3</v>
      </c>
      <c r="K3119" s="128"/>
      <c r="L3119" s="128">
        <v>3.9399999999999998E-2</v>
      </c>
      <c r="O3119" s="2"/>
    </row>
    <row r="3120" spans="2:15" x14ac:dyDescent="0.2">
      <c r="B3120" s="1">
        <v>3105</v>
      </c>
      <c r="C3120" s="5">
        <f ca="1"/>
        <v>0.30770374807807649</v>
      </c>
      <c r="D3120" s="5">
        <f ca="1">S0*EXP((μ-0.5*σ*σ)*T+σ*SQRT(T)*$C3120)</f>
        <v>0.68497283532311659</v>
      </c>
      <c r="E3120" s="5">
        <f ca="1">MAX(0,CP*(D3120-K))</f>
        <v>0</v>
      </c>
      <c r="F3120" s="4">
        <f ca="1">(CP*(D3120-K)&gt;0)*1</f>
        <v>0</v>
      </c>
      <c r="H3120" s="4">
        <v>3105</v>
      </c>
      <c r="I3120" s="3">
        <v>0.66770450194394926</v>
      </c>
      <c r="J3120" s="128">
        <v>1.2579912806937323E-3</v>
      </c>
      <c r="K3120" s="128"/>
      <c r="L3120" s="128">
        <v>4.1399999999999999E-2</v>
      </c>
      <c r="O3120" s="2"/>
    </row>
    <row r="3121" spans="2:15" x14ac:dyDescent="0.2">
      <c r="B3121" s="1">
        <v>3106</v>
      </c>
      <c r="C3121" s="5">
        <f ca="1"/>
        <v>1.5914260255260824</v>
      </c>
      <c r="D3121" s="5">
        <f ca="1">S0*EXP((μ-0.5*σ*σ)*T+σ*SQRT(T)*$C3121)</f>
        <v>0.77738685721674972</v>
      </c>
      <c r="E3121" s="5">
        <f ca="1">MAX(0,CP*(D3121-K))</f>
        <v>0</v>
      </c>
      <c r="F3121" s="4">
        <f ca="1">(CP*(D3121-K)&gt;0)*1</f>
        <v>0</v>
      </c>
      <c r="H3121" s="4">
        <v>3106</v>
      </c>
      <c r="I3121" s="3">
        <v>0.66773885397556265</v>
      </c>
      <c r="J3121" s="128">
        <v>1.3840278274145905E-3</v>
      </c>
      <c r="K3121" s="128"/>
      <c r="L3121" s="128">
        <v>4.1399999999999999E-2</v>
      </c>
      <c r="O3121" s="2"/>
    </row>
    <row r="3122" spans="2:15" x14ac:dyDescent="0.2">
      <c r="B3122" s="1">
        <v>3107</v>
      </c>
      <c r="C3122" s="5">
        <f ca="1"/>
        <v>0.48068476738078586</v>
      </c>
      <c r="D3122" s="5">
        <f ca="1">S0*EXP((μ-0.5*σ*σ)*T+σ*SQRT(T)*$C3122)</f>
        <v>0.69675437257831518</v>
      </c>
      <c r="E3122" s="5">
        <f ca="1">MAX(0,CP*(D3122-K))</f>
        <v>0</v>
      </c>
      <c r="F3122" s="4">
        <f ca="1">(CP*(D3122-K)&gt;0)*1</f>
        <v>0</v>
      </c>
      <c r="H3122" s="4">
        <v>3107</v>
      </c>
      <c r="I3122" s="3">
        <v>0.66779697587121378</v>
      </c>
      <c r="J3122" s="128">
        <v>1.2752267492495758E-3</v>
      </c>
      <c r="K3122" s="128"/>
      <c r="L3122" s="128">
        <v>4.24E-2</v>
      </c>
      <c r="O3122" s="2"/>
    </row>
    <row r="3123" spans="2:15" x14ac:dyDescent="0.2">
      <c r="B3123" s="1">
        <v>3108</v>
      </c>
      <c r="C3123" s="5">
        <f ca="1"/>
        <v>0.74708696856024348</v>
      </c>
      <c r="D3123" s="5">
        <f ca="1">S0*EXP((μ-0.5*σ*σ)*T+σ*SQRT(T)*$C3123)</f>
        <v>0.71529629894278479</v>
      </c>
      <c r="E3123" s="5">
        <f ca="1">MAX(0,CP*(D3123-K))</f>
        <v>0</v>
      </c>
      <c r="F3123" s="4">
        <f ca="1">(CP*(D3123-K)&gt;0)*1</f>
        <v>0</v>
      </c>
      <c r="H3123" s="4">
        <v>3108</v>
      </c>
      <c r="I3123" s="3">
        <v>0.66773763847853462</v>
      </c>
      <c r="J3123" s="128">
        <v>1.3544476248097111E-3</v>
      </c>
      <c r="K3123" s="128"/>
      <c r="L3123" s="128">
        <v>4.3799999999999999E-2</v>
      </c>
      <c r="O3123" s="2"/>
    </row>
    <row r="3124" spans="2:15" x14ac:dyDescent="0.2">
      <c r="B3124" s="1">
        <v>3109</v>
      </c>
      <c r="C3124" s="5">
        <f ca="1"/>
        <v>1.4861813105516106</v>
      </c>
      <c r="D3124" s="5">
        <f ca="1">S0*EXP((μ-0.5*σ*σ)*T+σ*SQRT(T)*$C3124)</f>
        <v>0.7693625401555878</v>
      </c>
      <c r="E3124" s="5">
        <f ca="1">MAX(0,CP*(D3124-K))</f>
        <v>0</v>
      </c>
      <c r="F3124" s="4">
        <f ca="1">(CP*(D3124-K)&gt;0)*1</f>
        <v>0</v>
      </c>
      <c r="H3124" s="4">
        <v>3109</v>
      </c>
      <c r="I3124" s="3">
        <v>0.66778100088427705</v>
      </c>
      <c r="J3124" s="128">
        <v>1.4852432667334507E-3</v>
      </c>
      <c r="K3124" s="128"/>
      <c r="L3124" s="128">
        <v>4.3200000000000002E-2</v>
      </c>
      <c r="O3124" s="2"/>
    </row>
    <row r="3125" spans="2:15" x14ac:dyDescent="0.2">
      <c r="B3125" s="1">
        <v>3110</v>
      </c>
      <c r="C3125" s="5">
        <f ca="1"/>
        <v>-0.19190610159753618</v>
      </c>
      <c r="D3125" s="5">
        <f ca="1">S0*EXP((μ-0.5*σ*σ)*T+σ*SQRT(T)*$C3125)</f>
        <v>0.65205173704539254</v>
      </c>
      <c r="E3125" s="5">
        <f ca="1">MAX(0,CP*(D3125-K))</f>
        <v>0</v>
      </c>
      <c r="F3125" s="4">
        <f ca="1">(CP*(D3125-K)&gt;0)*1</f>
        <v>0</v>
      </c>
      <c r="H3125" s="4">
        <v>3110</v>
      </c>
      <c r="I3125" s="3">
        <v>0.66780578959427517</v>
      </c>
      <c r="J3125" s="128">
        <v>1.6031782463439327E-3</v>
      </c>
      <c r="K3125" s="128"/>
      <c r="L3125" s="128">
        <v>4.2999999999999997E-2</v>
      </c>
      <c r="O3125" s="2"/>
    </row>
    <row r="3126" spans="2:15" x14ac:dyDescent="0.2">
      <c r="B3126" s="1">
        <v>3111</v>
      </c>
      <c r="C3126" s="5">
        <f ca="1"/>
        <v>1.742641284666065</v>
      </c>
      <c r="D3126" s="5">
        <f ca="1">S0*EXP((μ-0.5*σ*σ)*T+σ*SQRT(T)*$C3126)</f>
        <v>0.78906290248578526</v>
      </c>
      <c r="E3126" s="5">
        <f ca="1">MAX(0,CP*(D3126-K))</f>
        <v>8.6290248578524409E-4</v>
      </c>
      <c r="F3126" s="4">
        <f ca="1">(CP*(D3126-K)&gt;0)*1</f>
        <v>1</v>
      </c>
      <c r="H3126" s="4">
        <v>3111</v>
      </c>
      <c r="I3126" s="3">
        <v>0.66777538210112053</v>
      </c>
      <c r="J3126" s="128">
        <v>1.5297493585306244E-3</v>
      </c>
      <c r="K3126" s="128"/>
      <c r="L3126" s="128">
        <v>4.4400000000000002E-2</v>
      </c>
      <c r="O3126" s="2"/>
    </row>
    <row r="3127" spans="2:15" x14ac:dyDescent="0.2">
      <c r="B3127" s="1">
        <v>3112</v>
      </c>
      <c r="C3127" s="5">
        <f ca="1"/>
        <v>-0.11783886109504468</v>
      </c>
      <c r="D3127" s="5">
        <f ca="1">S0*EXP((μ-0.5*σ*σ)*T+σ*SQRT(T)*$C3127)</f>
        <v>0.65683051154408489</v>
      </c>
      <c r="E3127" s="5">
        <f ca="1">MAX(0,CP*(D3127-K))</f>
        <v>0</v>
      </c>
      <c r="F3127" s="4">
        <f ca="1">(CP*(D3127-K)&gt;0)*1</f>
        <v>0</v>
      </c>
      <c r="H3127" s="4">
        <v>3112</v>
      </c>
      <c r="I3127" s="3">
        <v>0.66780655517347731</v>
      </c>
      <c r="J3127" s="128">
        <v>1.431532689586804E-3</v>
      </c>
      <c r="K3127" s="128"/>
      <c r="L3127" s="128">
        <v>4.3400000000000001E-2</v>
      </c>
      <c r="O3127" s="2"/>
    </row>
    <row r="3128" spans="2:15" x14ac:dyDescent="0.2">
      <c r="B3128" s="1">
        <v>3113</v>
      </c>
      <c r="C3128" s="5">
        <f ca="1"/>
        <v>0.46996400500371432</v>
      </c>
      <c r="D3128" s="5">
        <f ca="1">S0*EXP((μ-0.5*σ*σ)*T+σ*SQRT(T)*$C3128)</f>
        <v>0.69601833904050914</v>
      </c>
      <c r="E3128" s="5">
        <f ca="1">MAX(0,CP*(D3128-K))</f>
        <v>0</v>
      </c>
      <c r="F3128" s="4">
        <f ca="1">(CP*(D3128-K)&gt;0)*1</f>
        <v>0</v>
      </c>
      <c r="H3128" s="4">
        <v>3113</v>
      </c>
      <c r="I3128" s="3">
        <v>0.66763860250953311</v>
      </c>
      <c r="J3128" s="128">
        <v>1.1641870649178902E-3</v>
      </c>
      <c r="K3128" s="128"/>
      <c r="L3128" s="128">
        <v>3.6200000000000003E-2</v>
      </c>
      <c r="O3128" s="2"/>
    </row>
    <row r="3129" spans="2:15" x14ac:dyDescent="0.2">
      <c r="B3129" s="1">
        <v>3114</v>
      </c>
      <c r="C3129" s="5">
        <f ca="1"/>
        <v>-0.50175364151690016</v>
      </c>
      <c r="D3129" s="5">
        <f ca="1">S0*EXP((μ-0.5*σ*σ)*T+σ*SQRT(T)*$C3129)</f>
        <v>0.63243460573129695</v>
      </c>
      <c r="E3129" s="5">
        <f ca="1">MAX(0,CP*(D3129-K))</f>
        <v>0</v>
      </c>
      <c r="F3129" s="4">
        <f ca="1">(CP*(D3129-K)&gt;0)*1</f>
        <v>0</v>
      </c>
      <c r="H3129" s="4">
        <v>3114</v>
      </c>
      <c r="I3129" s="3">
        <v>0.66776895285873028</v>
      </c>
      <c r="J3129" s="128">
        <v>1.385145837696472E-3</v>
      </c>
      <c r="K3129" s="128"/>
      <c r="L3129" s="128">
        <v>4.1000000000000002E-2</v>
      </c>
      <c r="O3129" s="2"/>
    </row>
    <row r="3130" spans="2:15" x14ac:dyDescent="0.2">
      <c r="B3130" s="1">
        <v>3115</v>
      </c>
      <c r="C3130" s="5">
        <f ca="1"/>
        <v>-0.51923533609796724</v>
      </c>
      <c r="D3130" s="5">
        <f ca="1">S0*EXP((μ-0.5*σ*σ)*T+σ*SQRT(T)*$C3130)</f>
        <v>0.63134555858715646</v>
      </c>
      <c r="E3130" s="5">
        <f ca="1">MAX(0,CP*(D3130-K))</f>
        <v>0</v>
      </c>
      <c r="F3130" s="4">
        <f ca="1">(CP*(D3130-K)&gt;0)*1</f>
        <v>0</v>
      </c>
      <c r="H3130" s="4">
        <v>3115</v>
      </c>
      <c r="I3130" s="3">
        <v>0.66775502260032138</v>
      </c>
      <c r="J3130" s="128">
        <v>1.4401150414946767E-3</v>
      </c>
      <c r="K3130" s="128"/>
      <c r="L3130" s="128">
        <v>4.48E-2</v>
      </c>
      <c r="O3130" s="2"/>
    </row>
    <row r="3131" spans="2:15" x14ac:dyDescent="0.2">
      <c r="B3131" s="1">
        <v>3116</v>
      </c>
      <c r="C3131" s="5">
        <f ca="1"/>
        <v>0.19952714599638052</v>
      </c>
      <c r="D3131" s="5">
        <f ca="1">S0*EXP((μ-0.5*σ*σ)*T+σ*SQRT(T)*$C3131)</f>
        <v>0.67770651366799739</v>
      </c>
      <c r="E3131" s="5">
        <f ca="1">MAX(0,CP*(D3131-K))</f>
        <v>0</v>
      </c>
      <c r="F3131" s="4">
        <f ca="1">(CP*(D3131-K)&gt;0)*1</f>
        <v>0</v>
      </c>
      <c r="H3131" s="4">
        <v>3116</v>
      </c>
      <c r="I3131" s="3">
        <v>0.66751045330154934</v>
      </c>
      <c r="J3131" s="128">
        <v>1.0703158235547358E-3</v>
      </c>
      <c r="K3131" s="128"/>
      <c r="L3131" s="128">
        <v>3.44E-2</v>
      </c>
      <c r="O3131" s="2"/>
    </row>
    <row r="3132" spans="2:15" x14ac:dyDescent="0.2">
      <c r="B3132" s="1">
        <v>3117</v>
      </c>
      <c r="C3132" s="5">
        <f ca="1"/>
        <v>0.86718770009550583</v>
      </c>
      <c r="D3132" s="5">
        <f ca="1">S0*EXP((μ-0.5*σ*σ)*T+σ*SQRT(T)*$C3132)</f>
        <v>0.72381605194474219</v>
      </c>
      <c r="E3132" s="5">
        <f ca="1">MAX(0,CP*(D3132-K))</f>
        <v>0</v>
      </c>
      <c r="F3132" s="4">
        <f ca="1">(CP*(D3132-K)&gt;0)*1</f>
        <v>0</v>
      </c>
      <c r="H3132" s="4">
        <v>3117</v>
      </c>
      <c r="I3132" s="3">
        <v>0.66787830052432251</v>
      </c>
      <c r="J3132" s="128">
        <v>1.6619436029326031E-3</v>
      </c>
      <c r="K3132" s="128"/>
      <c r="L3132" s="128">
        <v>4.5600000000000002E-2</v>
      </c>
      <c r="O3132" s="2"/>
    </row>
    <row r="3133" spans="2:15" x14ac:dyDescent="0.2">
      <c r="B3133" s="1">
        <v>3118</v>
      </c>
      <c r="C3133" s="5">
        <f ca="1"/>
        <v>-1.207386862159141</v>
      </c>
      <c r="D3133" s="5">
        <f ca="1">S0*EXP((μ-0.5*σ*σ)*T+σ*SQRT(T)*$C3133)</f>
        <v>0.58993374342774818</v>
      </c>
      <c r="E3133" s="5">
        <f ca="1">MAX(0,CP*(D3133-K))</f>
        <v>0</v>
      </c>
      <c r="F3133" s="4">
        <f ca="1">(CP*(D3133-K)&gt;0)*1</f>
        <v>0</v>
      </c>
      <c r="H3133" s="4">
        <v>3118</v>
      </c>
      <c r="I3133" s="3">
        <v>0.66763922966748757</v>
      </c>
      <c r="J3133" s="128">
        <v>1.2729658811335776E-3</v>
      </c>
      <c r="K3133" s="128"/>
      <c r="L3133" s="128">
        <v>3.7600000000000001E-2</v>
      </c>
      <c r="O3133" s="2"/>
    </row>
    <row r="3134" spans="2:15" x14ac:dyDescent="0.2">
      <c r="B3134" s="1">
        <v>3119</v>
      </c>
      <c r="C3134" s="5">
        <f ca="1"/>
        <v>-0.58155738305846105</v>
      </c>
      <c r="D3134" s="5">
        <f ca="1">S0*EXP((μ-0.5*σ*σ)*T+σ*SQRT(T)*$C3134)</f>
        <v>0.62747835485360637</v>
      </c>
      <c r="E3134" s="5">
        <f ca="1">MAX(0,CP*(D3134-K))</f>
        <v>0</v>
      </c>
      <c r="F3134" s="4">
        <f ca="1">(CP*(D3134-K)&gt;0)*1</f>
        <v>0</v>
      </c>
      <c r="H3134" s="4">
        <v>3119</v>
      </c>
      <c r="I3134" s="3">
        <v>0.6678122830919011</v>
      </c>
      <c r="J3134" s="128">
        <v>1.5680752241235571E-3</v>
      </c>
      <c r="K3134" s="128"/>
      <c r="L3134" s="128">
        <v>4.1599999999999998E-2</v>
      </c>
      <c r="O3134" s="2"/>
    </row>
    <row r="3135" spans="2:15" x14ac:dyDescent="0.2">
      <c r="B3135" s="1">
        <v>3120</v>
      </c>
      <c r="C3135" s="5">
        <f ca="1"/>
        <v>-1.8790656540075479</v>
      </c>
      <c r="D3135" s="5">
        <f ca="1">S0*EXP((μ-0.5*σ*σ)*T+σ*SQRT(T)*$C3135)</f>
        <v>0.55213419231383476</v>
      </c>
      <c r="E3135" s="5">
        <f ca="1">MAX(0,CP*(D3135-K))</f>
        <v>0</v>
      </c>
      <c r="F3135" s="4">
        <f ca="1">(CP*(D3135-K)&gt;0)*1</f>
        <v>0</v>
      </c>
      <c r="H3135" s="4">
        <v>3120</v>
      </c>
      <c r="I3135" s="3">
        <v>0.66777209181710506</v>
      </c>
      <c r="J3135" s="128">
        <v>1.2783642311160128E-3</v>
      </c>
      <c r="K3135" s="128"/>
      <c r="L3135" s="128">
        <v>3.8800000000000001E-2</v>
      </c>
      <c r="O3135" s="2"/>
    </row>
    <row r="3136" spans="2:15" x14ac:dyDescent="0.2">
      <c r="B3136" s="1">
        <v>3121</v>
      </c>
      <c r="C3136" s="5">
        <f ca="1"/>
        <v>-0.39353619670297835</v>
      </c>
      <c r="D3136" s="5">
        <f ca="1">S0*EXP((μ-0.5*σ*σ)*T+σ*SQRT(T)*$C3136)</f>
        <v>0.6392180990269084</v>
      </c>
      <c r="E3136" s="5">
        <f ca="1">MAX(0,CP*(D3136-K))</f>
        <v>0</v>
      </c>
      <c r="F3136" s="4">
        <f ca="1">(CP*(D3136-K)&gt;0)*1</f>
        <v>0</v>
      </c>
      <c r="H3136" s="4">
        <v>3121</v>
      </c>
      <c r="I3136" s="3">
        <v>0.66786696370430387</v>
      </c>
      <c r="J3136" s="128">
        <v>1.4671811371383793E-3</v>
      </c>
      <c r="K3136" s="128"/>
      <c r="L3136" s="128">
        <v>4.36E-2</v>
      </c>
      <c r="O3136" s="2"/>
    </row>
    <row r="3137" spans="2:15" x14ac:dyDescent="0.2">
      <c r="B3137" s="1">
        <v>3122</v>
      </c>
      <c r="C3137" s="5">
        <f ca="1"/>
        <v>0.39178316034151273</v>
      </c>
      <c r="D3137" s="5">
        <f ca="1">S0*EXP((μ-0.5*σ*σ)*T+σ*SQRT(T)*$C3137)</f>
        <v>0.69067429361268984</v>
      </c>
      <c r="E3137" s="5">
        <f ca="1">MAX(0,CP*(D3137-K))</f>
        <v>0</v>
      </c>
      <c r="F3137" s="4">
        <f ca="1">(CP*(D3137-K)&gt;0)*1</f>
        <v>0</v>
      </c>
      <c r="H3137" s="4">
        <v>3122</v>
      </c>
      <c r="I3137" s="3">
        <v>0.66766499608155427</v>
      </c>
      <c r="J3137" s="128">
        <v>1.236197810673704E-3</v>
      </c>
      <c r="K3137" s="128"/>
      <c r="L3137" s="128">
        <v>4.0399999999999998E-2</v>
      </c>
      <c r="O3137" s="2"/>
    </row>
    <row r="3138" spans="2:15" x14ac:dyDescent="0.2">
      <c r="B3138" s="1">
        <v>3123</v>
      </c>
      <c r="C3138" s="5">
        <f ca="1"/>
        <v>1.4292285006146499</v>
      </c>
      <c r="D3138" s="5">
        <f ca="1">S0*EXP((μ-0.5*σ*σ)*T+σ*SQRT(T)*$C3138)</f>
        <v>0.76505480257980774</v>
      </c>
      <c r="E3138" s="5">
        <f ca="1">MAX(0,CP*(D3138-K))</f>
        <v>0</v>
      </c>
      <c r="F3138" s="4">
        <f ca="1">(CP*(D3138-K)&gt;0)*1</f>
        <v>0</v>
      </c>
      <c r="H3138" s="4">
        <v>3123</v>
      </c>
      <c r="I3138" s="3">
        <v>0.66771457585678229</v>
      </c>
      <c r="J3138" s="128">
        <v>1.2849612886536152E-3</v>
      </c>
      <c r="K3138" s="128"/>
      <c r="L3138" s="128">
        <v>4.3400000000000001E-2</v>
      </c>
      <c r="O3138" s="2"/>
    </row>
    <row r="3139" spans="2:15" x14ac:dyDescent="0.2">
      <c r="B3139" s="1">
        <v>3124</v>
      </c>
      <c r="C3139" s="5">
        <f ca="1"/>
        <v>-0.35618023011116473</v>
      </c>
      <c r="D3139" s="5">
        <f ca="1">S0*EXP((μ-0.5*σ*σ)*T+σ*SQRT(T)*$C3139)</f>
        <v>0.6415765710233361</v>
      </c>
      <c r="E3139" s="5">
        <f ca="1">MAX(0,CP*(D3139-K))</f>
        <v>0</v>
      </c>
      <c r="F3139" s="4">
        <f ca="1">(CP*(D3139-K)&gt;0)*1</f>
        <v>0</v>
      </c>
      <c r="H3139" s="4">
        <v>3124</v>
      </c>
      <c r="I3139" s="3">
        <v>0.66759433897863585</v>
      </c>
      <c r="J3139" s="128">
        <v>1.2663892946670476E-3</v>
      </c>
      <c r="K3139" s="128"/>
      <c r="L3139" s="128">
        <v>3.7600000000000001E-2</v>
      </c>
      <c r="O3139" s="2"/>
    </row>
    <row r="3140" spans="2:15" x14ac:dyDescent="0.2">
      <c r="B3140" s="1">
        <v>3125</v>
      </c>
      <c r="C3140" s="5">
        <f ca="1"/>
        <v>1.8497223748413377E-2</v>
      </c>
      <c r="D3140" s="5">
        <f ca="1">S0*EXP((μ-0.5*σ*σ)*T+σ*SQRT(T)*$C3140)</f>
        <v>0.66571858856055877</v>
      </c>
      <c r="E3140" s="5">
        <f ca="1">MAX(0,CP*(D3140-K))</f>
        <v>0</v>
      </c>
      <c r="F3140" s="4">
        <f ca="1">(CP*(D3140-K)&gt;0)*1</f>
        <v>0</v>
      </c>
      <c r="H3140" s="4">
        <v>3125</v>
      </c>
      <c r="I3140" s="3">
        <v>0.66790940081963168</v>
      </c>
      <c r="J3140" s="128">
        <v>1.4594896352934786E-3</v>
      </c>
      <c r="K3140" s="128"/>
      <c r="L3140" s="128">
        <v>4.6399999999999997E-2</v>
      </c>
      <c r="O3140" s="2"/>
    </row>
    <row r="3141" spans="2:15" x14ac:dyDescent="0.2">
      <c r="B3141" s="1">
        <v>3126</v>
      </c>
      <c r="C3141" s="5">
        <f ca="1"/>
        <v>0.53363090820349668</v>
      </c>
      <c r="D3141" s="5">
        <f ca="1">S0*EXP((μ-0.5*σ*σ)*T+σ*SQRT(T)*$C3141)</f>
        <v>0.70040081783273334</v>
      </c>
      <c r="E3141" s="5">
        <f ca="1">MAX(0,CP*(D3141-K))</f>
        <v>0</v>
      </c>
      <c r="F3141" s="4">
        <f ca="1">(CP*(D3141-K)&gt;0)*1</f>
        <v>0</v>
      </c>
      <c r="H3141" s="4">
        <v>3126</v>
      </c>
      <c r="I3141" s="3">
        <v>0.66766202765887306</v>
      </c>
      <c r="J3141" s="128">
        <v>1.291197010139475E-3</v>
      </c>
      <c r="K3141" s="128"/>
      <c r="L3141" s="128">
        <v>4.0800000000000003E-2</v>
      </c>
      <c r="O3141" s="2"/>
    </row>
    <row r="3142" spans="2:15" x14ac:dyDescent="0.2">
      <c r="B3142" s="1">
        <v>3127</v>
      </c>
      <c r="C3142" s="5">
        <f ca="1"/>
        <v>0.6910674424865223</v>
      </c>
      <c r="D3142" s="5">
        <f ca="1">S0*EXP((μ-0.5*σ*σ)*T+σ*SQRT(T)*$C3142)</f>
        <v>0.71135673263177601</v>
      </c>
      <c r="E3142" s="5">
        <f ca="1">MAX(0,CP*(D3142-K))</f>
        <v>0</v>
      </c>
      <c r="F3142" s="4">
        <f ca="1">(CP*(D3142-K)&gt;0)*1</f>
        <v>0</v>
      </c>
      <c r="H3142" s="4">
        <v>3127</v>
      </c>
      <c r="I3142" s="3">
        <v>0.66773157786925308</v>
      </c>
      <c r="J3142" s="128">
        <v>1.2719527349629185E-3</v>
      </c>
      <c r="K3142" s="128"/>
      <c r="L3142" s="128">
        <v>4.3999999999999997E-2</v>
      </c>
      <c r="O3142" s="2"/>
    </row>
    <row r="3143" spans="2:15" x14ac:dyDescent="0.2">
      <c r="B3143" s="1">
        <v>3128</v>
      </c>
      <c r="C3143" s="5">
        <f ca="1"/>
        <v>-1.6336303889605686</v>
      </c>
      <c r="D3143" s="5">
        <f ca="1">S0*EXP((μ-0.5*σ*σ)*T+σ*SQRT(T)*$C3143)</f>
        <v>0.56565704133681616</v>
      </c>
      <c r="E3143" s="5">
        <f ca="1">MAX(0,CP*(D3143-K))</f>
        <v>0</v>
      </c>
      <c r="F3143" s="4">
        <f ca="1">(CP*(D3143-K)&gt;0)*1</f>
        <v>0</v>
      </c>
      <c r="H3143" s="4">
        <v>3128</v>
      </c>
      <c r="I3143" s="3">
        <v>0.66767826596547042</v>
      </c>
      <c r="J3143" s="128">
        <v>1.3300433197798742E-3</v>
      </c>
      <c r="K3143" s="128"/>
      <c r="L3143" s="128">
        <v>4.0399999999999998E-2</v>
      </c>
      <c r="O3143" s="2"/>
    </row>
    <row r="3144" spans="2:15" x14ac:dyDescent="0.2">
      <c r="B3144" s="1">
        <v>3129</v>
      </c>
      <c r="C3144" s="5">
        <f ca="1"/>
        <v>0.65991239609803964</v>
      </c>
      <c r="D3144" s="5">
        <f ca="1">S0*EXP((μ-0.5*σ*σ)*T+σ*SQRT(T)*$C3144)</f>
        <v>0.70917515449482227</v>
      </c>
      <c r="E3144" s="5">
        <f ca="1">MAX(0,CP*(D3144-K))</f>
        <v>0</v>
      </c>
      <c r="F3144" s="4">
        <f ca="1">(CP*(D3144-K)&gt;0)*1</f>
        <v>0</v>
      </c>
      <c r="H3144" s="4">
        <v>3129</v>
      </c>
      <c r="I3144" s="3">
        <v>0.66779462733863171</v>
      </c>
      <c r="J3144" s="128">
        <v>1.4168278937601747E-3</v>
      </c>
      <c r="K3144" s="128"/>
      <c r="L3144" s="128">
        <v>4.2799999999999998E-2</v>
      </c>
      <c r="O3144" s="2"/>
    </row>
    <row r="3145" spans="2:15" x14ac:dyDescent="0.2">
      <c r="B3145" s="1">
        <v>3130</v>
      </c>
      <c r="C3145" s="5">
        <f ca="1"/>
        <v>0.25553356597466342</v>
      </c>
      <c r="D3145" s="5">
        <f ca="1">S0*EXP((μ-0.5*σ*σ)*T+σ*SQRT(T)*$C3145)</f>
        <v>0.68145884111479993</v>
      </c>
      <c r="E3145" s="5">
        <f ca="1">MAX(0,CP*(D3145-K))</f>
        <v>0</v>
      </c>
      <c r="F3145" s="4">
        <f ca="1">(CP*(D3145-K)&gt;0)*1</f>
        <v>0</v>
      </c>
      <c r="H3145" s="4">
        <v>3130</v>
      </c>
      <c r="I3145" s="3">
        <v>0.66763627516960522</v>
      </c>
      <c r="J3145" s="128">
        <v>1.2534931397520561E-3</v>
      </c>
      <c r="K3145" s="128"/>
      <c r="L3145" s="128">
        <v>4.0399999999999998E-2</v>
      </c>
      <c r="O3145" s="2"/>
    </row>
    <row r="3146" spans="2:15" x14ac:dyDescent="0.2">
      <c r="B3146" s="1">
        <v>3131</v>
      </c>
      <c r="C3146" s="5">
        <f ca="1"/>
        <v>0.21547562473571555</v>
      </c>
      <c r="D3146" s="5">
        <f ca="1">S0*EXP((μ-0.5*σ*σ)*T+σ*SQRT(T)*$C3146)</f>
        <v>0.67877292343459061</v>
      </c>
      <c r="E3146" s="5">
        <f ca="1">MAX(0,CP*(D3146-K))</f>
        <v>0</v>
      </c>
      <c r="F3146" s="4">
        <f ca="1">(CP*(D3146-K)&gt;0)*1</f>
        <v>0</v>
      </c>
      <c r="H3146" s="4">
        <v>3131</v>
      </c>
      <c r="I3146" s="3">
        <v>0.66764513928432312</v>
      </c>
      <c r="J3146" s="128">
        <v>1.3886588162702095E-3</v>
      </c>
      <c r="K3146" s="128"/>
      <c r="L3146" s="128">
        <v>0.04</v>
      </c>
      <c r="O3146" s="2"/>
    </row>
    <row r="3147" spans="2:15" x14ac:dyDescent="0.2">
      <c r="B3147" s="1">
        <v>3132</v>
      </c>
      <c r="C3147" s="5">
        <f ca="1"/>
        <v>-0.99932486979111546</v>
      </c>
      <c r="D3147" s="5">
        <f ca="1">S0*EXP((μ-0.5*σ*σ)*T+σ*SQRT(T)*$C3147)</f>
        <v>0.60215960616923481</v>
      </c>
      <c r="E3147" s="5">
        <f ca="1">MAX(0,CP*(D3147-K))</f>
        <v>0</v>
      </c>
      <c r="F3147" s="4">
        <f ca="1">(CP*(D3147-K)&gt;0)*1</f>
        <v>0</v>
      </c>
      <c r="H3147" s="4">
        <v>3132</v>
      </c>
      <c r="I3147" s="3">
        <v>0.66786506989345518</v>
      </c>
      <c r="J3147" s="128">
        <v>1.5882725106510683E-3</v>
      </c>
      <c r="K3147" s="128"/>
      <c r="L3147" s="128">
        <v>4.5400000000000003E-2</v>
      </c>
      <c r="O3147" s="2"/>
    </row>
    <row r="3148" spans="2:15" x14ac:dyDescent="0.2">
      <c r="B3148" s="1">
        <v>3133</v>
      </c>
      <c r="C3148" s="5">
        <f ca="1"/>
        <v>1.0873867985977219</v>
      </c>
      <c r="D3148" s="5">
        <f ca="1">S0*EXP((μ-0.5*σ*σ)*T+σ*SQRT(T)*$C3148)</f>
        <v>0.73970108112533306</v>
      </c>
      <c r="E3148" s="5">
        <f ca="1">MAX(0,CP*(D3148-K))</f>
        <v>0</v>
      </c>
      <c r="F3148" s="4">
        <f ca="1">(CP*(D3148-K)&gt;0)*1</f>
        <v>0</v>
      </c>
      <c r="H3148" s="4">
        <v>3133</v>
      </c>
      <c r="I3148" s="3">
        <v>0.66774505891606684</v>
      </c>
      <c r="J3148" s="128">
        <v>1.5243228330949455E-3</v>
      </c>
      <c r="K3148" s="128"/>
      <c r="L3148" s="128">
        <v>4.2599999999999999E-2</v>
      </c>
      <c r="O3148" s="2"/>
    </row>
    <row r="3149" spans="2:15" x14ac:dyDescent="0.2">
      <c r="B3149" s="1">
        <v>3134</v>
      </c>
      <c r="C3149" s="5">
        <f ca="1"/>
        <v>1.1920811760178016</v>
      </c>
      <c r="D3149" s="5">
        <f ca="1">S0*EXP((μ-0.5*σ*σ)*T+σ*SQRT(T)*$C3149)</f>
        <v>0.74737548335040238</v>
      </c>
      <c r="E3149" s="5">
        <f ca="1">MAX(0,CP*(D3149-K))</f>
        <v>0</v>
      </c>
      <c r="F3149" s="4">
        <f ca="1">(CP*(D3149-K)&gt;0)*1</f>
        <v>0</v>
      </c>
      <c r="H3149" s="4">
        <v>3134</v>
      </c>
      <c r="I3149" s="3">
        <v>0.66783455487070564</v>
      </c>
      <c r="J3149" s="128">
        <v>1.4546221202951261E-3</v>
      </c>
      <c r="K3149" s="128"/>
      <c r="L3149" s="128">
        <v>4.1799999999999997E-2</v>
      </c>
      <c r="O3149" s="2"/>
    </row>
    <row r="3150" spans="2:15" x14ac:dyDescent="0.2">
      <c r="B3150" s="1">
        <v>3135</v>
      </c>
      <c r="C3150" s="5">
        <f ca="1"/>
        <v>0.13797673809332489</v>
      </c>
      <c r="D3150" s="5">
        <f ca="1">S0*EXP((μ-0.5*σ*σ)*T+σ*SQRT(T)*$C3150)</f>
        <v>0.67360657546184277</v>
      </c>
      <c r="E3150" s="5">
        <f ca="1">MAX(0,CP*(D3150-K))</f>
        <v>0</v>
      </c>
      <c r="F3150" s="4">
        <f ca="1">(CP*(D3150-K)&gt;0)*1</f>
        <v>0</v>
      </c>
      <c r="H3150" s="4">
        <v>3135</v>
      </c>
      <c r="I3150" s="3">
        <v>0.66763196301933936</v>
      </c>
      <c r="J3150" s="128">
        <v>1.2578854636291303E-3</v>
      </c>
      <c r="K3150" s="128"/>
      <c r="L3150" s="128">
        <v>3.8600000000000002E-2</v>
      </c>
      <c r="O3150" s="2"/>
    </row>
    <row r="3151" spans="2:15" x14ac:dyDescent="0.2">
      <c r="B3151" s="1">
        <v>3136</v>
      </c>
      <c r="C3151" s="5">
        <f ca="1"/>
        <v>-0.15550029266419729</v>
      </c>
      <c r="D3151" s="5">
        <f ca="1">S0*EXP((μ-0.5*σ*σ)*T+σ*SQRT(T)*$C3151)</f>
        <v>0.65439625774136478</v>
      </c>
      <c r="E3151" s="5">
        <f ca="1">MAX(0,CP*(D3151-K))</f>
        <v>0</v>
      </c>
      <c r="F3151" s="4">
        <f ca="1">(CP*(D3151-K)&gt;0)*1</f>
        <v>0</v>
      </c>
      <c r="H3151" s="4">
        <v>3136</v>
      </c>
      <c r="I3151" s="3">
        <v>0.66780401692645253</v>
      </c>
      <c r="J3151" s="128">
        <v>1.3667032177232153E-3</v>
      </c>
      <c r="K3151" s="128"/>
      <c r="L3151" s="128">
        <v>4.24E-2</v>
      </c>
      <c r="O3151" s="2"/>
    </row>
    <row r="3152" spans="2:15" x14ac:dyDescent="0.2">
      <c r="B3152" s="1">
        <v>3137</v>
      </c>
      <c r="C3152" s="5">
        <f ca="1"/>
        <v>-0.63359400475031191</v>
      </c>
      <c r="D3152" s="5">
        <f ca="1">S0*EXP((μ-0.5*σ*σ)*T+σ*SQRT(T)*$C3152)</f>
        <v>0.62426753425974635</v>
      </c>
      <c r="E3152" s="5">
        <f ca="1">MAX(0,CP*(D3152-K))</f>
        <v>0</v>
      </c>
      <c r="F3152" s="4">
        <f ca="1">(CP*(D3152-K)&gt;0)*1</f>
        <v>0</v>
      </c>
      <c r="H3152" s="4">
        <v>3137</v>
      </c>
      <c r="I3152" s="3">
        <v>0.66783980005794652</v>
      </c>
      <c r="J3152" s="128">
        <v>1.4890428748108053E-3</v>
      </c>
      <c r="K3152" s="128"/>
      <c r="L3152" s="128">
        <v>4.58E-2</v>
      </c>
      <c r="O3152" s="2"/>
    </row>
    <row r="3153" spans="2:15" x14ac:dyDescent="0.2">
      <c r="B3153" s="1">
        <v>3138</v>
      </c>
      <c r="C3153" s="5">
        <f ca="1"/>
        <v>-2.9322308240778219E-2</v>
      </c>
      <c r="D3153" s="5">
        <f ca="1">S0*EXP((μ-0.5*σ*σ)*T+σ*SQRT(T)*$C3153)</f>
        <v>0.66258750680642453</v>
      </c>
      <c r="E3153" s="5">
        <f ca="1">MAX(0,CP*(D3153-K))</f>
        <v>0</v>
      </c>
      <c r="F3153" s="4">
        <f ca="1">(CP*(D3153-K)&gt;0)*1</f>
        <v>0</v>
      </c>
      <c r="H3153" s="4">
        <v>3138</v>
      </c>
      <c r="I3153" s="3">
        <v>0.66781298251808863</v>
      </c>
      <c r="J3153" s="128">
        <v>1.5778371894428081E-3</v>
      </c>
      <c r="K3153" s="128"/>
      <c r="L3153" s="128">
        <v>4.5400000000000003E-2</v>
      </c>
      <c r="O3153" s="2"/>
    </row>
    <row r="3154" spans="2:15" x14ac:dyDescent="0.2">
      <c r="B3154" s="1">
        <v>3139</v>
      </c>
      <c r="C3154" s="5">
        <f ca="1"/>
        <v>1.9605004370657331</v>
      </c>
      <c r="D3154" s="5">
        <f ca="1">S0*EXP((μ-0.5*σ*σ)*T+σ*SQRT(T)*$C3154)</f>
        <v>0.80619385185920567</v>
      </c>
      <c r="E3154" s="5">
        <f ca="1">MAX(0,CP*(D3154-K))</f>
        <v>1.7993851859205656E-2</v>
      </c>
      <c r="F3154" s="4">
        <f ca="1">(CP*(D3154-K)&gt;0)*1</f>
        <v>1</v>
      </c>
      <c r="H3154" s="4">
        <v>3139</v>
      </c>
      <c r="I3154" s="3">
        <v>0.66764571739670486</v>
      </c>
      <c r="J3154" s="128">
        <v>1.1972062610464207E-3</v>
      </c>
      <c r="K3154" s="128"/>
      <c r="L3154" s="128">
        <v>4.2200000000000001E-2</v>
      </c>
      <c r="O3154" s="2"/>
    </row>
    <row r="3155" spans="2:15" x14ac:dyDescent="0.2">
      <c r="B3155" s="1">
        <v>3140</v>
      </c>
      <c r="C3155" s="5">
        <f ca="1"/>
        <v>-5.3277123728137359E-2</v>
      </c>
      <c r="D3155" s="5">
        <f ca="1">S0*EXP((μ-0.5*σ*σ)*T+σ*SQRT(T)*$C3155)</f>
        <v>0.66102455686038331</v>
      </c>
      <c r="E3155" s="5">
        <f ca="1">MAX(0,CP*(D3155-K))</f>
        <v>0</v>
      </c>
      <c r="F3155" s="4">
        <f ca="1">(CP*(D3155-K)&gt;0)*1</f>
        <v>0</v>
      </c>
      <c r="H3155" s="4">
        <v>3140</v>
      </c>
      <c r="I3155" s="3">
        <v>0.66760772657950829</v>
      </c>
      <c r="J3155" s="128">
        <v>1.2309258919369066E-3</v>
      </c>
      <c r="K3155" s="128"/>
      <c r="L3155" s="128">
        <v>3.8800000000000001E-2</v>
      </c>
      <c r="O3155" s="2"/>
    </row>
    <row r="3156" spans="2:15" x14ac:dyDescent="0.2">
      <c r="B3156" s="1">
        <v>3141</v>
      </c>
      <c r="C3156" s="5">
        <f ca="1"/>
        <v>-0.13568765347537717</v>
      </c>
      <c r="D3156" s="5">
        <f ca="1">S0*EXP((μ-0.5*σ*σ)*T+σ*SQRT(T)*$C3156)</f>
        <v>0.65567572470352509</v>
      </c>
      <c r="E3156" s="5">
        <f ca="1">MAX(0,CP*(D3156-K))</f>
        <v>0</v>
      </c>
      <c r="F3156" s="4">
        <f ca="1">(CP*(D3156-K)&gt;0)*1</f>
        <v>0</v>
      </c>
      <c r="H3156" s="4">
        <v>3141</v>
      </c>
      <c r="I3156" s="3">
        <v>0.66765908667606622</v>
      </c>
      <c r="J3156" s="128">
        <v>1.3942160262751368E-3</v>
      </c>
      <c r="K3156" s="128"/>
      <c r="L3156" s="128">
        <v>4.1399999999999999E-2</v>
      </c>
      <c r="O3156" s="2"/>
    </row>
    <row r="3157" spans="2:15" x14ac:dyDescent="0.2">
      <c r="B3157" s="1">
        <v>3142</v>
      </c>
      <c r="C3157" s="5">
        <f ca="1"/>
        <v>-0.12109827224968683</v>
      </c>
      <c r="D3157" s="5">
        <f ca="1">S0*EXP((μ-0.5*σ*σ)*T+σ*SQRT(T)*$C3157)</f>
        <v>0.65661948144095761</v>
      </c>
      <c r="E3157" s="5">
        <f ca="1">MAX(0,CP*(D3157-K))</f>
        <v>0</v>
      </c>
      <c r="F3157" s="4">
        <f ca="1">(CP*(D3157-K)&gt;0)*1</f>
        <v>0</v>
      </c>
      <c r="H3157" s="4">
        <v>3142</v>
      </c>
      <c r="I3157" s="3">
        <v>0.66762939791410369</v>
      </c>
      <c r="J3157" s="128">
        <v>1.2311934014913187E-3</v>
      </c>
      <c r="K3157" s="128"/>
      <c r="L3157" s="128">
        <v>3.7199999999999997E-2</v>
      </c>
      <c r="O3157" s="2"/>
    </row>
    <row r="3158" spans="2:15" x14ac:dyDescent="0.2">
      <c r="B3158" s="1">
        <v>3143</v>
      </c>
      <c r="C3158" s="5">
        <f ca="1"/>
        <v>-0.83058977696325087</v>
      </c>
      <c r="D3158" s="5">
        <f ca="1">S0*EXP((μ-0.5*σ*σ)*T+σ*SQRT(T)*$C3158)</f>
        <v>0.61226041245434393</v>
      </c>
      <c r="E3158" s="5">
        <f ca="1">MAX(0,CP*(D3158-K))</f>
        <v>0</v>
      </c>
      <c r="F3158" s="4">
        <f ca="1">(CP*(D3158-K)&gt;0)*1</f>
        <v>0</v>
      </c>
      <c r="H3158" s="4">
        <v>3143</v>
      </c>
      <c r="I3158" s="3">
        <v>0.66774034635398305</v>
      </c>
      <c r="J3158" s="128">
        <v>1.4407087400778703E-3</v>
      </c>
      <c r="K3158" s="128"/>
      <c r="L3158" s="128">
        <v>4.1799999999999997E-2</v>
      </c>
      <c r="O3158" s="2"/>
    </row>
    <row r="3159" spans="2:15" x14ac:dyDescent="0.2">
      <c r="B3159" s="1">
        <v>3144</v>
      </c>
      <c r="C3159" s="5">
        <f ca="1"/>
        <v>1.194969045603999</v>
      </c>
      <c r="D3159" s="5">
        <f ca="1">S0*EXP((μ-0.5*σ*σ)*T+σ*SQRT(T)*$C3159)</f>
        <v>0.74758829724019094</v>
      </c>
      <c r="E3159" s="5">
        <f ca="1">MAX(0,CP*(D3159-K))</f>
        <v>0</v>
      </c>
      <c r="F3159" s="4">
        <f ca="1">(CP*(D3159-K)&gt;0)*1</f>
        <v>0</v>
      </c>
      <c r="H3159" s="4">
        <v>3144</v>
      </c>
      <c r="I3159" s="3">
        <v>0.66762354973189553</v>
      </c>
      <c r="J3159" s="128">
        <v>1.3098309462083895E-3</v>
      </c>
      <c r="K3159" s="128"/>
      <c r="L3159" s="128">
        <v>4.1200000000000001E-2</v>
      </c>
      <c r="O3159" s="2"/>
    </row>
    <row r="3160" spans="2:15" x14ac:dyDescent="0.2">
      <c r="B3160" s="1">
        <v>3145</v>
      </c>
      <c r="C3160" s="5">
        <f ca="1"/>
        <v>-1.285059101333248</v>
      </c>
      <c r="D3160" s="5">
        <f ca="1">S0*EXP((μ-0.5*σ*σ)*T+σ*SQRT(T)*$C3160)</f>
        <v>0.58543357220757131</v>
      </c>
      <c r="E3160" s="5">
        <f ca="1">MAX(0,CP*(D3160-K))</f>
        <v>0</v>
      </c>
      <c r="F3160" s="4">
        <f ca="1">(CP*(D3160-K)&gt;0)*1</f>
        <v>0</v>
      </c>
      <c r="H3160" s="4">
        <v>3145</v>
      </c>
      <c r="I3160" s="3">
        <v>0.66790278900487587</v>
      </c>
      <c r="J3160" s="128">
        <v>1.629013798849769E-3</v>
      </c>
      <c r="K3160" s="128"/>
      <c r="L3160" s="128">
        <v>4.5600000000000002E-2</v>
      </c>
      <c r="O3160" s="2"/>
    </row>
    <row r="3161" spans="2:15" x14ac:dyDescent="0.2">
      <c r="B3161" s="1">
        <v>3146</v>
      </c>
      <c r="C3161" s="5">
        <f ca="1"/>
        <v>2.664536901915599E-3</v>
      </c>
      <c r="D3161" s="5">
        <f ca="1">S0*EXP((μ-0.5*σ*σ)*T+σ*SQRT(T)*$C3161)</f>
        <v>0.66468027596059276</v>
      </c>
      <c r="E3161" s="5">
        <f ca="1">MAX(0,CP*(D3161-K))</f>
        <v>0</v>
      </c>
      <c r="F3161" s="4">
        <f ca="1">(CP*(D3161-K)&gt;0)*1</f>
        <v>0</v>
      </c>
      <c r="H3161" s="4">
        <v>3146</v>
      </c>
      <c r="I3161" s="3">
        <v>0.66777669886681934</v>
      </c>
      <c r="J3161" s="128">
        <v>1.4195014726173071E-3</v>
      </c>
      <c r="K3161" s="128"/>
      <c r="L3161" s="128">
        <v>4.4600000000000001E-2</v>
      </c>
      <c r="O3161" s="2"/>
    </row>
    <row r="3162" spans="2:15" x14ac:dyDescent="0.2">
      <c r="B3162" s="1">
        <v>3147</v>
      </c>
      <c r="C3162" s="5">
        <f ca="1"/>
        <v>0.87955277243161556</v>
      </c>
      <c r="D3162" s="5">
        <f ca="1">S0*EXP((μ-0.5*σ*σ)*T+σ*SQRT(T)*$C3162)</f>
        <v>0.72469895156569164</v>
      </c>
      <c r="E3162" s="5">
        <f ca="1">MAX(0,CP*(D3162-K))</f>
        <v>0</v>
      </c>
      <c r="F3162" s="4">
        <f ca="1">(CP*(D3162-K)&gt;0)*1</f>
        <v>0</v>
      </c>
      <c r="H3162" s="4">
        <v>3147</v>
      </c>
      <c r="I3162" s="3">
        <v>0.66789768749466538</v>
      </c>
      <c r="J3162" s="128">
        <v>1.442205167046007E-3</v>
      </c>
      <c r="K3162" s="128"/>
      <c r="L3162" s="128">
        <v>4.2799999999999998E-2</v>
      </c>
      <c r="O3162" s="2"/>
    </row>
    <row r="3163" spans="2:15" x14ac:dyDescent="0.2">
      <c r="B3163" s="1">
        <v>3148</v>
      </c>
      <c r="C3163" s="5">
        <f ca="1"/>
        <v>-0.59532153426336731</v>
      </c>
      <c r="D3163" s="5">
        <f ca="1">S0*EXP((μ-0.5*σ*σ)*T+σ*SQRT(T)*$C3163)</f>
        <v>0.6266274612184437</v>
      </c>
      <c r="E3163" s="5">
        <f ca="1">MAX(0,CP*(D3163-K))</f>
        <v>0</v>
      </c>
      <c r="F3163" s="4">
        <f ca="1">(CP*(D3163-K)&gt;0)*1</f>
        <v>0</v>
      </c>
      <c r="H3163" s="4">
        <v>3148</v>
      </c>
      <c r="I3163" s="3">
        <v>0.66785179317406584</v>
      </c>
      <c r="J3163" s="128">
        <v>1.5440420066495375E-3</v>
      </c>
      <c r="K3163" s="128"/>
      <c r="L3163" s="128">
        <v>4.6800000000000001E-2</v>
      </c>
      <c r="O3163" s="2"/>
    </row>
    <row r="3164" spans="2:15" x14ac:dyDescent="0.2">
      <c r="B3164" s="1">
        <v>3149</v>
      </c>
      <c r="C3164" s="5">
        <f ca="1"/>
        <v>-0.74045078992060176</v>
      </c>
      <c r="D3164" s="5">
        <f ca="1">S0*EXP((μ-0.5*σ*σ)*T+σ*SQRT(T)*$C3164)</f>
        <v>0.61772555756389236</v>
      </c>
      <c r="E3164" s="5">
        <f ca="1">MAX(0,CP*(D3164-K))</f>
        <v>0</v>
      </c>
      <c r="F3164" s="4">
        <f ca="1">(CP*(D3164-K)&gt;0)*1</f>
        <v>0</v>
      </c>
      <c r="H3164" s="4">
        <v>3149</v>
      </c>
      <c r="I3164" s="3">
        <v>0.66769816511517943</v>
      </c>
      <c r="J3164" s="128">
        <v>1.3431478544226431E-3</v>
      </c>
      <c r="K3164" s="128"/>
      <c r="L3164" s="128">
        <v>4.02E-2</v>
      </c>
      <c r="O3164" s="2"/>
    </row>
    <row r="3165" spans="2:15" x14ac:dyDescent="0.2">
      <c r="B3165" s="1">
        <v>3150</v>
      </c>
      <c r="C3165" s="5">
        <f ca="1"/>
        <v>0.34335109837431355</v>
      </c>
      <c r="D3165" s="5">
        <f ca="1">S0*EXP((μ-0.5*σ*σ)*T+σ*SQRT(T)*$C3165)</f>
        <v>0.68738432654190018</v>
      </c>
      <c r="E3165" s="5">
        <f ca="1">MAX(0,CP*(D3165-K))</f>
        <v>0</v>
      </c>
      <c r="F3165" s="4">
        <f ca="1">(CP*(D3165-K)&gt;0)*1</f>
        <v>0</v>
      </c>
      <c r="H3165" s="4">
        <v>3150</v>
      </c>
      <c r="I3165" s="3">
        <v>0.66768478376512519</v>
      </c>
      <c r="J3165" s="128">
        <v>1.3145430214526574E-3</v>
      </c>
      <c r="K3165" s="128"/>
      <c r="L3165" s="128">
        <v>4.1599999999999998E-2</v>
      </c>
      <c r="O3165" s="2"/>
    </row>
    <row r="3166" spans="2:15" x14ac:dyDescent="0.2">
      <c r="B3166" s="1">
        <v>3151</v>
      </c>
      <c r="C3166" s="5">
        <f ca="1"/>
        <v>0.61187381166005839</v>
      </c>
      <c r="D3166" s="5">
        <f ca="1">S0*EXP((μ-0.5*σ*σ)*T+σ*SQRT(T)*$C3166)</f>
        <v>0.70582443995661093</v>
      </c>
      <c r="E3166" s="5">
        <f ca="1">MAX(0,CP*(D3166-K))</f>
        <v>0</v>
      </c>
      <c r="F3166" s="4">
        <f ca="1">(CP*(D3166-K)&gt;0)*1</f>
        <v>0</v>
      </c>
      <c r="H3166" s="4">
        <v>3151</v>
      </c>
      <c r="I3166" s="3">
        <v>0.66768622987128168</v>
      </c>
      <c r="J3166" s="128">
        <v>1.202112760730095E-3</v>
      </c>
      <c r="K3166" s="128"/>
      <c r="L3166" s="128">
        <v>4.2799999999999998E-2</v>
      </c>
      <c r="O3166" s="2"/>
    </row>
    <row r="3167" spans="2:15" x14ac:dyDescent="0.2">
      <c r="B3167" s="1">
        <v>3152</v>
      </c>
      <c r="C3167" s="5">
        <f ca="1"/>
        <v>1.4642739575917401</v>
      </c>
      <c r="D3167" s="5">
        <f ca="1">S0*EXP((μ-0.5*σ*σ)*T+σ*SQRT(T)*$C3167)</f>
        <v>0.76770267138218473</v>
      </c>
      <c r="E3167" s="5">
        <f ca="1">MAX(0,CP*(D3167-K))</f>
        <v>0</v>
      </c>
      <c r="F3167" s="4">
        <f ca="1">(CP*(D3167-K)&gt;0)*1</f>
        <v>0</v>
      </c>
      <c r="H3167" s="4">
        <v>3152</v>
      </c>
      <c r="I3167" s="3">
        <v>0.66756524018246988</v>
      </c>
      <c r="J3167" s="128">
        <v>1.1208272186329204E-3</v>
      </c>
      <c r="K3167" s="128"/>
      <c r="L3167" s="128">
        <v>3.6200000000000003E-2</v>
      </c>
      <c r="O3167" s="2"/>
    </row>
    <row r="3168" spans="2:15" x14ac:dyDescent="0.2">
      <c r="B3168" s="1">
        <v>3153</v>
      </c>
      <c r="C3168" s="5">
        <f ca="1"/>
        <v>1.0472154283030095</v>
      </c>
      <c r="D3168" s="5">
        <f ca="1">S0*EXP((μ-0.5*σ*σ)*T+σ*SQRT(T)*$C3168)</f>
        <v>0.7367773669353912</v>
      </c>
      <c r="E3168" s="5">
        <f ca="1">MAX(0,CP*(D3168-K))</f>
        <v>0</v>
      </c>
      <c r="F3168" s="4">
        <f ca="1">(CP*(D3168-K)&gt;0)*1</f>
        <v>0</v>
      </c>
      <c r="H3168" s="4">
        <v>3153</v>
      </c>
      <c r="I3168" s="3">
        <v>0.66766568772639989</v>
      </c>
      <c r="J3168" s="128">
        <v>1.2413356472787786E-3</v>
      </c>
      <c r="K3168" s="128"/>
      <c r="L3168" s="128">
        <v>3.7400000000000003E-2</v>
      </c>
      <c r="O3168" s="2"/>
    </row>
    <row r="3169" spans="2:15" x14ac:dyDescent="0.2">
      <c r="B3169" s="1">
        <v>3154</v>
      </c>
      <c r="C3169" s="5">
        <f ca="1"/>
        <v>0.14536846493218827</v>
      </c>
      <c r="D3169" s="5">
        <f ca="1">S0*EXP((μ-0.5*σ*σ)*T+σ*SQRT(T)*$C3169)</f>
        <v>0.67409763279316293</v>
      </c>
      <c r="E3169" s="5">
        <f ca="1">MAX(0,CP*(D3169-K))</f>
        <v>0</v>
      </c>
      <c r="F3169" s="4">
        <f ca="1">(CP*(D3169-K)&gt;0)*1</f>
        <v>0</v>
      </c>
      <c r="H3169" s="4">
        <v>3154</v>
      </c>
      <c r="I3169" s="3">
        <v>0.66787259741378857</v>
      </c>
      <c r="J3169" s="128">
        <v>1.476683081734784E-3</v>
      </c>
      <c r="K3169" s="128"/>
      <c r="L3169" s="128">
        <v>4.1399999999999999E-2</v>
      </c>
      <c r="O3169" s="2"/>
    </row>
    <row r="3170" spans="2:15" x14ac:dyDescent="0.2">
      <c r="B3170" s="1">
        <v>3155</v>
      </c>
      <c r="C3170" s="5">
        <f ca="1"/>
        <v>0.28713946523421002</v>
      </c>
      <c r="D3170" s="5">
        <f ca="1">S0*EXP((μ-0.5*σ*σ)*T+σ*SQRT(T)*$C3170)</f>
        <v>0.68358554143813011</v>
      </c>
      <c r="E3170" s="5">
        <f ca="1">MAX(0,CP*(D3170-K))</f>
        <v>0</v>
      </c>
      <c r="F3170" s="4">
        <f ca="1">(CP*(D3170-K)&gt;0)*1</f>
        <v>0</v>
      </c>
      <c r="H3170" s="4">
        <v>3155</v>
      </c>
      <c r="I3170" s="3">
        <v>0.66775900260263366</v>
      </c>
      <c r="J3170" s="128">
        <v>1.4675360191517893E-3</v>
      </c>
      <c r="K3170" s="128"/>
      <c r="L3170" s="128">
        <v>4.3200000000000002E-2</v>
      </c>
      <c r="O3170" s="2"/>
    </row>
    <row r="3171" spans="2:15" x14ac:dyDescent="0.2">
      <c r="B3171" s="1">
        <v>3156</v>
      </c>
      <c r="C3171" s="5">
        <f ca="1"/>
        <v>2.0528011854771386</v>
      </c>
      <c r="D3171" s="5">
        <f ca="1">S0*EXP((μ-0.5*σ*σ)*T+σ*SQRT(T)*$C3171)</f>
        <v>0.81356345153890119</v>
      </c>
      <c r="E3171" s="5">
        <f ca="1">MAX(0,CP*(D3171-K))</f>
        <v>2.5363451538901183E-2</v>
      </c>
      <c r="F3171" s="4">
        <f ca="1">(CP*(D3171-K)&gt;0)*1</f>
        <v>1</v>
      </c>
      <c r="H3171" s="4">
        <v>3156</v>
      </c>
      <c r="I3171" s="3">
        <v>0.66777739162979022</v>
      </c>
      <c r="J3171" s="128">
        <v>1.3963174503625641E-3</v>
      </c>
      <c r="K3171" s="128"/>
      <c r="L3171" s="128">
        <v>4.4200000000000003E-2</v>
      </c>
      <c r="O3171" s="2"/>
    </row>
    <row r="3172" spans="2:15" x14ac:dyDescent="0.2">
      <c r="B3172" s="1">
        <v>3157</v>
      </c>
      <c r="C3172" s="5">
        <f ca="1"/>
        <v>1.5117526977627884</v>
      </c>
      <c r="D3172" s="5">
        <f ca="1">S0*EXP((μ-0.5*σ*σ)*T+σ*SQRT(T)*$C3172)</f>
        <v>0.77130456415763426</v>
      </c>
      <c r="E3172" s="5">
        <f ca="1">MAX(0,CP*(D3172-K))</f>
        <v>0</v>
      </c>
      <c r="F3172" s="4">
        <f ca="1">(CP*(D3172-K)&gt;0)*1</f>
        <v>0</v>
      </c>
      <c r="H3172" s="4">
        <v>3157</v>
      </c>
      <c r="I3172" s="3">
        <v>0.66780793353851409</v>
      </c>
      <c r="J3172" s="128">
        <v>1.5013100164677654E-3</v>
      </c>
      <c r="K3172" s="128"/>
      <c r="L3172" s="128">
        <v>4.5600000000000002E-2</v>
      </c>
      <c r="O3172" s="2"/>
    </row>
    <row r="3173" spans="2:15" x14ac:dyDescent="0.2">
      <c r="B3173" s="1">
        <v>3158</v>
      </c>
      <c r="C3173" s="5">
        <f ca="1"/>
        <v>-0.61997517363573096</v>
      </c>
      <c r="D3173" s="5">
        <f ca="1">S0*EXP((μ-0.5*σ*σ)*T+σ*SQRT(T)*$C3173)</f>
        <v>0.62510626756525556</v>
      </c>
      <c r="E3173" s="5">
        <f ca="1">MAX(0,CP*(D3173-K))</f>
        <v>0</v>
      </c>
      <c r="F3173" s="4">
        <f ca="1">(CP*(D3173-K)&gt;0)*1</f>
        <v>0</v>
      </c>
      <c r="H3173" s="4">
        <v>3158</v>
      </c>
      <c r="I3173" s="3">
        <v>0.66778026390788758</v>
      </c>
      <c r="J3173" s="128">
        <v>1.394942014477886E-3</v>
      </c>
      <c r="K3173" s="128"/>
      <c r="L3173" s="128">
        <v>4.1399999999999999E-2</v>
      </c>
      <c r="O3173" s="2"/>
    </row>
    <row r="3174" spans="2:15" x14ac:dyDescent="0.2">
      <c r="B3174" s="1">
        <v>3159</v>
      </c>
      <c r="C3174" s="5">
        <f ca="1"/>
        <v>-1.5343262930017385</v>
      </c>
      <c r="D3174" s="5">
        <f ca="1">S0*EXP((μ-0.5*σ*σ)*T+σ*SQRT(T)*$C3174)</f>
        <v>0.57122209961137094</v>
      </c>
      <c r="E3174" s="5">
        <f ca="1">MAX(0,CP*(D3174-K))</f>
        <v>0</v>
      </c>
      <c r="F3174" s="4">
        <f ca="1">(CP*(D3174-K)&gt;0)*1</f>
        <v>0</v>
      </c>
      <c r="H3174" s="4">
        <v>3159</v>
      </c>
      <c r="I3174" s="3">
        <v>0.66771296102171895</v>
      </c>
      <c r="J3174" s="128">
        <v>1.3147201948757947E-3</v>
      </c>
      <c r="K3174" s="128"/>
      <c r="L3174" s="128">
        <v>4.0599999999999997E-2</v>
      </c>
      <c r="O3174" s="2"/>
    </row>
    <row r="3175" spans="2:15" x14ac:dyDescent="0.2">
      <c r="B3175" s="1">
        <v>3160</v>
      </c>
      <c r="C3175" s="5">
        <f ca="1"/>
        <v>-0.76887449199435642</v>
      </c>
      <c r="D3175" s="5">
        <f ca="1">S0*EXP((μ-0.5*σ*σ)*T+σ*SQRT(T)*$C3175)</f>
        <v>0.61599697717882462</v>
      </c>
      <c r="E3175" s="5">
        <f ca="1">MAX(0,CP*(D3175-K))</f>
        <v>0</v>
      </c>
      <c r="F3175" s="4">
        <f ca="1">(CP*(D3175-K)&gt;0)*1</f>
        <v>0</v>
      </c>
      <c r="H3175" s="4">
        <v>3160</v>
      </c>
      <c r="I3175" s="3">
        <v>0.66766853074280608</v>
      </c>
      <c r="J3175" s="128">
        <v>1.3729713653293991E-3</v>
      </c>
      <c r="K3175" s="128"/>
      <c r="L3175" s="128">
        <v>4.1000000000000002E-2</v>
      </c>
      <c r="O3175" s="2"/>
    </row>
    <row r="3176" spans="2:15" x14ac:dyDescent="0.2">
      <c r="B3176" s="1">
        <v>3161</v>
      </c>
      <c r="C3176" s="5">
        <f ca="1"/>
        <v>0.86290127526039917</v>
      </c>
      <c r="D3176" s="5">
        <f ca="1">S0*EXP((μ-0.5*σ*σ)*T+σ*SQRT(T)*$C3176)</f>
        <v>0.72351024074772519</v>
      </c>
      <c r="E3176" s="5">
        <f ca="1">MAX(0,CP*(D3176-K))</f>
        <v>0</v>
      </c>
      <c r="F3176" s="4">
        <f ca="1">(CP*(D3176-K)&gt;0)*1</f>
        <v>0</v>
      </c>
      <c r="H3176" s="4">
        <v>3161</v>
      </c>
      <c r="I3176" s="3">
        <v>0.66785386594827356</v>
      </c>
      <c r="J3176" s="128">
        <v>1.5104994525261899E-3</v>
      </c>
      <c r="K3176" s="128"/>
      <c r="L3176" s="128">
        <v>4.4400000000000002E-2</v>
      </c>
      <c r="O3176" s="2"/>
    </row>
    <row r="3177" spans="2:15" x14ac:dyDescent="0.2">
      <c r="B3177" s="1">
        <v>3162</v>
      </c>
      <c r="C3177" s="5">
        <f ca="1"/>
        <v>-0.67001783992615327</v>
      </c>
      <c r="D3177" s="5">
        <f ca="1">S0*EXP((μ-0.5*σ*σ)*T+σ*SQRT(T)*$C3177)</f>
        <v>0.622029850993712</v>
      </c>
      <c r="E3177" s="5">
        <f ca="1">MAX(0,CP*(D3177-K))</f>
        <v>0</v>
      </c>
      <c r="F3177" s="4">
        <f ca="1">(CP*(D3177-K)&gt;0)*1</f>
        <v>0</v>
      </c>
      <c r="H3177" s="4">
        <v>3162</v>
      </c>
      <c r="I3177" s="3">
        <v>0.66765885956248006</v>
      </c>
      <c r="J3177" s="128">
        <v>1.2961137449976079E-3</v>
      </c>
      <c r="K3177" s="128"/>
      <c r="L3177" s="128">
        <v>4.1000000000000002E-2</v>
      </c>
      <c r="O3177" s="2"/>
    </row>
    <row r="3178" spans="2:15" x14ac:dyDescent="0.2">
      <c r="B3178" s="1">
        <v>3163</v>
      </c>
      <c r="C3178" s="5">
        <f ca="1"/>
        <v>1.1479911097508744</v>
      </c>
      <c r="D3178" s="5">
        <f ca="1">S0*EXP((μ-0.5*σ*σ)*T+σ*SQRT(T)*$C3178)</f>
        <v>0.7441338956091732</v>
      </c>
      <c r="E3178" s="5">
        <f ca="1">MAX(0,CP*(D3178-K))</f>
        <v>0</v>
      </c>
      <c r="F3178" s="4">
        <f ca="1">(CP*(D3178-K)&gt;0)*1</f>
        <v>0</v>
      </c>
      <c r="H3178" s="4">
        <v>3163</v>
      </c>
      <c r="I3178" s="3">
        <v>0.66773322179834327</v>
      </c>
      <c r="J3178" s="128">
        <v>1.3402903201907401E-3</v>
      </c>
      <c r="K3178" s="128"/>
      <c r="L3178" s="128">
        <v>4.02E-2</v>
      </c>
      <c r="O3178" s="2"/>
    </row>
    <row r="3179" spans="2:15" x14ac:dyDescent="0.2">
      <c r="B3179" s="1">
        <v>3164</v>
      </c>
      <c r="C3179" s="5">
        <f ca="1"/>
        <v>-0.52707617514800331</v>
      </c>
      <c r="D3179" s="5">
        <f ca="1">S0*EXP((μ-0.5*σ*σ)*T+σ*SQRT(T)*$C3179)</f>
        <v>0.63085771169409954</v>
      </c>
      <c r="E3179" s="5">
        <f ca="1">MAX(0,CP*(D3179-K))</f>
        <v>0</v>
      </c>
      <c r="F3179" s="4">
        <f ca="1">(CP*(D3179-K)&gt;0)*1</f>
        <v>0</v>
      </c>
      <c r="H3179" s="4">
        <v>3164</v>
      </c>
      <c r="I3179" s="3">
        <v>0.66768599874652224</v>
      </c>
      <c r="J3179" s="128">
        <v>1.3019523783932979E-3</v>
      </c>
      <c r="K3179" s="128"/>
      <c r="L3179" s="128">
        <v>3.6400000000000002E-2</v>
      </c>
      <c r="O3179" s="2"/>
    </row>
    <row r="3180" spans="2:15" x14ac:dyDescent="0.2">
      <c r="B3180" s="1">
        <v>3165</v>
      </c>
      <c r="C3180" s="5">
        <f ca="1"/>
        <v>0.9620718070946026</v>
      </c>
      <c r="D3180" s="5">
        <f ca="1">S0*EXP((μ-0.5*σ*σ)*T+σ*SQRT(T)*$C3180)</f>
        <v>0.73061867281926673</v>
      </c>
      <c r="E3180" s="5">
        <f ca="1">MAX(0,CP*(D3180-K))</f>
        <v>0</v>
      </c>
      <c r="F3180" s="4">
        <f ca="1">(CP*(D3180-K)&gt;0)*1</f>
        <v>0</v>
      </c>
      <c r="H3180" s="4">
        <v>3165</v>
      </c>
      <c r="I3180" s="3">
        <v>0.66784184573021599</v>
      </c>
      <c r="J3180" s="128">
        <v>1.5203885472363482E-3</v>
      </c>
      <c r="K3180" s="128"/>
      <c r="L3180" s="128">
        <v>4.4400000000000002E-2</v>
      </c>
      <c r="O3180" s="2"/>
    </row>
    <row r="3181" spans="2:15" x14ac:dyDescent="0.2">
      <c r="B3181" s="1">
        <v>3166</v>
      </c>
      <c r="C3181" s="5">
        <f ca="1"/>
        <v>-1.2655063154384183</v>
      </c>
      <c r="D3181" s="5">
        <f ca="1">S0*EXP((μ-0.5*σ*σ)*T+σ*SQRT(T)*$C3181)</f>
        <v>0.58656317730191132</v>
      </c>
      <c r="E3181" s="5">
        <f ca="1">MAX(0,CP*(D3181-K))</f>
        <v>0</v>
      </c>
      <c r="F3181" s="4">
        <f ca="1">(CP*(D3181-K)&gt;0)*1</f>
        <v>0</v>
      </c>
      <c r="H3181" s="4">
        <v>3166</v>
      </c>
      <c r="I3181" s="3">
        <v>0.66777552976909871</v>
      </c>
      <c r="J3181" s="128">
        <v>1.334740996345713E-3</v>
      </c>
      <c r="K3181" s="128"/>
      <c r="L3181" s="128">
        <v>4.2000000000000003E-2</v>
      </c>
      <c r="O3181" s="2"/>
    </row>
    <row r="3182" spans="2:15" x14ac:dyDescent="0.2">
      <c r="B3182" s="1">
        <v>3167</v>
      </c>
      <c r="C3182" s="5">
        <f ca="1"/>
        <v>5.5048324547859226E-2</v>
      </c>
      <c r="D3182" s="5">
        <f ca="1">S0*EXP((μ-0.5*σ*σ)*T+σ*SQRT(T)*$C3182)</f>
        <v>0.66812181994055631</v>
      </c>
      <c r="E3182" s="5">
        <f ca="1">MAX(0,CP*(D3182-K))</f>
        <v>0</v>
      </c>
      <c r="F3182" s="4">
        <f ca="1">(CP*(D3182-K)&gt;0)*1</f>
        <v>0</v>
      </c>
      <c r="H3182" s="4">
        <v>3167</v>
      </c>
      <c r="I3182" s="3">
        <v>0.66770674234115901</v>
      </c>
      <c r="J3182" s="128">
        <v>1.2546241308975556E-3</v>
      </c>
      <c r="K3182" s="128"/>
      <c r="L3182" s="128">
        <v>3.9199999999999999E-2</v>
      </c>
      <c r="O3182" s="2"/>
    </row>
    <row r="3183" spans="2:15" x14ac:dyDescent="0.2">
      <c r="B3183" s="1">
        <v>3168</v>
      </c>
      <c r="C3183" s="5">
        <f ca="1"/>
        <v>-0.62693683022119873</v>
      </c>
      <c r="D3183" s="5">
        <f ca="1">S0*EXP((μ-0.5*σ*σ)*T+σ*SQRT(T)*$C3183)</f>
        <v>0.62467738425795349</v>
      </c>
      <c r="E3183" s="5">
        <f ca="1">MAX(0,CP*(D3183-K))</f>
        <v>0</v>
      </c>
      <c r="F3183" s="4">
        <f ca="1">(CP*(D3183-K)&gt;0)*1</f>
        <v>0</v>
      </c>
      <c r="H3183" s="4">
        <v>3168</v>
      </c>
      <c r="I3183" s="3">
        <v>0.66757669919636409</v>
      </c>
      <c r="J3183" s="128">
        <v>1.2033320142208997E-3</v>
      </c>
      <c r="K3183" s="128"/>
      <c r="L3183" s="128">
        <v>3.9E-2</v>
      </c>
      <c r="O3183" s="2"/>
    </row>
    <row r="3184" spans="2:15" x14ac:dyDescent="0.2">
      <c r="B3184" s="1">
        <v>3169</v>
      </c>
      <c r="C3184" s="5">
        <f ca="1"/>
        <v>-0.61136812964499043</v>
      </c>
      <c r="D3184" s="5">
        <f ca="1">S0*EXP((μ-0.5*σ*σ)*T+σ*SQRT(T)*$C3184)</f>
        <v>0.62563692453064412</v>
      </c>
      <c r="E3184" s="5">
        <f ca="1">MAX(0,CP*(D3184-K))</f>
        <v>0</v>
      </c>
      <c r="F3184" s="4">
        <f ca="1">(CP*(D3184-K)&gt;0)*1</f>
        <v>0</v>
      </c>
      <c r="H3184" s="4">
        <v>3169</v>
      </c>
      <c r="I3184" s="3">
        <v>0.66776673385534013</v>
      </c>
      <c r="J3184" s="128">
        <v>1.4311411671297132E-3</v>
      </c>
      <c r="K3184" s="128"/>
      <c r="L3184" s="128">
        <v>4.2999999999999997E-2</v>
      </c>
      <c r="O3184" s="2"/>
    </row>
    <row r="3185" spans="2:15" x14ac:dyDescent="0.2">
      <c r="B3185" s="1">
        <v>3170</v>
      </c>
      <c r="C3185" s="5">
        <f ca="1"/>
        <v>0.32578832950111225</v>
      </c>
      <c r="D3185" s="5">
        <f ca="1">S0*EXP((μ-0.5*σ*σ)*T+σ*SQRT(T)*$C3185)</f>
        <v>0.68619517171670386</v>
      </c>
      <c r="E3185" s="5">
        <f ca="1">MAX(0,CP*(D3185-K))</f>
        <v>0</v>
      </c>
      <c r="F3185" s="4">
        <f ca="1">(CP*(D3185-K)&gt;0)*1</f>
        <v>0</v>
      </c>
      <c r="H3185" s="4">
        <v>3170</v>
      </c>
      <c r="I3185" s="3">
        <v>0.66779802561735291</v>
      </c>
      <c r="J3185" s="128">
        <v>1.4948992243953643E-3</v>
      </c>
      <c r="K3185" s="128"/>
      <c r="L3185" s="128">
        <v>4.3999999999999997E-2</v>
      </c>
      <c r="O3185" s="2"/>
    </row>
    <row r="3186" spans="2:15" x14ac:dyDescent="0.2">
      <c r="B3186" s="1">
        <v>3171</v>
      </c>
      <c r="C3186" s="5">
        <f ca="1"/>
        <v>-0.22219779959324626</v>
      </c>
      <c r="D3186" s="5">
        <f ca="1">S0*EXP((μ-0.5*σ*σ)*T+σ*SQRT(T)*$C3186)</f>
        <v>0.65010736632813815</v>
      </c>
      <c r="E3186" s="5">
        <f ca="1">MAX(0,CP*(D3186-K))</f>
        <v>0</v>
      </c>
      <c r="F3186" s="4">
        <f ca="1">(CP*(D3186-K)&gt;0)*1</f>
        <v>0</v>
      </c>
      <c r="H3186" s="4">
        <v>3171</v>
      </c>
      <c r="I3186" s="3">
        <v>0.6677584950799329</v>
      </c>
      <c r="J3186" s="128">
        <v>1.3800172259863805E-3</v>
      </c>
      <c r="K3186" s="128"/>
      <c r="L3186" s="128">
        <v>4.36E-2</v>
      </c>
      <c r="O3186" s="2"/>
    </row>
    <row r="3187" spans="2:15" x14ac:dyDescent="0.2">
      <c r="B3187" s="1">
        <v>3172</v>
      </c>
      <c r="C3187" s="5">
        <f ca="1"/>
        <v>0.75158642696709088</v>
      </c>
      <c r="D3187" s="5">
        <f ca="1">S0*EXP((μ-0.5*σ*σ)*T+σ*SQRT(T)*$C3187)</f>
        <v>0.71561366777072211</v>
      </c>
      <c r="E3187" s="5">
        <f ca="1">MAX(0,CP*(D3187-K))</f>
        <v>0</v>
      </c>
      <c r="F3187" s="4">
        <f ca="1">(CP*(D3187-K)&gt;0)*1</f>
        <v>0</v>
      </c>
      <c r="H3187" s="4">
        <v>3172</v>
      </c>
      <c r="I3187" s="3">
        <v>0.66771506688255522</v>
      </c>
      <c r="J3187" s="128">
        <v>1.3220849989548482E-3</v>
      </c>
      <c r="K3187" s="128"/>
      <c r="L3187" s="128">
        <v>3.78E-2</v>
      </c>
      <c r="O3187" s="2"/>
    </row>
    <row r="3188" spans="2:15" x14ac:dyDescent="0.2">
      <c r="B3188" s="1">
        <v>3173</v>
      </c>
      <c r="C3188" s="5">
        <f ca="1"/>
        <v>-0.37783031943736911</v>
      </c>
      <c r="D3188" s="5">
        <f ca="1">S0*EXP((μ-0.5*σ*σ)*T+σ*SQRT(T)*$C3188)</f>
        <v>0.64020863273177164</v>
      </c>
      <c r="E3188" s="5">
        <f ca="1">MAX(0,CP*(D3188-K))</f>
        <v>0</v>
      </c>
      <c r="F3188" s="4">
        <f ca="1">(CP*(D3188-K)&gt;0)*1</f>
        <v>0</v>
      </c>
      <c r="H3188" s="4">
        <v>3173</v>
      </c>
      <c r="I3188" s="3">
        <v>0.66781881176696545</v>
      </c>
      <c r="J3188" s="128">
        <v>1.3296089263424005E-3</v>
      </c>
      <c r="K3188" s="128"/>
      <c r="L3188" s="128">
        <v>4.1200000000000001E-2</v>
      </c>
      <c r="O3188" s="2"/>
    </row>
    <row r="3189" spans="2:15" x14ac:dyDescent="0.2">
      <c r="B3189" s="1">
        <v>3174</v>
      </c>
      <c r="C3189" s="5">
        <f ca="1"/>
        <v>-5.9715712301380126E-2</v>
      </c>
      <c r="D3189" s="5">
        <f ca="1">S0*EXP((μ-0.5*σ*σ)*T+σ*SQRT(T)*$C3189)</f>
        <v>0.66060509530901546</v>
      </c>
      <c r="E3189" s="5">
        <f ca="1">MAX(0,CP*(D3189-K))</f>
        <v>0</v>
      </c>
      <c r="F3189" s="4">
        <f ca="1">(CP*(D3189-K)&gt;0)*1</f>
        <v>0</v>
      </c>
      <c r="H3189" s="4">
        <v>3174</v>
      </c>
      <c r="I3189" s="3">
        <v>0.66772896423241501</v>
      </c>
      <c r="J3189" s="128">
        <v>1.4059832775865219E-3</v>
      </c>
      <c r="K3189" s="128"/>
      <c r="L3189" s="128">
        <v>4.2000000000000003E-2</v>
      </c>
      <c r="O3189" s="2"/>
    </row>
    <row r="3190" spans="2:15" x14ac:dyDescent="0.2">
      <c r="B3190" s="1">
        <v>3175</v>
      </c>
      <c r="C3190" s="5">
        <f ca="1"/>
        <v>-1.6725344180171884</v>
      </c>
      <c r="D3190" s="5">
        <f ca="1">S0*EXP((μ-0.5*σ*σ)*T+σ*SQRT(T)*$C3190)</f>
        <v>0.5634916474421342</v>
      </c>
      <c r="E3190" s="5">
        <f ca="1">MAX(0,CP*(D3190-K))</f>
        <v>0</v>
      </c>
      <c r="F3190" s="4">
        <f ca="1">(CP*(D3190-K)&gt;0)*1</f>
        <v>0</v>
      </c>
      <c r="H3190" s="4">
        <v>3175</v>
      </c>
      <c r="I3190" s="3">
        <v>0.66792815861733212</v>
      </c>
      <c r="J3190" s="128">
        <v>1.5489871510945615E-3</v>
      </c>
      <c r="K3190" s="128"/>
      <c r="L3190" s="128">
        <v>4.5199999999999997E-2</v>
      </c>
      <c r="O3190" s="2"/>
    </row>
    <row r="3191" spans="2:15" x14ac:dyDescent="0.2">
      <c r="B3191" s="1">
        <v>3176</v>
      </c>
      <c r="C3191" s="5">
        <f ca="1"/>
        <v>0.25620600199533372</v>
      </c>
      <c r="D3191" s="5">
        <f ca="1">S0*EXP((μ-0.5*σ*σ)*T+σ*SQRT(T)*$C3191)</f>
        <v>0.68150401908513591</v>
      </c>
      <c r="E3191" s="5">
        <f ca="1">MAX(0,CP*(D3191-K))</f>
        <v>0</v>
      </c>
      <c r="F3191" s="4">
        <f ca="1">(CP*(D3191-K)&gt;0)*1</f>
        <v>0</v>
      </c>
      <c r="H3191" s="4">
        <v>3176</v>
      </c>
      <c r="I3191" s="3">
        <v>0.66755943991080857</v>
      </c>
      <c r="J3191" s="128">
        <v>1.3042708368298263E-3</v>
      </c>
      <c r="K3191" s="128"/>
      <c r="L3191" s="128">
        <v>4.1599999999999998E-2</v>
      </c>
      <c r="O3191" s="2"/>
    </row>
    <row r="3192" spans="2:15" x14ac:dyDescent="0.2">
      <c r="B3192" s="1">
        <v>3177</v>
      </c>
      <c r="C3192" s="5">
        <f ca="1"/>
        <v>-1.6041611900506787</v>
      </c>
      <c r="D3192" s="5">
        <f ca="1">S0*EXP((μ-0.5*σ*σ)*T+σ*SQRT(T)*$C3192)</f>
        <v>0.56730283080026689</v>
      </c>
      <c r="E3192" s="5">
        <f ca="1">MAX(0,CP*(D3192-K))</f>
        <v>0</v>
      </c>
      <c r="F3192" s="4">
        <f ca="1">(CP*(D3192-K)&gt;0)*1</f>
        <v>0</v>
      </c>
      <c r="H3192" s="4">
        <v>3177</v>
      </c>
      <c r="I3192" s="3">
        <v>0.66763513094242843</v>
      </c>
      <c r="J3192" s="128">
        <v>1.2460148706973965E-3</v>
      </c>
      <c r="K3192" s="128"/>
      <c r="L3192" s="128">
        <v>3.7199999999999997E-2</v>
      </c>
      <c r="O3192" s="2"/>
    </row>
    <row r="3193" spans="2:15" x14ac:dyDescent="0.2">
      <c r="B3193" s="1">
        <v>3178</v>
      </c>
      <c r="C3193" s="5">
        <f ca="1"/>
        <v>-0.72260263665276736</v>
      </c>
      <c r="D3193" s="5">
        <f ca="1">S0*EXP((μ-0.5*σ*σ)*T+σ*SQRT(T)*$C3193)</f>
        <v>0.61881346695713801</v>
      </c>
      <c r="E3193" s="5">
        <f ca="1">MAX(0,CP*(D3193-K))</f>
        <v>0</v>
      </c>
      <c r="F3193" s="4">
        <f ca="1">(CP*(D3193-K)&gt;0)*1</f>
        <v>0</v>
      </c>
      <c r="H3193" s="4">
        <v>3178</v>
      </c>
      <c r="I3193" s="3">
        <v>0.66764195544532334</v>
      </c>
      <c r="J3193" s="128">
        <v>1.2516158717326583E-3</v>
      </c>
      <c r="K3193" s="128"/>
      <c r="L3193" s="128">
        <v>3.9399999999999998E-2</v>
      </c>
      <c r="O3193" s="2"/>
    </row>
    <row r="3194" spans="2:15" x14ac:dyDescent="0.2">
      <c r="B3194" s="1">
        <v>3179</v>
      </c>
      <c r="C3194" s="5">
        <f ca="1"/>
        <v>0.14521933918372473</v>
      </c>
      <c r="D3194" s="5">
        <f ca="1">S0*EXP((μ-0.5*σ*σ)*T+σ*SQRT(T)*$C3194)</f>
        <v>0.67408772232965952</v>
      </c>
      <c r="E3194" s="5">
        <f ca="1">MAX(0,CP*(D3194-K))</f>
        <v>0</v>
      </c>
      <c r="F3194" s="4">
        <f ca="1">(CP*(D3194-K)&gt;0)*1</f>
        <v>0</v>
      </c>
      <c r="H3194" s="4">
        <v>3179</v>
      </c>
      <c r="I3194" s="3">
        <v>0.66768056976229129</v>
      </c>
      <c r="J3194" s="128">
        <v>1.1979002726673401E-3</v>
      </c>
      <c r="K3194" s="128"/>
      <c r="L3194" s="128">
        <v>3.9600000000000003E-2</v>
      </c>
      <c r="O3194" s="2"/>
    </row>
    <row r="3195" spans="2:15" x14ac:dyDescent="0.2">
      <c r="B3195" s="1">
        <v>3180</v>
      </c>
      <c r="C3195" s="5">
        <f ca="1"/>
        <v>3.6034117302060728E-2</v>
      </c>
      <c r="D3195" s="5">
        <f ca="1">S0*EXP((μ-0.5*σ*σ)*T+σ*SQRT(T)*$C3195)</f>
        <v>0.66687055692881214</v>
      </c>
      <c r="E3195" s="5">
        <f ca="1">MAX(0,CP*(D3195-K))</f>
        <v>0</v>
      </c>
      <c r="F3195" s="4">
        <f ca="1">(CP*(D3195-K)&gt;0)*1</f>
        <v>0</v>
      </c>
      <c r="H3195" s="4">
        <v>3180</v>
      </c>
      <c r="I3195" s="3">
        <v>0.66794155658082832</v>
      </c>
      <c r="J3195" s="128">
        <v>1.68809714737021E-3</v>
      </c>
      <c r="K3195" s="128"/>
      <c r="L3195" s="128">
        <v>4.48E-2</v>
      </c>
      <c r="O3195" s="2"/>
    </row>
    <row r="3196" spans="2:15" x14ac:dyDescent="0.2">
      <c r="B3196" s="1">
        <v>3181</v>
      </c>
      <c r="C3196" s="5">
        <f ca="1"/>
        <v>-0.27747257948885307</v>
      </c>
      <c r="D3196" s="5">
        <f ca="1">S0*EXP((μ-0.5*σ*σ)*T+σ*SQRT(T)*$C3196)</f>
        <v>0.64657430607080268</v>
      </c>
      <c r="E3196" s="5">
        <f ca="1">MAX(0,CP*(D3196-K))</f>
        <v>0</v>
      </c>
      <c r="F3196" s="4">
        <f ca="1">(CP*(D3196-K)&gt;0)*1</f>
        <v>0</v>
      </c>
      <c r="H3196" s="4">
        <v>3181</v>
      </c>
      <c r="I3196" s="3">
        <v>0.66762689090555449</v>
      </c>
      <c r="J3196" s="128">
        <v>1.2900231247513216E-3</v>
      </c>
      <c r="K3196" s="128"/>
      <c r="L3196" s="128">
        <v>4.3400000000000001E-2</v>
      </c>
      <c r="O3196" s="2"/>
    </row>
    <row r="3197" spans="2:15" x14ac:dyDescent="0.2">
      <c r="B3197" s="1">
        <v>3182</v>
      </c>
      <c r="C3197" s="5">
        <f ca="1"/>
        <v>0.40839517577686035</v>
      </c>
      <c r="D3197" s="5">
        <f ca="1">S0*EXP((μ-0.5*σ*σ)*T+σ*SQRT(T)*$C3197)</f>
        <v>0.69180636292329745</v>
      </c>
      <c r="E3197" s="5">
        <f ca="1">MAX(0,CP*(D3197-K))</f>
        <v>0</v>
      </c>
      <c r="F3197" s="4">
        <f ca="1">(CP*(D3197-K)&gt;0)*1</f>
        <v>0</v>
      </c>
      <c r="H3197" s="4">
        <v>3182</v>
      </c>
      <c r="I3197" s="3">
        <v>0.66765871676338462</v>
      </c>
      <c r="J3197" s="128">
        <v>1.2105472199298692E-3</v>
      </c>
      <c r="K3197" s="128"/>
      <c r="L3197" s="128">
        <v>3.9399999999999998E-2</v>
      </c>
      <c r="O3197" s="2"/>
    </row>
    <row r="3198" spans="2:15" x14ac:dyDescent="0.2">
      <c r="B3198" s="1">
        <v>3183</v>
      </c>
      <c r="C3198" s="5">
        <f ca="1"/>
        <v>-1.4547852051860122</v>
      </c>
      <c r="D3198" s="5">
        <f ca="1">S0*EXP((μ-0.5*σ*σ)*T+σ*SQRT(T)*$C3198)</f>
        <v>0.57571909224378792</v>
      </c>
      <c r="E3198" s="5">
        <f ca="1">MAX(0,CP*(D3198-K))</f>
        <v>0</v>
      </c>
      <c r="F3198" s="4">
        <f ca="1">(CP*(D3198-K)&gt;0)*1</f>
        <v>0</v>
      </c>
      <c r="H3198" s="4">
        <v>3183</v>
      </c>
      <c r="I3198" s="3">
        <v>0.66773498327523684</v>
      </c>
      <c r="J3198" s="128">
        <v>1.3247006823155004E-3</v>
      </c>
      <c r="K3198" s="128"/>
      <c r="L3198" s="128">
        <v>4.3799999999999999E-2</v>
      </c>
      <c r="O3198" s="2"/>
    </row>
    <row r="3199" spans="2:15" x14ac:dyDescent="0.2">
      <c r="B3199" s="1">
        <v>3184</v>
      </c>
      <c r="C3199" s="5">
        <f ca="1"/>
        <v>3.3881109192100529E-2</v>
      </c>
      <c r="D3199" s="5">
        <f ca="1">S0*EXP((μ-0.5*σ*σ)*T+σ*SQRT(T)*$C3199)</f>
        <v>0.66672902225812347</v>
      </c>
      <c r="E3199" s="5">
        <f ca="1">MAX(0,CP*(D3199-K))</f>
        <v>0</v>
      </c>
      <c r="F3199" s="4">
        <f ca="1">(CP*(D3199-K)&gt;0)*1</f>
        <v>0</v>
      </c>
      <c r="H3199" s="4">
        <v>3184</v>
      </c>
      <c r="I3199" s="3">
        <v>0.66767147623188983</v>
      </c>
      <c r="J3199" s="128">
        <v>1.2767617851131617E-3</v>
      </c>
      <c r="K3199" s="128"/>
      <c r="L3199" s="128">
        <v>4.1799999999999997E-2</v>
      </c>
      <c r="O3199" s="2"/>
    </row>
    <row r="3200" spans="2:15" x14ac:dyDescent="0.2">
      <c r="B3200" s="1">
        <v>3185</v>
      </c>
      <c r="C3200" s="5">
        <f ca="1"/>
        <v>-2.4326542246317827E-2</v>
      </c>
      <c r="D3200" s="5">
        <f ca="1">S0*EXP((μ-0.5*σ*σ)*T+σ*SQRT(T)*$C3200)</f>
        <v>0.66291392473518396</v>
      </c>
      <c r="E3200" s="5">
        <f ca="1">MAX(0,CP*(D3200-K))</f>
        <v>0</v>
      </c>
      <c r="F3200" s="4">
        <f ca="1">(CP*(D3200-K)&gt;0)*1</f>
        <v>0</v>
      </c>
      <c r="H3200" s="4">
        <v>3185</v>
      </c>
      <c r="I3200" s="3">
        <v>0.66763497476007505</v>
      </c>
      <c r="J3200" s="128">
        <v>1.2859630064831595E-3</v>
      </c>
      <c r="K3200" s="128"/>
      <c r="L3200" s="128">
        <v>3.7199999999999997E-2</v>
      </c>
      <c r="O3200" s="2"/>
    </row>
    <row r="3201" spans="2:15" x14ac:dyDescent="0.2">
      <c r="B3201" s="1">
        <v>3186</v>
      </c>
      <c r="C3201" s="5">
        <f ca="1"/>
        <v>-1.3504673795512883</v>
      </c>
      <c r="D3201" s="5">
        <f ca="1">S0*EXP((μ-0.5*σ*σ)*T+σ*SQRT(T)*$C3201)</f>
        <v>0.58167058663106952</v>
      </c>
      <c r="E3201" s="5">
        <f ca="1">MAX(0,CP*(D3201-K))</f>
        <v>0</v>
      </c>
      <c r="F3201" s="4">
        <f ca="1">(CP*(D3201-K)&gt;0)*1</f>
        <v>0</v>
      </c>
      <c r="H3201" s="4">
        <v>3186</v>
      </c>
      <c r="I3201" s="3">
        <v>0.66776454154600029</v>
      </c>
      <c r="J3201" s="128">
        <v>1.3635055504567064E-3</v>
      </c>
      <c r="K3201" s="128"/>
      <c r="L3201" s="128">
        <v>4.3400000000000001E-2</v>
      </c>
      <c r="O3201" s="2"/>
    </row>
    <row r="3202" spans="2:15" x14ac:dyDescent="0.2">
      <c r="B3202" s="1">
        <v>3187</v>
      </c>
      <c r="C3202" s="5">
        <f ca="1"/>
        <v>2.8826741969027356</v>
      </c>
      <c r="D3202" s="5">
        <f ca="1">S0*EXP((μ-0.5*σ*σ)*T+σ*SQRT(T)*$C3202)</f>
        <v>0.88292389011233563</v>
      </c>
      <c r="E3202" s="5">
        <f ca="1">MAX(0,CP*(D3202-K))</f>
        <v>9.4723890112335618E-2</v>
      </c>
      <c r="F3202" s="4">
        <f ca="1">(CP*(D3202-K)&gt;0)*1</f>
        <v>1</v>
      </c>
      <c r="H3202" s="4">
        <v>3187</v>
      </c>
      <c r="I3202" s="3">
        <v>0.66768288798472564</v>
      </c>
      <c r="J3202" s="128">
        <v>1.2604260051634272E-3</v>
      </c>
      <c r="K3202" s="128"/>
      <c r="L3202" s="128">
        <v>4.0399999999999998E-2</v>
      </c>
      <c r="O3202" s="2"/>
    </row>
    <row r="3203" spans="2:15" x14ac:dyDescent="0.2">
      <c r="B3203" s="1">
        <v>3188</v>
      </c>
      <c r="C3203" s="5">
        <f ca="1"/>
        <v>-0.40780503084184838</v>
      </c>
      <c r="D3203" s="5">
        <f ca="1">S0*EXP((μ-0.5*σ*σ)*T+σ*SQRT(T)*$C3203)</f>
        <v>0.63831952503947142</v>
      </c>
      <c r="E3203" s="5">
        <f ca="1">MAX(0,CP*(D3203-K))</f>
        <v>0</v>
      </c>
      <c r="F3203" s="4">
        <f ca="1">(CP*(D3203-K)&gt;0)*1</f>
        <v>0</v>
      </c>
      <c r="H3203" s="4">
        <v>3188</v>
      </c>
      <c r="I3203" s="3">
        <v>0.66768989413671898</v>
      </c>
      <c r="J3203" s="128">
        <v>1.3341680132878681E-3</v>
      </c>
      <c r="K3203" s="128"/>
      <c r="L3203" s="128">
        <v>4.0599999999999997E-2</v>
      </c>
      <c r="O3203" s="2"/>
    </row>
    <row r="3204" spans="2:15" x14ac:dyDescent="0.2">
      <c r="B3204" s="1">
        <v>3189</v>
      </c>
      <c r="C3204" s="5">
        <f ca="1"/>
        <v>-0.55975765724205506</v>
      </c>
      <c r="D3204" s="5">
        <f ca="1">S0*EXP((μ-0.5*σ*σ)*T+σ*SQRT(T)*$C3204)</f>
        <v>0.62882836885642746</v>
      </c>
      <c r="E3204" s="5">
        <f ca="1">MAX(0,CP*(D3204-K))</f>
        <v>0</v>
      </c>
      <c r="F3204" s="4">
        <f ca="1">(CP*(D3204-K)&gt;0)*1</f>
        <v>0</v>
      </c>
      <c r="H3204" s="4">
        <v>3189</v>
      </c>
      <c r="I3204" s="3">
        <v>0.66768133167952315</v>
      </c>
      <c r="J3204" s="128">
        <v>1.2967356070566947E-3</v>
      </c>
      <c r="K3204" s="128"/>
      <c r="L3204" s="128">
        <v>3.9E-2</v>
      </c>
      <c r="O3204" s="2"/>
    </row>
    <row r="3205" spans="2:15" x14ac:dyDescent="0.2">
      <c r="B3205" s="1">
        <v>3190</v>
      </c>
      <c r="C3205" s="5">
        <f ca="1"/>
        <v>0.39801653415673488</v>
      </c>
      <c r="D3205" s="5">
        <f ca="1">S0*EXP((μ-0.5*σ*σ)*T+σ*SQRT(T)*$C3205)</f>
        <v>0.69109886589260561</v>
      </c>
      <c r="E3205" s="5">
        <f ca="1">MAX(0,CP*(D3205-K))</f>
        <v>0</v>
      </c>
      <c r="F3205" s="4">
        <f ca="1">(CP*(D3205-K)&gt;0)*1</f>
        <v>0</v>
      </c>
      <c r="H3205" s="4">
        <v>3190</v>
      </c>
      <c r="I3205" s="3">
        <v>0.66784681934509471</v>
      </c>
      <c r="J3205" s="128">
        <v>1.472751242479005E-3</v>
      </c>
      <c r="K3205" s="128"/>
      <c r="L3205" s="128">
        <v>4.2999999999999997E-2</v>
      </c>
      <c r="O3205" s="2"/>
    </row>
    <row r="3206" spans="2:15" x14ac:dyDescent="0.2">
      <c r="B3206" s="1">
        <v>3191</v>
      </c>
      <c r="C3206" s="5">
        <f ca="1"/>
        <v>-0.47569077264296122</v>
      </c>
      <c r="D3206" s="5">
        <f ca="1">S0*EXP((μ-0.5*σ*σ)*T+σ*SQRT(T)*$C3206)</f>
        <v>0.63406171844539883</v>
      </c>
      <c r="E3206" s="5">
        <f ca="1">MAX(0,CP*(D3206-K))</f>
        <v>0</v>
      </c>
      <c r="F3206" s="4">
        <f ca="1">(CP*(D3206-K)&gt;0)*1</f>
        <v>0</v>
      </c>
      <c r="H3206" s="4">
        <v>3191</v>
      </c>
      <c r="I3206" s="3">
        <v>0.66763493727874668</v>
      </c>
      <c r="J3206" s="128">
        <v>1.2070038180564948E-3</v>
      </c>
      <c r="K3206" s="128"/>
      <c r="L3206" s="128">
        <v>3.9399999999999998E-2</v>
      </c>
      <c r="O3206" s="2"/>
    </row>
    <row r="3207" spans="2:15" x14ac:dyDescent="0.2">
      <c r="B3207" s="1">
        <v>3192</v>
      </c>
      <c r="C3207" s="5">
        <f ca="1"/>
        <v>-2.2233187558123721</v>
      </c>
      <c r="D3207" s="5">
        <f ca="1">S0*EXP((μ-0.5*σ*σ)*T+σ*SQRT(T)*$C3207)</f>
        <v>0.53370970977376819</v>
      </c>
      <c r="E3207" s="5">
        <f ca="1">MAX(0,CP*(D3207-K))</f>
        <v>0</v>
      </c>
      <c r="F3207" s="4">
        <f ca="1">(CP*(D3207-K)&gt;0)*1</f>
        <v>0</v>
      </c>
      <c r="H3207" s="4">
        <v>3192</v>
      </c>
      <c r="I3207" s="3">
        <v>0.66773460471947077</v>
      </c>
      <c r="J3207" s="128">
        <v>1.4254480174587106E-3</v>
      </c>
      <c r="K3207" s="128"/>
      <c r="L3207" s="128">
        <v>4.1799999999999997E-2</v>
      </c>
      <c r="O3207" s="2"/>
    </row>
    <row r="3208" spans="2:15" x14ac:dyDescent="0.2">
      <c r="B3208" s="1">
        <v>3193</v>
      </c>
      <c r="C3208" s="5">
        <f ca="1"/>
        <v>1.897213979333042</v>
      </c>
      <c r="D3208" s="5">
        <f ca="1">S0*EXP((μ-0.5*σ*σ)*T+σ*SQRT(T)*$C3208)</f>
        <v>0.80117946474726776</v>
      </c>
      <c r="E3208" s="5">
        <f ca="1">MAX(0,CP*(D3208-K))</f>
        <v>1.2979464747267744E-2</v>
      </c>
      <c r="F3208" s="4">
        <f ca="1">(CP*(D3208-K)&gt;0)*1</f>
        <v>1</v>
      </c>
      <c r="H3208" s="4">
        <v>3193</v>
      </c>
      <c r="I3208" s="3">
        <v>0.66780521640328439</v>
      </c>
      <c r="J3208" s="128">
        <v>1.3087580574877543E-3</v>
      </c>
      <c r="K3208" s="128"/>
      <c r="L3208" s="128">
        <v>4.4200000000000003E-2</v>
      </c>
      <c r="O3208" s="2"/>
    </row>
    <row r="3209" spans="2:15" x14ac:dyDescent="0.2">
      <c r="B3209" s="1">
        <v>3194</v>
      </c>
      <c r="C3209" s="5">
        <f ca="1"/>
        <v>0.47346427644992539</v>
      </c>
      <c r="D3209" s="5">
        <f ca="1">S0*EXP((μ-0.5*σ*σ)*T+σ*SQRT(T)*$C3209)</f>
        <v>0.69625856451755308</v>
      </c>
      <c r="E3209" s="5">
        <f ca="1">MAX(0,CP*(D3209-K))</f>
        <v>0</v>
      </c>
      <c r="F3209" s="4">
        <f ca="1">(CP*(D3209-K)&gt;0)*1</f>
        <v>0</v>
      </c>
      <c r="H3209" s="4">
        <v>3194</v>
      </c>
      <c r="I3209" s="3">
        <v>0.66790088285166338</v>
      </c>
      <c r="J3209" s="128">
        <v>1.4934402708024685E-3</v>
      </c>
      <c r="K3209" s="128"/>
      <c r="L3209" s="128">
        <v>4.2999999999999997E-2</v>
      </c>
      <c r="O3209" s="2"/>
    </row>
    <row r="3210" spans="2:15" x14ac:dyDescent="0.2">
      <c r="B3210" s="1">
        <v>3195</v>
      </c>
      <c r="C3210" s="5">
        <f ca="1"/>
        <v>0.54485133250424167</v>
      </c>
      <c r="D3210" s="5">
        <f ca="1">S0*EXP((μ-0.5*σ*σ)*T+σ*SQRT(T)*$C3210)</f>
        <v>0.70117602516909638</v>
      </c>
      <c r="E3210" s="5">
        <f ca="1">MAX(0,CP*(D3210-K))</f>
        <v>0</v>
      </c>
      <c r="F3210" s="4">
        <f ca="1">(CP*(D3210-K)&gt;0)*1</f>
        <v>0</v>
      </c>
      <c r="H3210" s="4">
        <v>3195</v>
      </c>
      <c r="I3210" s="3">
        <v>0.66784980800802995</v>
      </c>
      <c r="J3210" s="128">
        <v>1.3783370923423385E-3</v>
      </c>
      <c r="K3210" s="128"/>
      <c r="L3210" s="128">
        <v>4.3200000000000002E-2</v>
      </c>
      <c r="O3210" s="2"/>
    </row>
    <row r="3211" spans="2:15" x14ac:dyDescent="0.2">
      <c r="B3211" s="1">
        <v>3196</v>
      </c>
      <c r="C3211" s="5">
        <f ca="1"/>
        <v>-0.24102812918420519</v>
      </c>
      <c r="D3211" s="5">
        <f ca="1">S0*EXP((μ-0.5*σ*σ)*T+σ*SQRT(T)*$C3211)</f>
        <v>0.64890160410846931</v>
      </c>
      <c r="E3211" s="5">
        <f ca="1">MAX(0,CP*(D3211-K))</f>
        <v>0</v>
      </c>
      <c r="F3211" s="4">
        <f ca="1">(CP*(D3211-K)&gt;0)*1</f>
        <v>0</v>
      </c>
      <c r="H3211" s="4">
        <v>3196</v>
      </c>
      <c r="I3211" s="3">
        <v>0.66771803662155582</v>
      </c>
      <c r="J3211" s="128">
        <v>1.5954795061201535E-3</v>
      </c>
      <c r="K3211" s="128"/>
      <c r="L3211" s="128">
        <v>4.1000000000000002E-2</v>
      </c>
      <c r="O3211" s="2"/>
    </row>
    <row r="3212" spans="2:15" x14ac:dyDescent="0.2">
      <c r="B3212" s="1">
        <v>3197</v>
      </c>
      <c r="C3212" s="5">
        <f ca="1"/>
        <v>0.72611203983489736</v>
      </c>
      <c r="D3212" s="5">
        <f ca="1">S0*EXP((μ-0.5*σ*σ)*T+σ*SQRT(T)*$C3212)</f>
        <v>0.71381869092710182</v>
      </c>
      <c r="E3212" s="5">
        <f ca="1">MAX(0,CP*(D3212-K))</f>
        <v>0</v>
      </c>
      <c r="F3212" s="4">
        <f ca="1">(CP*(D3212-K)&gt;0)*1</f>
        <v>0</v>
      </c>
      <c r="H3212" s="4">
        <v>3197</v>
      </c>
      <c r="I3212" s="3">
        <v>0.66783946351290058</v>
      </c>
      <c r="J3212" s="128">
        <v>1.3865393225433753E-3</v>
      </c>
      <c r="K3212" s="128"/>
      <c r="L3212" s="128">
        <v>4.58E-2</v>
      </c>
      <c r="O3212" s="2"/>
    </row>
    <row r="3213" spans="2:15" x14ac:dyDescent="0.2">
      <c r="B3213" s="1">
        <v>3198</v>
      </c>
      <c r="C3213" s="5">
        <f ca="1"/>
        <v>0.80121266218369402</v>
      </c>
      <c r="D3213" s="5">
        <f ca="1">S0*EXP((μ-0.5*σ*σ)*T+σ*SQRT(T)*$C3213)</f>
        <v>0.71912340423972121</v>
      </c>
      <c r="E3213" s="5">
        <f ca="1">MAX(0,CP*(D3213-K))</f>
        <v>0</v>
      </c>
      <c r="F3213" s="4">
        <f ca="1">(CP*(D3213-K)&gt;0)*1</f>
        <v>0</v>
      </c>
      <c r="H3213" s="4">
        <v>3198</v>
      </c>
      <c r="I3213" s="3">
        <v>0.66769659194131414</v>
      </c>
      <c r="J3213" s="128">
        <v>1.2250524792704392E-3</v>
      </c>
      <c r="K3213" s="128"/>
      <c r="L3213" s="128">
        <v>4.0399999999999998E-2</v>
      </c>
      <c r="O3213" s="2"/>
    </row>
    <row r="3214" spans="2:15" x14ac:dyDescent="0.2">
      <c r="B3214" s="1">
        <v>3199</v>
      </c>
      <c r="C3214" s="5">
        <f ca="1"/>
        <v>8.4617467987457909E-2</v>
      </c>
      <c r="D3214" s="5">
        <f ca="1">S0*EXP((μ-0.5*σ*σ)*T+σ*SQRT(T)*$C3214)</f>
        <v>0.67007233492010021</v>
      </c>
      <c r="E3214" s="5">
        <f ca="1">MAX(0,CP*(D3214-K))</f>
        <v>0</v>
      </c>
      <c r="F3214" s="4">
        <f ca="1">(CP*(D3214-K)&gt;0)*1</f>
        <v>0</v>
      </c>
      <c r="H3214" s="4">
        <v>3199</v>
      </c>
      <c r="I3214" s="3">
        <v>0.66784964756259901</v>
      </c>
      <c r="J3214" s="128">
        <v>1.6051039583961869E-3</v>
      </c>
      <c r="K3214" s="128"/>
      <c r="L3214" s="128">
        <v>4.3200000000000002E-2</v>
      </c>
      <c r="O3214" s="2"/>
    </row>
    <row r="3215" spans="2:15" x14ac:dyDescent="0.2">
      <c r="B3215" s="1">
        <v>3200</v>
      </c>
      <c r="C3215" s="5">
        <f ca="1"/>
        <v>-0.76443065099534946</v>
      </c>
      <c r="D3215" s="5">
        <f ca="1">S0*EXP((μ-0.5*σ*σ)*T+σ*SQRT(T)*$C3215)</f>
        <v>0.61626690891634484</v>
      </c>
      <c r="E3215" s="5">
        <f ca="1">MAX(0,CP*(D3215-K))</f>
        <v>0</v>
      </c>
      <c r="F3215" s="4">
        <f ca="1">(CP*(D3215-K)&gt;0)*1</f>
        <v>0</v>
      </c>
      <c r="H3215" s="4">
        <v>3200</v>
      </c>
      <c r="I3215" s="3">
        <v>0.66769216665106579</v>
      </c>
      <c r="J3215" s="128">
        <v>1.2999306839856987E-3</v>
      </c>
      <c r="K3215" s="128"/>
      <c r="L3215" s="128">
        <v>3.9800000000000002E-2</v>
      </c>
      <c r="O3215" s="2"/>
    </row>
    <row r="3216" spans="2:15" x14ac:dyDescent="0.2">
      <c r="B3216" s="1">
        <v>3201</v>
      </c>
      <c r="C3216" s="5">
        <f ca="1"/>
        <v>-1.0987387044151706</v>
      </c>
      <c r="D3216" s="5">
        <f ca="1">S0*EXP((μ-0.5*σ*σ)*T+σ*SQRT(T)*$C3216)</f>
        <v>0.5962866920168588</v>
      </c>
      <c r="E3216" s="5">
        <f ca="1">MAX(0,CP*(D3216-K))</f>
        <v>0</v>
      </c>
      <c r="F3216" s="4">
        <f ca="1">(CP*(D3216-K)&gt;0)*1</f>
        <v>0</v>
      </c>
      <c r="H3216" s="4">
        <v>3201</v>
      </c>
      <c r="I3216" s="3">
        <v>0.66781660282694533</v>
      </c>
      <c r="J3216" s="128">
        <v>1.3935051236642754E-3</v>
      </c>
      <c r="K3216" s="128"/>
      <c r="L3216" s="128">
        <v>4.2200000000000001E-2</v>
      </c>
      <c r="O3216" s="2"/>
    </row>
    <row r="3217" spans="2:15" x14ac:dyDescent="0.2">
      <c r="B3217" s="1">
        <v>3202</v>
      </c>
      <c r="C3217" s="5">
        <f ca="1"/>
        <v>-1.017158160102172</v>
      </c>
      <c r="D3217" s="5">
        <f ca="1">S0*EXP((μ-0.5*σ*σ)*T+σ*SQRT(T)*$C3217)</f>
        <v>0.60110185600844823</v>
      </c>
      <c r="E3217" s="5">
        <f ca="1">MAX(0,CP*(D3217-K))</f>
        <v>0</v>
      </c>
      <c r="F3217" s="4">
        <f ca="1">(CP*(D3217-K)&gt;0)*1</f>
        <v>0</v>
      </c>
      <c r="H3217" s="4">
        <v>3202</v>
      </c>
      <c r="I3217" s="3">
        <v>0.66774869874969667</v>
      </c>
      <c r="J3217" s="128">
        <v>1.4934181037046094E-3</v>
      </c>
      <c r="K3217" s="128"/>
      <c r="L3217" s="128">
        <v>4.2200000000000001E-2</v>
      </c>
      <c r="O3217" s="2"/>
    </row>
    <row r="3218" spans="2:15" x14ac:dyDescent="0.2">
      <c r="B3218" s="1">
        <v>3203</v>
      </c>
      <c r="C3218" s="5">
        <f ca="1"/>
        <v>0.54071118110876859</v>
      </c>
      <c r="D3218" s="5">
        <f ca="1">S0*EXP((μ-0.5*σ*σ)*T+σ*SQRT(T)*$C3218)</f>
        <v>0.70088988661920559</v>
      </c>
      <c r="E3218" s="5">
        <f ca="1">MAX(0,CP*(D3218-K))</f>
        <v>0</v>
      </c>
      <c r="F3218" s="4">
        <f ca="1">(CP*(D3218-K)&gt;0)*1</f>
        <v>0</v>
      </c>
      <c r="H3218" s="4">
        <v>3203</v>
      </c>
      <c r="I3218" s="3">
        <v>0.66767897480714489</v>
      </c>
      <c r="J3218" s="128">
        <v>1.315372326609412E-3</v>
      </c>
      <c r="K3218" s="128"/>
      <c r="L3218" s="128">
        <v>4.1399999999999999E-2</v>
      </c>
      <c r="O3218" s="2"/>
    </row>
    <row r="3219" spans="2:15" x14ac:dyDescent="0.2">
      <c r="B3219" s="1">
        <v>3204</v>
      </c>
      <c r="C3219" s="5">
        <f ca="1"/>
        <v>-0.42044053512883683</v>
      </c>
      <c r="D3219" s="5">
        <f ca="1">S0*EXP((μ-0.5*σ*σ)*T+σ*SQRT(T)*$C3219)</f>
        <v>0.63752486393572783</v>
      </c>
      <c r="E3219" s="5">
        <f ca="1">MAX(0,CP*(D3219-K))</f>
        <v>0</v>
      </c>
      <c r="F3219" s="4">
        <f ca="1">(CP*(D3219-K)&gt;0)*1</f>
        <v>0</v>
      </c>
      <c r="H3219" s="4">
        <v>3204</v>
      </c>
      <c r="I3219" s="3">
        <v>0.66775790086919584</v>
      </c>
      <c r="J3219" s="128">
        <v>1.4184366749788386E-3</v>
      </c>
      <c r="K3219" s="128"/>
      <c r="L3219" s="128">
        <v>4.3200000000000002E-2</v>
      </c>
      <c r="O3219" s="2"/>
    </row>
    <row r="3220" spans="2:15" x14ac:dyDescent="0.2">
      <c r="B3220" s="1">
        <v>3205</v>
      </c>
      <c r="C3220" s="5">
        <f ca="1"/>
        <v>-0.69244207831713334</v>
      </c>
      <c r="D3220" s="5">
        <f ca="1">S0*EXP((μ-0.5*σ*σ)*T+σ*SQRT(T)*$C3220)</f>
        <v>0.62065621810817784</v>
      </c>
      <c r="E3220" s="5">
        <f ca="1">MAX(0,CP*(D3220-K))</f>
        <v>0</v>
      </c>
      <c r="F3220" s="4">
        <f ca="1">(CP*(D3220-K)&gt;0)*1</f>
        <v>0</v>
      </c>
      <c r="H3220" s="4">
        <v>3205</v>
      </c>
      <c r="I3220" s="3">
        <v>0.66772496224848032</v>
      </c>
      <c r="J3220" s="128">
        <v>1.2465088027095676E-3</v>
      </c>
      <c r="K3220" s="128"/>
      <c r="L3220" s="128">
        <v>4.1200000000000001E-2</v>
      </c>
      <c r="O3220" s="2"/>
    </row>
    <row r="3221" spans="2:15" x14ac:dyDescent="0.2">
      <c r="B3221" s="1">
        <v>3206</v>
      </c>
      <c r="C3221" s="5">
        <f ca="1"/>
        <v>0.9275634995454366</v>
      </c>
      <c r="D3221" s="5">
        <f ca="1">S0*EXP((μ-0.5*σ*σ)*T+σ*SQRT(T)*$C3221)</f>
        <v>0.72813726810080293</v>
      </c>
      <c r="E3221" s="5">
        <f ca="1">MAX(0,CP*(D3221-K))</f>
        <v>0</v>
      </c>
      <c r="F3221" s="4">
        <f ca="1">(CP*(D3221-K)&gt;0)*1</f>
        <v>0</v>
      </c>
      <c r="H3221" s="4">
        <v>3206</v>
      </c>
      <c r="I3221" s="3">
        <v>0.667801459260846</v>
      </c>
      <c r="J3221" s="128">
        <v>1.4803419474645181E-3</v>
      </c>
      <c r="K3221" s="128"/>
      <c r="L3221" s="128">
        <v>4.5199999999999997E-2</v>
      </c>
      <c r="O3221" s="2"/>
    </row>
    <row r="3222" spans="2:15" x14ac:dyDescent="0.2">
      <c r="B3222" s="1">
        <v>3207</v>
      </c>
      <c r="C3222" s="5">
        <f ca="1"/>
        <v>-2.2277026790333831</v>
      </c>
      <c r="D3222" s="5">
        <f ca="1">S0*EXP((μ-0.5*σ*σ)*T+σ*SQRT(T)*$C3222)</f>
        <v>0.53347909033213159</v>
      </c>
      <c r="E3222" s="5">
        <f ca="1">MAX(0,CP*(D3222-K))</f>
        <v>0</v>
      </c>
      <c r="F3222" s="4">
        <f ca="1">(CP*(D3222-K)&gt;0)*1</f>
        <v>0</v>
      </c>
      <c r="H3222" s="4">
        <v>3207</v>
      </c>
      <c r="I3222" s="3">
        <v>0.66759739474087176</v>
      </c>
      <c r="J3222" s="128">
        <v>1.0866635910959524E-3</v>
      </c>
      <c r="K3222" s="128"/>
      <c r="L3222" s="128">
        <v>3.3599999999999998E-2</v>
      </c>
      <c r="O3222" s="2"/>
    </row>
    <row r="3223" spans="2:15" x14ac:dyDescent="0.2">
      <c r="B3223" s="1">
        <v>3208</v>
      </c>
      <c r="C3223" s="5">
        <f ca="1"/>
        <v>-0.76740801108271151</v>
      </c>
      <c r="D3223" s="5">
        <f ca="1">S0*EXP((μ-0.5*σ*σ)*T+σ*SQRT(T)*$C3223)</f>
        <v>0.61608604239179821</v>
      </c>
      <c r="E3223" s="5">
        <f ca="1">MAX(0,CP*(D3223-K))</f>
        <v>0</v>
      </c>
      <c r="F3223" s="4">
        <f ca="1">(CP*(D3223-K)&gt;0)*1</f>
        <v>0</v>
      </c>
      <c r="H3223" s="4">
        <v>3208</v>
      </c>
      <c r="I3223" s="3">
        <v>0.66780945812680892</v>
      </c>
      <c r="J3223" s="128">
        <v>1.4646731493567196E-3</v>
      </c>
      <c r="K3223" s="128"/>
      <c r="L3223" s="128">
        <v>4.5999999999999999E-2</v>
      </c>
      <c r="O3223" s="2"/>
    </row>
    <row r="3224" spans="2:15" x14ac:dyDescent="0.2">
      <c r="B3224" s="1">
        <v>3209</v>
      </c>
      <c r="C3224" s="5">
        <f ca="1"/>
        <v>0.68388102359277436</v>
      </c>
      <c r="D3224" s="5">
        <f ca="1">S0*EXP((μ-0.5*σ*σ)*T+σ*SQRT(T)*$C3224)</f>
        <v>0.71085292138579226</v>
      </c>
      <c r="E3224" s="5">
        <f ca="1">MAX(0,CP*(D3224-K))</f>
        <v>0</v>
      </c>
      <c r="F3224" s="4">
        <f ca="1">(CP*(D3224-K)&gt;0)*1</f>
        <v>0</v>
      </c>
      <c r="H3224" s="4">
        <v>3209</v>
      </c>
      <c r="I3224" s="3">
        <v>0.66783083305274893</v>
      </c>
      <c r="J3224" s="128">
        <v>1.5453205653029034E-3</v>
      </c>
      <c r="K3224" s="128"/>
      <c r="L3224" s="128">
        <v>4.2000000000000003E-2</v>
      </c>
      <c r="O3224" s="2"/>
    </row>
    <row r="3225" spans="2:15" x14ac:dyDescent="0.2">
      <c r="B3225" s="1">
        <v>3210</v>
      </c>
      <c r="C3225" s="5">
        <f ca="1"/>
        <v>-0.82502836971048676</v>
      </c>
      <c r="D3225" s="5">
        <f ca="1">S0*EXP((μ-0.5*σ*σ)*T+σ*SQRT(T)*$C3225)</f>
        <v>0.61259619774160945</v>
      </c>
      <c r="E3225" s="5">
        <f ca="1">MAX(0,CP*(D3225-K))</f>
        <v>0</v>
      </c>
      <c r="F3225" s="4">
        <f ca="1">(CP*(D3225-K)&gt;0)*1</f>
        <v>0</v>
      </c>
      <c r="H3225" s="4">
        <v>3210</v>
      </c>
      <c r="I3225" s="3">
        <v>0.6675803870109307</v>
      </c>
      <c r="J3225" s="128">
        <v>1.1463479587407021E-3</v>
      </c>
      <c r="K3225" s="128"/>
      <c r="L3225" s="128">
        <v>3.7199999999999997E-2</v>
      </c>
      <c r="O3225" s="2"/>
    </row>
    <row r="3226" spans="2:15" x14ac:dyDescent="0.2">
      <c r="B3226" s="1">
        <v>3211</v>
      </c>
      <c r="C3226" s="5">
        <f ca="1"/>
        <v>-9.5434935685151351E-2</v>
      </c>
      <c r="D3226" s="5">
        <f ca="1">S0*EXP((μ-0.5*σ*σ)*T+σ*SQRT(T)*$C3226)</f>
        <v>0.65828288689221037</v>
      </c>
      <c r="E3226" s="5">
        <f ca="1">MAX(0,CP*(D3226-K))</f>
        <v>0</v>
      </c>
      <c r="F3226" s="4">
        <f ca="1">(CP*(D3226-K)&gt;0)*1</f>
        <v>0</v>
      </c>
      <c r="H3226" s="4">
        <v>3211</v>
      </c>
      <c r="I3226" s="3">
        <v>0.66767135304180969</v>
      </c>
      <c r="J3226" s="128">
        <v>1.1945958685496698E-3</v>
      </c>
      <c r="K3226" s="128"/>
      <c r="L3226" s="128">
        <v>3.9199999999999999E-2</v>
      </c>
      <c r="O3226" s="2"/>
    </row>
    <row r="3227" spans="2:15" x14ac:dyDescent="0.2">
      <c r="B3227" s="1">
        <v>3212</v>
      </c>
      <c r="C3227" s="5">
        <f ca="1"/>
        <v>-0.41275138522630106</v>
      </c>
      <c r="D3227" s="5">
        <f ca="1">S0*EXP((μ-0.5*σ*σ)*T+σ*SQRT(T)*$C3227)</f>
        <v>0.63800832532442775</v>
      </c>
      <c r="E3227" s="5">
        <f ca="1">MAX(0,CP*(D3227-K))</f>
        <v>0</v>
      </c>
      <c r="F3227" s="4">
        <f ca="1">(CP*(D3227-K)&gt;0)*1</f>
        <v>0</v>
      </c>
      <c r="H3227" s="4">
        <v>3212</v>
      </c>
      <c r="I3227" s="3">
        <v>0.66773338717335706</v>
      </c>
      <c r="J3227" s="128">
        <v>1.364829815998101E-3</v>
      </c>
      <c r="K3227" s="128"/>
      <c r="L3227" s="128">
        <v>4.2000000000000003E-2</v>
      </c>
      <c r="O3227" s="2"/>
    </row>
    <row r="3228" spans="2:15" x14ac:dyDescent="0.2">
      <c r="B3228" s="1">
        <v>3213</v>
      </c>
      <c r="C3228" s="5">
        <f ca="1"/>
        <v>0.6763243425646478</v>
      </c>
      <c r="D3228" s="5">
        <f ca="1">S0*EXP((μ-0.5*σ*σ)*T+σ*SQRT(T)*$C3228)</f>
        <v>0.71032353739869825</v>
      </c>
      <c r="E3228" s="5">
        <f ca="1">MAX(0,CP*(D3228-K))</f>
        <v>0</v>
      </c>
      <c r="F3228" s="4">
        <f ca="1">(CP*(D3228-K)&gt;0)*1</f>
        <v>0</v>
      </c>
      <c r="H3228" s="4">
        <v>3213</v>
      </c>
      <c r="I3228" s="3">
        <v>0.66782117059264523</v>
      </c>
      <c r="J3228" s="128">
        <v>1.5239000010008939E-3</v>
      </c>
      <c r="K3228" s="128"/>
      <c r="L3228" s="128">
        <v>0.04</v>
      </c>
      <c r="O3228" s="2"/>
    </row>
    <row r="3229" spans="2:15" x14ac:dyDescent="0.2">
      <c r="B3229" s="1">
        <v>3214</v>
      </c>
      <c r="C3229" s="5">
        <f ca="1"/>
        <v>-0.74907920240862069</v>
      </c>
      <c r="D3229" s="5">
        <f ca="1">S0*EXP((μ-0.5*σ*σ)*T+σ*SQRT(T)*$C3229)</f>
        <v>0.61720031067900982</v>
      </c>
      <c r="E3229" s="5">
        <f ca="1">MAX(0,CP*(D3229-K))</f>
        <v>0</v>
      </c>
      <c r="F3229" s="4">
        <f ca="1">(CP*(D3229-K)&gt;0)*1</f>
        <v>0</v>
      </c>
      <c r="H3229" s="4">
        <v>3214</v>
      </c>
      <c r="I3229" s="3">
        <v>0.66764255123166472</v>
      </c>
      <c r="J3229" s="128">
        <v>1.3340378994099523E-3</v>
      </c>
      <c r="K3229" s="128"/>
      <c r="L3229" s="128">
        <v>3.9600000000000003E-2</v>
      </c>
      <c r="O3229" s="2"/>
    </row>
    <row r="3230" spans="2:15" x14ac:dyDescent="0.2">
      <c r="B3230" s="1">
        <v>3215</v>
      </c>
      <c r="C3230" s="5">
        <f ca="1"/>
        <v>-0.53182418141216314</v>
      </c>
      <c r="D3230" s="5">
        <f ca="1">S0*EXP((μ-0.5*σ*σ)*T+σ*SQRT(T)*$C3230)</f>
        <v>0.63056248013584559</v>
      </c>
      <c r="E3230" s="5">
        <f ca="1">MAX(0,CP*(D3230-K))</f>
        <v>0</v>
      </c>
      <c r="F3230" s="4">
        <f ca="1">(CP*(D3230-K)&gt;0)*1</f>
        <v>0</v>
      </c>
      <c r="H3230" s="4">
        <v>3215</v>
      </c>
      <c r="I3230" s="3">
        <v>0.66764854976049548</v>
      </c>
      <c r="J3230" s="128">
        <v>1.3493161499198668E-3</v>
      </c>
      <c r="K3230" s="128"/>
      <c r="L3230" s="128">
        <v>3.9800000000000002E-2</v>
      </c>
      <c r="O3230" s="2"/>
    </row>
    <row r="3231" spans="2:15" x14ac:dyDescent="0.2">
      <c r="B3231" s="1">
        <v>3216</v>
      </c>
      <c r="C3231" s="5">
        <f ca="1"/>
        <v>-0.35620211301053184</v>
      </c>
      <c r="D3231" s="5">
        <f ca="1">S0*EXP((μ-0.5*σ*σ)*T+σ*SQRT(T)*$C3231)</f>
        <v>0.64157518690057214</v>
      </c>
      <c r="E3231" s="5">
        <f ca="1">MAX(0,CP*(D3231-K))</f>
        <v>0</v>
      </c>
      <c r="F3231" s="4">
        <f ca="1">(CP*(D3231-K)&gt;0)*1</f>
        <v>0</v>
      </c>
      <c r="H3231" s="4">
        <v>3216</v>
      </c>
      <c r="I3231" s="3">
        <v>0.66782425638307452</v>
      </c>
      <c r="J3231" s="128">
        <v>1.4740836206526288E-3</v>
      </c>
      <c r="K3231" s="128"/>
      <c r="L3231" s="128">
        <v>4.5999999999999999E-2</v>
      </c>
      <c r="O3231" s="2"/>
    </row>
    <row r="3232" spans="2:15" x14ac:dyDescent="0.2">
      <c r="B3232" s="1">
        <v>3217</v>
      </c>
      <c r="C3232" s="5">
        <f ca="1"/>
        <v>-1.3191208847764069</v>
      </c>
      <c r="D3232" s="5">
        <f ca="1">S0*EXP((μ-0.5*σ*σ)*T+σ*SQRT(T)*$C3232)</f>
        <v>0.58347094535144362</v>
      </c>
      <c r="E3232" s="5">
        <f ca="1">MAX(0,CP*(D3232-K))</f>
        <v>0</v>
      </c>
      <c r="F3232" s="4">
        <f ca="1">(CP*(D3232-K)&gt;0)*1</f>
        <v>0</v>
      </c>
      <c r="H3232" s="4">
        <v>3217</v>
      </c>
      <c r="I3232" s="3">
        <v>0.66775676088352609</v>
      </c>
      <c r="J3232" s="128">
        <v>1.2518976637652945E-3</v>
      </c>
      <c r="K3232" s="128"/>
      <c r="L3232" s="128">
        <v>4.2000000000000003E-2</v>
      </c>
      <c r="O3232" s="2"/>
    </row>
    <row r="3233" spans="2:15" x14ac:dyDescent="0.2">
      <c r="B3233" s="1">
        <v>3218</v>
      </c>
      <c r="C3233" s="5">
        <f ca="1"/>
        <v>-0.45930897732539078</v>
      </c>
      <c r="D3233" s="5">
        <f ca="1">S0*EXP((μ-0.5*σ*σ)*T+σ*SQRT(T)*$C3233)</f>
        <v>0.63508658069864377</v>
      </c>
      <c r="E3233" s="5">
        <f ca="1">MAX(0,CP*(D3233-K))</f>
        <v>0</v>
      </c>
      <c r="F3233" s="4">
        <f ca="1">(CP*(D3233-K)&gt;0)*1</f>
        <v>0</v>
      </c>
      <c r="H3233" s="4">
        <v>3218</v>
      </c>
      <c r="I3233" s="3">
        <v>0.66768016556792731</v>
      </c>
      <c r="J3233" s="128">
        <v>1.2453345060245318E-3</v>
      </c>
      <c r="K3233" s="128"/>
      <c r="L3233" s="128">
        <v>4.1799999999999997E-2</v>
      </c>
      <c r="O3233" s="2"/>
    </row>
    <row r="3234" spans="2:15" x14ac:dyDescent="0.2">
      <c r="B3234" s="1">
        <v>3219</v>
      </c>
      <c r="C3234" s="5">
        <f ca="1"/>
        <v>-0.65708763338918641</v>
      </c>
      <c r="D3234" s="5">
        <f ca="1">S0*EXP((μ-0.5*σ*σ)*T+σ*SQRT(T)*$C3234)</f>
        <v>0.62282329310874163</v>
      </c>
      <c r="E3234" s="5">
        <f ca="1">MAX(0,CP*(D3234-K))</f>
        <v>0</v>
      </c>
      <c r="F3234" s="4">
        <f ca="1">(CP*(D3234-K)&gt;0)*1</f>
        <v>0</v>
      </c>
      <c r="H3234" s="4">
        <v>3219</v>
      </c>
      <c r="I3234" s="3">
        <v>0.66772422677019072</v>
      </c>
      <c r="J3234" s="128">
        <v>1.4092909015419625E-3</v>
      </c>
      <c r="K3234" s="128"/>
      <c r="L3234" s="128">
        <v>4.3400000000000001E-2</v>
      </c>
      <c r="O3234" s="2"/>
    </row>
    <row r="3235" spans="2:15" x14ac:dyDescent="0.2">
      <c r="B3235" s="1">
        <v>3220</v>
      </c>
      <c r="C3235" s="5">
        <f ca="1"/>
        <v>1.5157305504792051</v>
      </c>
      <c r="D3235" s="5">
        <f ca="1">S0*EXP((μ-0.5*σ*σ)*T+σ*SQRT(T)*$C3235)</f>
        <v>0.77160710323729453</v>
      </c>
      <c r="E3235" s="5">
        <f ca="1">MAX(0,CP*(D3235-K))</f>
        <v>0</v>
      </c>
      <c r="F3235" s="4">
        <f ca="1">(CP*(D3235-K)&gt;0)*1</f>
        <v>0</v>
      </c>
      <c r="H3235" s="4">
        <v>3220</v>
      </c>
      <c r="I3235" s="3">
        <v>0.66755677331257302</v>
      </c>
      <c r="J3235" s="128">
        <v>1.1882363216284342E-3</v>
      </c>
      <c r="K3235" s="128"/>
      <c r="L3235" s="128">
        <v>3.9600000000000003E-2</v>
      </c>
      <c r="O3235" s="2"/>
    </row>
    <row r="3236" spans="2:15" x14ac:dyDescent="0.2">
      <c r="B3236" s="1">
        <v>3221</v>
      </c>
      <c r="C3236" s="5">
        <f ca="1"/>
        <v>1.1991723109288148</v>
      </c>
      <c r="D3236" s="5">
        <f ca="1">S0*EXP((μ-0.5*σ*σ)*T+σ*SQRT(T)*$C3236)</f>
        <v>0.74789815402239557</v>
      </c>
      <c r="E3236" s="5">
        <f ca="1">MAX(0,CP*(D3236-K))</f>
        <v>0</v>
      </c>
      <c r="F3236" s="4">
        <f ca="1">(CP*(D3236-K)&gt;0)*1</f>
        <v>0</v>
      </c>
      <c r="H3236" s="4">
        <v>3221</v>
      </c>
      <c r="I3236" s="3">
        <v>0.66780683003166064</v>
      </c>
      <c r="J3236" s="128">
        <v>1.4512493412353639E-3</v>
      </c>
      <c r="K3236" s="128"/>
      <c r="L3236" s="128">
        <v>4.24E-2</v>
      </c>
      <c r="O3236" s="2"/>
    </row>
    <row r="3237" spans="2:15" x14ac:dyDescent="0.2">
      <c r="B3237" s="1">
        <v>3222</v>
      </c>
      <c r="C3237" s="5">
        <f ca="1"/>
        <v>-1.6945503068274035</v>
      </c>
      <c r="D3237" s="5">
        <f ca="1">S0*EXP((μ-0.5*σ*σ)*T+σ*SQRT(T)*$C3237)</f>
        <v>0.562269920374591</v>
      </c>
      <c r="E3237" s="5">
        <f ca="1">MAX(0,CP*(D3237-K))</f>
        <v>0</v>
      </c>
      <c r="F3237" s="4">
        <f ca="1">(CP*(D3237-K)&gt;0)*1</f>
        <v>0</v>
      </c>
      <c r="H3237" s="4">
        <v>3222</v>
      </c>
      <c r="I3237" s="3">
        <v>0.66781455129980216</v>
      </c>
      <c r="J3237" s="128">
        <v>1.489430406208042E-3</v>
      </c>
      <c r="K3237" s="128"/>
      <c r="L3237" s="128">
        <v>4.1399999999999999E-2</v>
      </c>
      <c r="O3237" s="2"/>
    </row>
    <row r="3238" spans="2:15" x14ac:dyDescent="0.2">
      <c r="B3238" s="1">
        <v>3223</v>
      </c>
      <c r="C3238" s="5">
        <f ca="1"/>
        <v>-0.18828866621887752</v>
      </c>
      <c r="D3238" s="5">
        <f ca="1">S0*EXP((μ-0.5*σ*σ)*T+σ*SQRT(T)*$C3238)</f>
        <v>0.65228432220618471</v>
      </c>
      <c r="E3238" s="5">
        <f ca="1">MAX(0,CP*(D3238-K))</f>
        <v>0</v>
      </c>
      <c r="F3238" s="4">
        <f ca="1">(CP*(D3238-K)&gt;0)*1</f>
        <v>0</v>
      </c>
      <c r="H3238" s="4">
        <v>3223</v>
      </c>
      <c r="I3238" s="3">
        <v>0.66773379625153084</v>
      </c>
      <c r="J3238" s="128">
        <v>1.2833974562259395E-3</v>
      </c>
      <c r="K3238" s="128"/>
      <c r="L3238" s="128">
        <v>4.0800000000000003E-2</v>
      </c>
      <c r="O3238" s="2"/>
    </row>
    <row r="3239" spans="2:15" x14ac:dyDescent="0.2">
      <c r="B3239" s="1">
        <v>3224</v>
      </c>
      <c r="C3239" s="5">
        <f ca="1"/>
        <v>0.13061878456051756</v>
      </c>
      <c r="D3239" s="5">
        <f ca="1">S0*EXP((μ-0.5*σ*σ)*T+σ*SQRT(T)*$C3239)</f>
        <v>0.67311811707622082</v>
      </c>
      <c r="E3239" s="5">
        <f ca="1">MAX(0,CP*(D3239-K))</f>
        <v>0</v>
      </c>
      <c r="F3239" s="4">
        <f ca="1">(CP*(D3239-K)&gt;0)*1</f>
        <v>0</v>
      </c>
      <c r="H3239" s="4">
        <v>3224</v>
      </c>
      <c r="I3239" s="3">
        <v>0.66771874492882743</v>
      </c>
      <c r="J3239" s="128">
        <v>1.3054358939631682E-3</v>
      </c>
      <c r="K3239" s="128"/>
      <c r="L3239" s="128">
        <v>3.9399999999999998E-2</v>
      </c>
      <c r="O3239" s="2"/>
    </row>
    <row r="3240" spans="2:15" x14ac:dyDescent="0.2">
      <c r="B3240" s="1">
        <v>3225</v>
      </c>
      <c r="C3240" s="5">
        <f ca="1"/>
        <v>-0.60677548614459131</v>
      </c>
      <c r="D3240" s="5">
        <f ca="1">S0*EXP((μ-0.5*σ*σ)*T+σ*SQRT(T)*$C3240)</f>
        <v>0.62592026274400936</v>
      </c>
      <c r="E3240" s="5">
        <f ca="1">MAX(0,CP*(D3240-K))</f>
        <v>0</v>
      </c>
      <c r="F3240" s="4">
        <f ca="1">(CP*(D3240-K)&gt;0)*1</f>
        <v>0</v>
      </c>
      <c r="H3240" s="4">
        <v>3225</v>
      </c>
      <c r="I3240" s="3">
        <v>0.66761264489332495</v>
      </c>
      <c r="J3240" s="128">
        <v>1.1541692042955191E-3</v>
      </c>
      <c r="K3240" s="128"/>
      <c r="L3240" s="128">
        <v>3.8199999999999998E-2</v>
      </c>
      <c r="O3240" s="2"/>
    </row>
    <row r="3241" spans="2:15" x14ac:dyDescent="0.2">
      <c r="B3241" s="1">
        <v>3226</v>
      </c>
      <c r="C3241" s="5">
        <f ca="1"/>
        <v>0.71947041510574816</v>
      </c>
      <c r="D3241" s="5">
        <f ca="1">S0*EXP((μ-0.5*σ*σ)*T+σ*SQRT(T)*$C3241)</f>
        <v>0.71335144901448688</v>
      </c>
      <c r="E3241" s="5">
        <f ca="1">MAX(0,CP*(D3241-K))</f>
        <v>0</v>
      </c>
      <c r="F3241" s="4">
        <f ca="1">(CP*(D3241-K)&gt;0)*1</f>
        <v>0</v>
      </c>
      <c r="H3241" s="4">
        <v>3226</v>
      </c>
      <c r="I3241" s="3">
        <v>0.6677420337667862</v>
      </c>
      <c r="J3241" s="128">
        <v>1.3524248686351591E-3</v>
      </c>
      <c r="K3241" s="128"/>
      <c r="L3241" s="128">
        <v>4.02E-2</v>
      </c>
      <c r="O3241" s="2"/>
    </row>
    <row r="3242" spans="2:15" x14ac:dyDescent="0.2">
      <c r="B3242" s="1">
        <v>3227</v>
      </c>
      <c r="C3242" s="5">
        <f ca="1"/>
        <v>-1.3124853286709077</v>
      </c>
      <c r="D3242" s="5">
        <f ca="1">S0*EXP((μ-0.5*σ*σ)*T+σ*SQRT(T)*$C3242)</f>
        <v>0.58385276681901066</v>
      </c>
      <c r="E3242" s="5">
        <f ca="1">MAX(0,CP*(D3242-K))</f>
        <v>0</v>
      </c>
      <c r="F3242" s="4">
        <f ca="1">(CP*(D3242-K)&gt;0)*1</f>
        <v>0</v>
      </c>
      <c r="H3242" s="4">
        <v>3227</v>
      </c>
      <c r="I3242" s="3">
        <v>0.66783455130053537</v>
      </c>
      <c r="J3242" s="128">
        <v>1.5174546360305109E-3</v>
      </c>
      <c r="K3242" s="128"/>
      <c r="L3242" s="128">
        <v>4.0599999999999997E-2</v>
      </c>
      <c r="O3242" s="2"/>
    </row>
    <row r="3243" spans="2:15" x14ac:dyDescent="0.2">
      <c r="B3243" s="1">
        <v>3228</v>
      </c>
      <c r="C3243" s="5">
        <f ca="1"/>
        <v>-0.97503492756234511</v>
      </c>
      <c r="D3243" s="5">
        <f ca="1">S0*EXP((μ-0.5*σ*σ)*T+σ*SQRT(T)*$C3243)</f>
        <v>0.6036033160346802</v>
      </c>
      <c r="E3243" s="5">
        <f ca="1">MAX(0,CP*(D3243-K))</f>
        <v>0</v>
      </c>
      <c r="F3243" s="4">
        <f ca="1">(CP*(D3243-K)&gt;0)*1</f>
        <v>0</v>
      </c>
      <c r="H3243" s="4">
        <v>3228</v>
      </c>
      <c r="I3243" s="3">
        <v>0.66772623557972044</v>
      </c>
      <c r="J3243" s="128">
        <v>1.3144199184573822E-3</v>
      </c>
      <c r="K3243" s="128"/>
      <c r="L3243" s="128">
        <v>4.2200000000000001E-2</v>
      </c>
      <c r="O3243" s="2"/>
    </row>
    <row r="3244" spans="2:15" x14ac:dyDescent="0.2">
      <c r="B3244" s="1">
        <v>3229</v>
      </c>
      <c r="C3244" s="5">
        <f ca="1"/>
        <v>1.0348523442850366</v>
      </c>
      <c r="D3244" s="5">
        <f ca="1">S0*EXP((μ-0.5*σ*σ)*T+σ*SQRT(T)*$C3244)</f>
        <v>0.73587989644908391</v>
      </c>
      <c r="E3244" s="5">
        <f ca="1">MAX(0,CP*(D3244-K))</f>
        <v>0</v>
      </c>
      <c r="F3244" s="4">
        <f ca="1">(CP*(D3244-K)&gt;0)*1</f>
        <v>0</v>
      </c>
      <c r="H3244" s="4">
        <v>3229</v>
      </c>
      <c r="I3244" s="3">
        <v>0.66744508958078108</v>
      </c>
      <c r="J3244" s="128">
        <v>1.0915234975492161E-3</v>
      </c>
      <c r="K3244" s="128"/>
      <c r="L3244" s="128">
        <v>3.5400000000000001E-2</v>
      </c>
      <c r="O3244" s="2"/>
    </row>
    <row r="3245" spans="2:15" x14ac:dyDescent="0.2">
      <c r="B3245" s="1">
        <v>3230</v>
      </c>
      <c r="C3245" s="5">
        <f ca="1"/>
        <v>-2.1692215221795008</v>
      </c>
      <c r="D3245" s="5">
        <f ca="1">S0*EXP((μ-0.5*σ*σ)*T+σ*SQRT(T)*$C3245)</f>
        <v>0.53656375275925694</v>
      </c>
      <c r="E3245" s="5">
        <f ca="1">MAX(0,CP*(D3245-K))</f>
        <v>0</v>
      </c>
      <c r="F3245" s="4">
        <f ca="1">(CP*(D3245-K)&gt;0)*1</f>
        <v>0</v>
      </c>
      <c r="H3245" s="4">
        <v>3230</v>
      </c>
      <c r="I3245" s="3">
        <v>0.66786082025046889</v>
      </c>
      <c r="J3245" s="128">
        <v>1.4151337763695234E-3</v>
      </c>
      <c r="K3245" s="128"/>
      <c r="L3245" s="128">
        <v>4.4200000000000003E-2</v>
      </c>
      <c r="O3245" s="2"/>
    </row>
    <row r="3246" spans="2:15" x14ac:dyDescent="0.2">
      <c r="B3246" s="1">
        <v>3231</v>
      </c>
      <c r="C3246" s="5">
        <f ca="1"/>
        <v>-0.17842235819905025</v>
      </c>
      <c r="D3246" s="5">
        <f ca="1">S0*EXP((μ-0.5*σ*σ)*T+σ*SQRT(T)*$C3246)</f>
        <v>0.65291910415102405</v>
      </c>
      <c r="E3246" s="5">
        <f ca="1">MAX(0,CP*(D3246-K))</f>
        <v>0</v>
      </c>
      <c r="F3246" s="4">
        <f ca="1">(CP*(D3246-K)&gt;0)*1</f>
        <v>0</v>
      </c>
      <c r="H3246" s="4">
        <v>3231</v>
      </c>
      <c r="I3246" s="3">
        <v>0.66771092586892078</v>
      </c>
      <c r="J3246" s="128">
        <v>1.4038336829833335E-3</v>
      </c>
      <c r="K3246" s="128"/>
      <c r="L3246" s="128">
        <v>4.2999999999999997E-2</v>
      </c>
      <c r="O3246" s="2"/>
    </row>
    <row r="3247" spans="2:15" x14ac:dyDescent="0.2">
      <c r="B3247" s="1">
        <v>3232</v>
      </c>
      <c r="C3247" s="5">
        <f ca="1"/>
        <v>-0.50916000456141686</v>
      </c>
      <c r="D3247" s="5">
        <f ca="1">S0*EXP((μ-0.5*σ*σ)*T+σ*SQRT(T)*$C3247)</f>
        <v>0.63197298660252776</v>
      </c>
      <c r="E3247" s="5">
        <f ca="1">MAX(0,CP*(D3247-K))</f>
        <v>0</v>
      </c>
      <c r="F3247" s="4">
        <f ca="1">(CP*(D3247-K)&gt;0)*1</f>
        <v>0</v>
      </c>
      <c r="H3247" s="4">
        <v>3232</v>
      </c>
      <c r="I3247" s="3">
        <v>0.66756986333919766</v>
      </c>
      <c r="J3247" s="128">
        <v>1.1261713515350971E-3</v>
      </c>
      <c r="K3247" s="128"/>
      <c r="L3247" s="128">
        <v>3.56E-2</v>
      </c>
      <c r="O3247" s="2"/>
    </row>
    <row r="3248" spans="2:15" x14ac:dyDescent="0.2">
      <c r="B3248" s="1">
        <v>3233</v>
      </c>
      <c r="C3248" s="5">
        <f ca="1"/>
        <v>-0.79221328325191087</v>
      </c>
      <c r="D3248" s="5">
        <f ca="1">S0*EXP((μ-0.5*σ*σ)*T+σ*SQRT(T)*$C3248)</f>
        <v>0.61458125146487896</v>
      </c>
      <c r="E3248" s="5">
        <f ca="1">MAX(0,CP*(D3248-K))</f>
        <v>0</v>
      </c>
      <c r="F3248" s="4">
        <f ca="1">(CP*(D3248-K)&gt;0)*1</f>
        <v>0</v>
      </c>
      <c r="H3248" s="4">
        <v>3233</v>
      </c>
      <c r="I3248" s="3">
        <v>0.66783012394152963</v>
      </c>
      <c r="J3248" s="128">
        <v>1.4141980312138691E-3</v>
      </c>
      <c r="K3248" s="128"/>
      <c r="L3248" s="128">
        <v>4.4400000000000002E-2</v>
      </c>
      <c r="O3248" s="2"/>
    </row>
    <row r="3249" spans="2:15" x14ac:dyDescent="0.2">
      <c r="B3249" s="1">
        <v>3234</v>
      </c>
      <c r="C3249" s="5">
        <f ca="1"/>
        <v>0.70473819502821589</v>
      </c>
      <c r="D3249" s="5">
        <f ca="1">S0*EXP((μ-0.5*σ*σ)*T+σ*SQRT(T)*$C3249)</f>
        <v>0.71231612063873895</v>
      </c>
      <c r="E3249" s="5">
        <f ca="1">MAX(0,CP*(D3249-K))</f>
        <v>0</v>
      </c>
      <c r="F3249" s="4">
        <f ca="1">(CP*(D3249-K)&gt;0)*1</f>
        <v>0</v>
      </c>
      <c r="H3249" s="4">
        <v>3234</v>
      </c>
      <c r="I3249" s="3">
        <v>0.66773228453020772</v>
      </c>
      <c r="J3249" s="128">
        <v>1.1908104716186879E-3</v>
      </c>
      <c r="K3249" s="128"/>
      <c r="L3249" s="128">
        <v>4.2200000000000001E-2</v>
      </c>
      <c r="O3249" s="2"/>
    </row>
    <row r="3250" spans="2:15" x14ac:dyDescent="0.2">
      <c r="B3250" s="1">
        <v>3235</v>
      </c>
      <c r="C3250" s="5">
        <f ca="1"/>
        <v>-0.30405665968862616</v>
      </c>
      <c r="D3250" s="5">
        <f ca="1">S0*EXP((μ-0.5*σ*σ)*T+σ*SQRT(T)*$C3250)</f>
        <v>0.64488194582987302</v>
      </c>
      <c r="E3250" s="5">
        <f ca="1">MAX(0,CP*(D3250-K))</f>
        <v>0</v>
      </c>
      <c r="F3250" s="4">
        <f ca="1">(CP*(D3250-K)&gt;0)*1</f>
        <v>0</v>
      </c>
      <c r="H3250" s="4">
        <v>3235</v>
      </c>
      <c r="I3250" s="3">
        <v>0.66774775452080826</v>
      </c>
      <c r="J3250" s="128">
        <v>1.4647692226160945E-3</v>
      </c>
      <c r="K3250" s="128"/>
      <c r="L3250" s="128">
        <v>3.9399999999999998E-2</v>
      </c>
      <c r="O3250" s="2"/>
    </row>
    <row r="3251" spans="2:15" x14ac:dyDescent="0.2">
      <c r="B3251" s="1">
        <v>3236</v>
      </c>
      <c r="C3251" s="5">
        <f ca="1"/>
        <v>-0.1743210338701319</v>
      </c>
      <c r="D3251" s="5">
        <f ca="1">S0*EXP((μ-0.5*σ*σ)*T+σ*SQRT(T)*$C3251)</f>
        <v>0.65318315831167073</v>
      </c>
      <c r="E3251" s="5">
        <f ca="1">MAX(0,CP*(D3251-K))</f>
        <v>0</v>
      </c>
      <c r="F3251" s="4">
        <f ca="1">(CP*(D3251-K)&gt;0)*1</f>
        <v>0</v>
      </c>
      <c r="H3251" s="4">
        <v>3236</v>
      </c>
      <c r="I3251" s="3">
        <v>0.66778525220021079</v>
      </c>
      <c r="J3251" s="128">
        <v>1.3701976855528446E-3</v>
      </c>
      <c r="K3251" s="128"/>
      <c r="L3251" s="128">
        <v>4.2799999999999998E-2</v>
      </c>
      <c r="O3251" s="2"/>
    </row>
    <row r="3252" spans="2:15" x14ac:dyDescent="0.2">
      <c r="B3252" s="1">
        <v>3237</v>
      </c>
      <c r="C3252" s="5">
        <f ca="1"/>
        <v>0.43269910552866614</v>
      </c>
      <c r="D3252" s="5">
        <f ca="1">S0*EXP((μ-0.5*σ*σ)*T+σ*SQRT(T)*$C3252)</f>
        <v>0.69346596196837706</v>
      </c>
      <c r="E3252" s="5">
        <f ca="1">MAX(0,CP*(D3252-K))</f>
        <v>0</v>
      </c>
      <c r="F3252" s="4">
        <f ca="1">(CP*(D3252-K)&gt;0)*1</f>
        <v>0</v>
      </c>
      <c r="H3252" s="4">
        <v>3237</v>
      </c>
      <c r="I3252" s="3">
        <v>0.66769181415506196</v>
      </c>
      <c r="J3252" s="128">
        <v>1.4124853449399039E-3</v>
      </c>
      <c r="K3252" s="128"/>
      <c r="L3252" s="128">
        <v>3.9399999999999998E-2</v>
      </c>
      <c r="O3252" s="2"/>
    </row>
    <row r="3253" spans="2:15" x14ac:dyDescent="0.2">
      <c r="B3253" s="1">
        <v>3238</v>
      </c>
      <c r="C3253" s="5">
        <f ca="1"/>
        <v>-0.80373286638564745</v>
      </c>
      <c r="D3253" s="5">
        <f ca="1">S0*EXP((μ-0.5*σ*σ)*T+σ*SQRT(T)*$C3253)</f>
        <v>0.61388367598998617</v>
      </c>
      <c r="E3253" s="5">
        <f ca="1">MAX(0,CP*(D3253-K))</f>
        <v>0</v>
      </c>
      <c r="F3253" s="4">
        <f ca="1">(CP*(D3253-K)&gt;0)*1</f>
        <v>0</v>
      </c>
      <c r="H3253" s="4">
        <v>3238</v>
      </c>
      <c r="I3253" s="3">
        <v>0.66768222234774688</v>
      </c>
      <c r="J3253" s="128">
        <v>1.3160585218420096E-3</v>
      </c>
      <c r="K3253" s="128"/>
      <c r="L3253" s="128">
        <v>3.9800000000000002E-2</v>
      </c>
      <c r="O3253" s="2"/>
    </row>
    <row r="3254" spans="2:15" x14ac:dyDescent="0.2">
      <c r="B3254" s="1">
        <v>3239</v>
      </c>
      <c r="C3254" s="5">
        <f ca="1"/>
        <v>0.1376207571748439</v>
      </c>
      <c r="D3254" s="5">
        <f ca="1">S0*EXP((μ-0.5*σ*σ)*T+σ*SQRT(T)*$C3254)</f>
        <v>0.6735829354800944</v>
      </c>
      <c r="E3254" s="5">
        <f ca="1">MAX(0,CP*(D3254-K))</f>
        <v>0</v>
      </c>
      <c r="F3254" s="4">
        <f ca="1">(CP*(D3254-K)&gt;0)*1</f>
        <v>0</v>
      </c>
      <c r="H3254" s="4">
        <v>3239</v>
      </c>
      <c r="I3254" s="3">
        <v>0.66782673192523201</v>
      </c>
      <c r="J3254" s="128">
        <v>1.4739786522431689E-3</v>
      </c>
      <c r="K3254" s="128"/>
      <c r="L3254" s="128">
        <v>4.1000000000000002E-2</v>
      </c>
      <c r="O3254" s="2"/>
    </row>
    <row r="3255" spans="2:15" x14ac:dyDescent="0.2">
      <c r="B3255" s="1">
        <v>3240</v>
      </c>
      <c r="C3255" s="5">
        <f ca="1"/>
        <v>6.5936104080485086E-2</v>
      </c>
      <c r="D3255" s="5">
        <f ca="1">S0*EXP((μ-0.5*σ*σ)*T+σ*SQRT(T)*$C3255)</f>
        <v>0.66883936602785488</v>
      </c>
      <c r="E3255" s="5">
        <f ca="1">MAX(0,CP*(D3255-K))</f>
        <v>0</v>
      </c>
      <c r="F3255" s="4">
        <f ca="1">(CP*(D3255-K)&gt;0)*1</f>
        <v>0</v>
      </c>
      <c r="H3255" s="4">
        <v>3240</v>
      </c>
      <c r="I3255" s="3">
        <v>0.66786364129761777</v>
      </c>
      <c r="J3255" s="128">
        <v>1.4491516951074784E-3</v>
      </c>
      <c r="K3255" s="128"/>
      <c r="L3255" s="128">
        <v>4.5199999999999997E-2</v>
      </c>
      <c r="O3255" s="2"/>
    </row>
    <row r="3256" spans="2:15" x14ac:dyDescent="0.2">
      <c r="B3256" s="1">
        <v>3241</v>
      </c>
      <c r="C3256" s="5">
        <f ca="1"/>
        <v>0.63232812983993503</v>
      </c>
      <c r="D3256" s="5">
        <f ca="1">S0*EXP((μ-0.5*σ*σ)*T+σ*SQRT(T)*$C3256)</f>
        <v>0.70724919886044957</v>
      </c>
      <c r="E3256" s="5">
        <f ca="1">MAX(0,CP*(D3256-K))</f>
        <v>0</v>
      </c>
      <c r="F3256" s="4">
        <f ca="1">(CP*(D3256-K)&gt;0)*1</f>
        <v>0</v>
      </c>
      <c r="H3256" s="4">
        <v>3241</v>
      </c>
      <c r="I3256" s="3">
        <v>0.66767647061402546</v>
      </c>
      <c r="J3256" s="128">
        <v>1.1227399610441132E-3</v>
      </c>
      <c r="K3256" s="128"/>
      <c r="L3256" s="128">
        <v>4.1399999999999999E-2</v>
      </c>
      <c r="O3256" s="2"/>
    </row>
    <row r="3257" spans="2:15" x14ac:dyDescent="0.2">
      <c r="B3257" s="1">
        <v>3242</v>
      </c>
      <c r="C3257" s="5">
        <f ca="1"/>
        <v>-0.2849587287042053</v>
      </c>
      <c r="D3257" s="5">
        <f ca="1">S0*EXP((μ-0.5*σ*σ)*T+σ*SQRT(T)*$C3257)</f>
        <v>0.64609728409310063</v>
      </c>
      <c r="E3257" s="5">
        <f ca="1">MAX(0,CP*(D3257-K))</f>
        <v>0</v>
      </c>
      <c r="F3257" s="4">
        <f ca="1">(CP*(D3257-K)&gt;0)*1</f>
        <v>0</v>
      </c>
      <c r="H3257" s="4">
        <v>3242</v>
      </c>
      <c r="I3257" s="3">
        <v>0.66773813856287612</v>
      </c>
      <c r="J3257" s="128">
        <v>1.4349714248792775E-3</v>
      </c>
      <c r="K3257" s="128"/>
      <c r="L3257" s="128">
        <v>4.4999999999999998E-2</v>
      </c>
      <c r="O3257" s="2"/>
    </row>
    <row r="3258" spans="2:15" x14ac:dyDescent="0.2">
      <c r="B3258" s="1">
        <v>3243</v>
      </c>
      <c r="C3258" s="5">
        <f ca="1"/>
        <v>-1.5658810208736205</v>
      </c>
      <c r="D3258" s="5">
        <f ca="1">S0*EXP((μ-0.5*σ*σ)*T+σ*SQRT(T)*$C3258)</f>
        <v>0.56944784553161931</v>
      </c>
      <c r="E3258" s="5">
        <f ca="1">MAX(0,CP*(D3258-K))</f>
        <v>0</v>
      </c>
      <c r="F3258" s="4">
        <f ca="1">(CP*(D3258-K)&gt;0)*1</f>
        <v>0</v>
      </c>
      <c r="H3258" s="4">
        <v>3243</v>
      </c>
      <c r="I3258" s="3">
        <v>0.66783124280727735</v>
      </c>
      <c r="J3258" s="128">
        <v>1.5017975938228089E-3</v>
      </c>
      <c r="K3258" s="128"/>
      <c r="L3258" s="128">
        <v>4.2599999999999999E-2</v>
      </c>
      <c r="O3258" s="2"/>
    </row>
    <row r="3259" spans="2:15" x14ac:dyDescent="0.2">
      <c r="B3259" s="1">
        <v>3244</v>
      </c>
      <c r="C3259" s="5">
        <f ca="1"/>
        <v>0.2193422073657795</v>
      </c>
      <c r="D3259" s="5">
        <f ca="1">S0*EXP((μ-0.5*σ*σ)*T+σ*SQRT(T)*$C3259)</f>
        <v>0.67903171868665346</v>
      </c>
      <c r="E3259" s="5">
        <f ca="1">MAX(0,CP*(D3259-K))</f>
        <v>0</v>
      </c>
      <c r="F3259" s="4">
        <f ca="1">(CP*(D3259-K)&gt;0)*1</f>
        <v>0</v>
      </c>
      <c r="H3259" s="4">
        <v>3244</v>
      </c>
      <c r="I3259" s="3">
        <v>0.66765888308126442</v>
      </c>
      <c r="J3259" s="128">
        <v>1.2931986027839744E-3</v>
      </c>
      <c r="K3259" s="128"/>
      <c r="L3259" s="128">
        <v>3.8800000000000001E-2</v>
      </c>
      <c r="O3259" s="2"/>
    </row>
    <row r="3260" spans="2:15" x14ac:dyDescent="0.2">
      <c r="B3260" s="1">
        <v>3245</v>
      </c>
      <c r="C3260" s="5">
        <f ca="1"/>
        <v>1.0072558290640325</v>
      </c>
      <c r="D3260" s="5">
        <f ca="1">S0*EXP((μ-0.5*σ*σ)*T+σ*SQRT(T)*$C3260)</f>
        <v>0.7338805306839159</v>
      </c>
      <c r="E3260" s="5">
        <f ca="1">MAX(0,CP*(D3260-K))</f>
        <v>0</v>
      </c>
      <c r="F3260" s="4">
        <f ca="1">(CP*(D3260-K)&gt;0)*1</f>
        <v>0</v>
      </c>
      <c r="H3260" s="4">
        <v>3245</v>
      </c>
      <c r="I3260" s="3">
        <v>0.66767651539415096</v>
      </c>
      <c r="J3260" s="128">
        <v>1.330754580343521E-3</v>
      </c>
      <c r="K3260" s="128"/>
      <c r="L3260" s="128">
        <v>3.9199999999999999E-2</v>
      </c>
      <c r="O3260" s="2"/>
    </row>
    <row r="3261" spans="2:15" x14ac:dyDescent="0.2">
      <c r="B3261" s="1">
        <v>3246</v>
      </c>
      <c r="C3261" s="5">
        <f ca="1"/>
        <v>0.22856946748572457</v>
      </c>
      <c r="D3261" s="5">
        <f ca="1">S0*EXP((μ-0.5*σ*σ)*T+σ*SQRT(T)*$C3261)</f>
        <v>0.67964970961178317</v>
      </c>
      <c r="E3261" s="5">
        <f ca="1">MAX(0,CP*(D3261-K))</f>
        <v>0</v>
      </c>
      <c r="F3261" s="4">
        <f ca="1">(CP*(D3261-K)&gt;0)*1</f>
        <v>0</v>
      </c>
      <c r="H3261" s="4">
        <v>3246</v>
      </c>
      <c r="I3261" s="3">
        <v>0.66786492598626823</v>
      </c>
      <c r="J3261" s="128">
        <v>1.4650286953410464E-3</v>
      </c>
      <c r="K3261" s="128"/>
      <c r="L3261" s="128">
        <v>4.4200000000000003E-2</v>
      </c>
      <c r="O3261" s="2"/>
    </row>
    <row r="3262" spans="2:15" x14ac:dyDescent="0.2">
      <c r="B3262" s="1">
        <v>3247</v>
      </c>
      <c r="C3262" s="5">
        <f ca="1"/>
        <v>-0.10008281664672834</v>
      </c>
      <c r="D3262" s="5">
        <f ca="1">S0*EXP((μ-0.5*σ*σ)*T+σ*SQRT(T)*$C3262)</f>
        <v>0.65798131574767349</v>
      </c>
      <c r="E3262" s="5">
        <f ca="1">MAX(0,CP*(D3262-K))</f>
        <v>0</v>
      </c>
      <c r="F3262" s="4">
        <f ca="1">(CP*(D3262-K)&gt;0)*1</f>
        <v>0</v>
      </c>
      <c r="H3262" s="4">
        <v>3247</v>
      </c>
      <c r="I3262" s="3">
        <v>0.66791193987358544</v>
      </c>
      <c r="J3262" s="128">
        <v>1.587016341604678E-3</v>
      </c>
      <c r="K3262" s="128"/>
      <c r="L3262" s="128">
        <v>4.2999999999999997E-2</v>
      </c>
      <c r="O3262" s="2"/>
    </row>
    <row r="3263" spans="2:15" x14ac:dyDescent="0.2">
      <c r="B3263" s="1">
        <v>3248</v>
      </c>
      <c r="C3263" s="5">
        <f ca="1"/>
        <v>-1.2978541908023382</v>
      </c>
      <c r="D3263" s="5">
        <f ca="1">S0*EXP((μ-0.5*σ*σ)*T+σ*SQRT(T)*$C3263)</f>
        <v>0.58469555109997562</v>
      </c>
      <c r="E3263" s="5">
        <f ca="1">MAX(0,CP*(D3263-K))</f>
        <v>0</v>
      </c>
      <c r="F3263" s="4">
        <f ca="1">(CP*(D3263-K)&gt;0)*1</f>
        <v>0</v>
      </c>
      <c r="H3263" s="4">
        <v>3248</v>
      </c>
      <c r="I3263" s="3">
        <v>0.66772505973237151</v>
      </c>
      <c r="J3263" s="128">
        <v>1.2857024103912233E-3</v>
      </c>
      <c r="K3263" s="128"/>
      <c r="L3263" s="128">
        <v>4.2599999999999999E-2</v>
      </c>
      <c r="O3263" s="2"/>
    </row>
    <row r="3264" spans="2:15" x14ac:dyDescent="0.2">
      <c r="B3264" s="1">
        <v>3249</v>
      </c>
      <c r="C3264" s="5">
        <f ca="1"/>
        <v>1.2274529585613811</v>
      </c>
      <c r="D3264" s="5">
        <f ca="1">S0*EXP((μ-0.5*σ*σ)*T+σ*SQRT(T)*$C3264)</f>
        <v>0.74998629158218155</v>
      </c>
      <c r="E3264" s="5">
        <f ca="1">MAX(0,CP*(D3264-K))</f>
        <v>0</v>
      </c>
      <c r="F3264" s="4">
        <f ca="1">(CP*(D3264-K)&gt;0)*1</f>
        <v>0</v>
      </c>
      <c r="H3264" s="4">
        <v>3249</v>
      </c>
      <c r="I3264" s="3">
        <v>0.66775466924546678</v>
      </c>
      <c r="J3264" s="128">
        <v>1.4206764355118725E-3</v>
      </c>
      <c r="K3264" s="128"/>
      <c r="L3264" s="128">
        <v>4.3400000000000001E-2</v>
      </c>
      <c r="O3264" s="2"/>
    </row>
    <row r="3265" spans="2:15" x14ac:dyDescent="0.2">
      <c r="B3265" s="1">
        <v>3250</v>
      </c>
      <c r="C3265" s="5">
        <f ca="1"/>
        <v>0.86865769639299861</v>
      </c>
      <c r="D3265" s="5">
        <f ca="1">S0*EXP((μ-0.5*σ*σ)*T+σ*SQRT(T)*$C3265)</f>
        <v>0.72392095729584816</v>
      </c>
      <c r="E3265" s="5">
        <f ca="1">MAX(0,CP*(D3265-K))</f>
        <v>0</v>
      </c>
      <c r="F3265" s="4">
        <f ca="1">(CP*(D3265-K)&gt;0)*1</f>
        <v>0</v>
      </c>
      <c r="H3265" s="4">
        <v>3250</v>
      </c>
      <c r="I3265" s="3">
        <v>0.66787850808431459</v>
      </c>
      <c r="J3265" s="128">
        <v>1.6709179486305943E-3</v>
      </c>
      <c r="K3265" s="128"/>
      <c r="L3265" s="128">
        <v>4.3200000000000002E-2</v>
      </c>
      <c r="O3265" s="2"/>
    </row>
    <row r="3266" spans="2:15" x14ac:dyDescent="0.2">
      <c r="B3266" s="1">
        <v>3251</v>
      </c>
      <c r="C3266" s="5">
        <f ca="1"/>
        <v>-1.3370758490207846</v>
      </c>
      <c r="D3266" s="5">
        <f ca="1">S0*EXP((μ-0.5*σ*σ)*T+σ*SQRT(T)*$C3266)</f>
        <v>0.58243903688256071</v>
      </c>
      <c r="E3266" s="5">
        <f ca="1">MAX(0,CP*(D3266-K))</f>
        <v>0</v>
      </c>
      <c r="F3266" s="4">
        <f ca="1">(CP*(D3266-K)&gt;0)*1</f>
        <v>0</v>
      </c>
      <c r="H3266" s="4">
        <v>3251</v>
      </c>
      <c r="I3266" s="3">
        <v>0.66761542455529421</v>
      </c>
      <c r="J3266" s="128">
        <v>1.2453759398759106E-3</v>
      </c>
      <c r="K3266" s="128"/>
      <c r="L3266" s="128">
        <v>3.9600000000000003E-2</v>
      </c>
      <c r="O3266" s="2"/>
    </row>
    <row r="3267" spans="2:15" x14ac:dyDescent="0.2">
      <c r="B3267" s="1">
        <v>3252</v>
      </c>
      <c r="C3267" s="5">
        <f ca="1"/>
        <v>-0.35871083636764006</v>
      </c>
      <c r="D3267" s="5">
        <f ca="1">S0*EXP((μ-0.5*σ*σ)*T+σ*SQRT(T)*$C3267)</f>
        <v>0.64141652657273684</v>
      </c>
      <c r="E3267" s="5">
        <f ca="1">MAX(0,CP*(D3267-K))</f>
        <v>0</v>
      </c>
      <c r="F3267" s="4">
        <f ca="1">(CP*(D3267-K)&gt;0)*1</f>
        <v>0</v>
      </c>
      <c r="H3267" s="4">
        <v>3252</v>
      </c>
      <c r="I3267" s="3">
        <v>0.66751976337865093</v>
      </c>
      <c r="J3267" s="128">
        <v>1.1159935549412631E-3</v>
      </c>
      <c r="K3267" s="128"/>
      <c r="L3267" s="128">
        <v>3.5799999999999998E-2</v>
      </c>
      <c r="O3267" s="2"/>
    </row>
    <row r="3268" spans="2:15" x14ac:dyDescent="0.2">
      <c r="B3268" s="1">
        <v>3253</v>
      </c>
      <c r="C3268" s="5">
        <f ca="1"/>
        <v>0.3288158692776697</v>
      </c>
      <c r="D3268" s="5">
        <f ca="1">S0*EXP((μ-0.5*σ*σ)*T+σ*SQRT(T)*$C3268)</f>
        <v>0.6864000160957402</v>
      </c>
      <c r="E3268" s="5">
        <f ca="1">MAX(0,CP*(D3268-K))</f>
        <v>0</v>
      </c>
      <c r="F3268" s="4">
        <f ca="1">(CP*(D3268-K)&gt;0)*1</f>
        <v>0</v>
      </c>
      <c r="H3268" s="4">
        <v>3253</v>
      </c>
      <c r="I3268" s="3">
        <v>0.6677221688660967</v>
      </c>
      <c r="J3268" s="128">
        <v>1.2532824477643077E-3</v>
      </c>
      <c r="K3268" s="128"/>
      <c r="L3268" s="128">
        <v>4.2200000000000001E-2</v>
      </c>
      <c r="O3268" s="2"/>
    </row>
    <row r="3269" spans="2:15" x14ac:dyDescent="0.2">
      <c r="B3269" s="1">
        <v>3254</v>
      </c>
      <c r="C3269" s="5">
        <f ca="1"/>
        <v>0.88793178267762063</v>
      </c>
      <c r="D3269" s="5">
        <f ca="1">S0*EXP((μ-0.5*σ*σ)*T+σ*SQRT(T)*$C3269)</f>
        <v>0.72529784763845206</v>
      </c>
      <c r="E3269" s="5">
        <f ca="1">MAX(0,CP*(D3269-K))</f>
        <v>0</v>
      </c>
      <c r="F3269" s="4">
        <f ca="1">(CP*(D3269-K)&gt;0)*1</f>
        <v>0</v>
      </c>
      <c r="H3269" s="4">
        <v>3254</v>
      </c>
      <c r="I3269" s="3">
        <v>0.66773613650736097</v>
      </c>
      <c r="J3269" s="128">
        <v>1.2779907497570469E-3</v>
      </c>
      <c r="K3269" s="128"/>
      <c r="L3269" s="128">
        <v>4.0800000000000003E-2</v>
      </c>
      <c r="O3269" s="2"/>
    </row>
    <row r="3270" spans="2:15" x14ac:dyDescent="0.2">
      <c r="B3270" s="1">
        <v>3255</v>
      </c>
      <c r="C3270" s="5">
        <f ca="1"/>
        <v>1.8629538602912488</v>
      </c>
      <c r="D3270" s="5">
        <f ca="1">S0*EXP((μ-0.5*σ*σ)*T+σ*SQRT(T)*$C3270)</f>
        <v>0.79847795111528919</v>
      </c>
      <c r="E3270" s="5">
        <f ca="1">MAX(0,CP*(D3270-K))</f>
        <v>1.0277951115289174E-2</v>
      </c>
      <c r="F3270" s="4">
        <f ca="1">(CP*(D3270-K)&gt;0)*1</f>
        <v>1</v>
      </c>
      <c r="H3270" s="4">
        <v>3255</v>
      </c>
      <c r="I3270" s="3">
        <v>0.66769777412798037</v>
      </c>
      <c r="J3270" s="128">
        <v>1.3195696269800881E-3</v>
      </c>
      <c r="K3270" s="128"/>
      <c r="L3270" s="128">
        <v>0.04</v>
      </c>
      <c r="O3270" s="2"/>
    </row>
    <row r="3271" spans="2:15" x14ac:dyDescent="0.2">
      <c r="B3271" s="1">
        <v>3256</v>
      </c>
      <c r="C3271" s="5">
        <f ca="1"/>
        <v>-0.26081477594346697</v>
      </c>
      <c r="D3271" s="5">
        <f ca="1">S0*EXP((μ-0.5*σ*σ)*T+σ*SQRT(T)*$C3271)</f>
        <v>0.64763701555835718</v>
      </c>
      <c r="E3271" s="5">
        <f ca="1">MAX(0,CP*(D3271-K))</f>
        <v>0</v>
      </c>
      <c r="F3271" s="4">
        <f ca="1">(CP*(D3271-K)&gt;0)*1</f>
        <v>0</v>
      </c>
      <c r="H3271" s="4">
        <v>3256</v>
      </c>
      <c r="I3271" s="3">
        <v>0.66781252608311126</v>
      </c>
      <c r="J3271" s="128">
        <v>1.5761869103704672E-3</v>
      </c>
      <c r="K3271" s="128"/>
      <c r="L3271" s="128">
        <v>4.1599999999999998E-2</v>
      </c>
      <c r="O3271" s="2"/>
    </row>
    <row r="3272" spans="2:15" x14ac:dyDescent="0.2">
      <c r="B3272" s="1">
        <v>3257</v>
      </c>
      <c r="C3272" s="5">
        <f ca="1"/>
        <v>-1.7112597527883751</v>
      </c>
      <c r="D3272" s="5">
        <f ca="1">S0*EXP((μ-0.5*σ*σ)*T+σ*SQRT(T)*$C3272)</f>
        <v>0.56134443202769602</v>
      </c>
      <c r="E3272" s="5">
        <f ca="1">MAX(0,CP*(D3272-K))</f>
        <v>0</v>
      </c>
      <c r="F3272" s="4">
        <f ca="1">(CP*(D3272-K)&gt;0)*1</f>
        <v>0</v>
      </c>
      <c r="H3272" s="4">
        <v>3257</v>
      </c>
      <c r="I3272" s="3">
        <v>0.66799154401963801</v>
      </c>
      <c r="J3272" s="128">
        <v>1.5630998834298029E-3</v>
      </c>
      <c r="K3272" s="128"/>
      <c r="L3272" s="128">
        <v>4.3999999999999997E-2</v>
      </c>
      <c r="O3272" s="2"/>
    </row>
    <row r="3273" spans="2:15" x14ac:dyDescent="0.2">
      <c r="B3273" s="1">
        <v>3258</v>
      </c>
      <c r="C3273" s="5">
        <f ca="1"/>
        <v>0.35073848823886383</v>
      </c>
      <c r="D3273" s="5">
        <f ca="1">S0*EXP((μ-0.5*σ*σ)*T+σ*SQRT(T)*$C3273)</f>
        <v>0.68788513369564896</v>
      </c>
      <c r="E3273" s="5">
        <f ca="1">MAX(0,CP*(D3273-K))</f>
        <v>0</v>
      </c>
      <c r="F3273" s="4">
        <f ca="1">(CP*(D3273-K)&gt;0)*1</f>
        <v>0</v>
      </c>
      <c r="H3273" s="4">
        <v>3258</v>
      </c>
      <c r="I3273" s="3">
        <v>0.66768727033790032</v>
      </c>
      <c r="J3273" s="128">
        <v>1.2187541463798866E-3</v>
      </c>
      <c r="K3273" s="128"/>
      <c r="L3273" s="128">
        <v>3.8800000000000001E-2</v>
      </c>
      <c r="O3273" s="2"/>
    </row>
    <row r="3274" spans="2:15" x14ac:dyDescent="0.2">
      <c r="B3274" s="1">
        <v>3259</v>
      </c>
      <c r="C3274" s="5">
        <f ca="1"/>
        <v>-1.2217729294008854</v>
      </c>
      <c r="D3274" s="5">
        <f ca="1">S0*EXP((μ-0.5*σ*σ)*T+σ*SQRT(T)*$C3274)</f>
        <v>0.58909764173266033</v>
      </c>
      <c r="E3274" s="5">
        <f ca="1">MAX(0,CP*(D3274-K))</f>
        <v>0</v>
      </c>
      <c r="F3274" s="4">
        <f ca="1">(CP*(D3274-K)&gt;0)*1</f>
        <v>0</v>
      </c>
      <c r="H3274" s="4">
        <v>3259</v>
      </c>
      <c r="I3274" s="3">
        <v>0.66780847799951149</v>
      </c>
      <c r="J3274" s="128">
        <v>1.4474768179406827E-3</v>
      </c>
      <c r="K3274" s="128"/>
      <c r="L3274" s="128">
        <v>4.4400000000000002E-2</v>
      </c>
      <c r="O3274" s="2"/>
    </row>
    <row r="3275" spans="2:15" x14ac:dyDescent="0.2">
      <c r="B3275" s="1">
        <v>3260</v>
      </c>
      <c r="C3275" s="5">
        <f ca="1"/>
        <v>2.5054000567431389</v>
      </c>
      <c r="D3275" s="5">
        <f ca="1">S0*EXP((μ-0.5*σ*σ)*T+σ*SQRT(T)*$C3275)</f>
        <v>0.85068720502897033</v>
      </c>
      <c r="E3275" s="5">
        <f ca="1">MAX(0,CP*(D3275-K))</f>
        <v>6.2487205028970316E-2</v>
      </c>
      <c r="F3275" s="4">
        <f ca="1">(CP*(D3275-K)&gt;0)*1</f>
        <v>1</v>
      </c>
      <c r="H3275" s="4">
        <v>3260</v>
      </c>
      <c r="I3275" s="3">
        <v>0.66784306924287695</v>
      </c>
      <c r="J3275" s="128">
        <v>1.494754908605079E-3</v>
      </c>
      <c r="K3275" s="128"/>
      <c r="L3275" s="128">
        <v>4.3400000000000001E-2</v>
      </c>
      <c r="O3275" s="2"/>
    </row>
    <row r="3276" spans="2:15" x14ac:dyDescent="0.2">
      <c r="B3276" s="1">
        <v>3261</v>
      </c>
      <c r="C3276" s="5">
        <f ca="1"/>
        <v>-0.22718858046342932</v>
      </c>
      <c r="D3276" s="5">
        <f ca="1">S0*EXP((μ-0.5*σ*σ)*T+σ*SQRT(T)*$C3276)</f>
        <v>0.64978757368312057</v>
      </c>
      <c r="E3276" s="5">
        <f ca="1">MAX(0,CP*(D3276-K))</f>
        <v>0</v>
      </c>
      <c r="F3276" s="4">
        <f ca="1">(CP*(D3276-K)&gt;0)*1</f>
        <v>0</v>
      </c>
      <c r="H3276" s="4">
        <v>3261</v>
      </c>
      <c r="I3276" s="3">
        <v>0.6677428347138944</v>
      </c>
      <c r="J3276" s="128">
        <v>1.3702946500786012E-3</v>
      </c>
      <c r="K3276" s="128"/>
      <c r="L3276" s="128">
        <v>4.3799999999999999E-2</v>
      </c>
      <c r="O3276" s="2"/>
    </row>
    <row r="3277" spans="2:15" x14ac:dyDescent="0.2">
      <c r="B3277" s="1">
        <v>3262</v>
      </c>
      <c r="C3277" s="5">
        <f ca="1"/>
        <v>-0.54027116118780738</v>
      </c>
      <c r="D3277" s="5">
        <f ca="1">S0*EXP((μ-0.5*σ*σ)*T+σ*SQRT(T)*$C3277)</f>
        <v>0.6300375874993871</v>
      </c>
      <c r="E3277" s="5">
        <f ca="1">MAX(0,CP*(D3277-K))</f>
        <v>0</v>
      </c>
      <c r="F3277" s="4">
        <f ca="1">(CP*(D3277-K)&gt;0)*1</f>
        <v>0</v>
      </c>
      <c r="H3277" s="4">
        <v>3262</v>
      </c>
      <c r="I3277" s="3">
        <v>0.66775268078849292</v>
      </c>
      <c r="J3277" s="128">
        <v>1.2254135630639005E-3</v>
      </c>
      <c r="K3277" s="128"/>
      <c r="L3277" s="128">
        <v>4.3200000000000002E-2</v>
      </c>
      <c r="O3277" s="2"/>
    </row>
    <row r="3278" spans="2:15" x14ac:dyDescent="0.2">
      <c r="B3278" s="1">
        <v>3263</v>
      </c>
      <c r="C3278" s="5">
        <f ca="1"/>
        <v>-1.3297608433240813</v>
      </c>
      <c r="D3278" s="5">
        <f ca="1">S0*EXP((μ-0.5*σ*σ)*T+σ*SQRT(T)*$C3278)</f>
        <v>0.58285922471607232</v>
      </c>
      <c r="E3278" s="5">
        <f ca="1">MAX(0,CP*(D3278-K))</f>
        <v>0</v>
      </c>
      <c r="F3278" s="4">
        <f ca="1">(CP*(D3278-K)&gt;0)*1</f>
        <v>0</v>
      </c>
      <c r="H3278" s="4">
        <v>3263</v>
      </c>
      <c r="I3278" s="3">
        <v>0.66764281939689352</v>
      </c>
      <c r="J3278" s="128">
        <v>1.2377119976954094E-3</v>
      </c>
      <c r="K3278" s="128"/>
      <c r="L3278" s="128">
        <v>4.1000000000000002E-2</v>
      </c>
      <c r="O3278" s="2"/>
    </row>
    <row r="3279" spans="2:15" x14ac:dyDescent="0.2">
      <c r="B3279" s="1">
        <v>3264</v>
      </c>
      <c r="C3279" s="5">
        <f ca="1"/>
        <v>-1.623436787612867</v>
      </c>
      <c r="D3279" s="5">
        <f ca="1">S0*EXP((μ-0.5*σ*σ)*T+σ*SQRT(T)*$C3279)</f>
        <v>0.56622579054650557</v>
      </c>
      <c r="E3279" s="5">
        <f ca="1">MAX(0,CP*(D3279-K))</f>
        <v>0</v>
      </c>
      <c r="F3279" s="4">
        <f ca="1">(CP*(D3279-K)&gt;0)*1</f>
        <v>0</v>
      </c>
      <c r="H3279" s="4">
        <v>3264</v>
      </c>
      <c r="I3279" s="3">
        <v>0.66764388014449561</v>
      </c>
      <c r="J3279" s="128">
        <v>1.3560967266442352E-3</v>
      </c>
      <c r="K3279" s="128"/>
      <c r="L3279" s="128">
        <v>4.0399999999999998E-2</v>
      </c>
      <c r="O3279" s="2"/>
    </row>
    <row r="3280" spans="2:15" x14ac:dyDescent="0.2">
      <c r="B3280" s="1">
        <v>3265</v>
      </c>
      <c r="C3280" s="5">
        <f ca="1"/>
        <v>0.70045733543651101</v>
      </c>
      <c r="D3280" s="5">
        <f ca="1">S0*EXP((μ-0.5*σ*σ)*T+σ*SQRT(T)*$C3280)</f>
        <v>0.71201555880213585</v>
      </c>
      <c r="E3280" s="5">
        <f ca="1">MAX(0,CP*(D3280-K))</f>
        <v>0</v>
      </c>
      <c r="F3280" s="4">
        <f ca="1">(CP*(D3280-K)&gt;0)*1</f>
        <v>0</v>
      </c>
      <c r="H3280" s="4">
        <v>3265</v>
      </c>
      <c r="I3280" s="3">
        <v>0.66794180009658322</v>
      </c>
      <c r="J3280" s="128">
        <v>1.6216877882581826E-3</v>
      </c>
      <c r="K3280" s="128"/>
      <c r="L3280" s="128">
        <v>4.9599999999999998E-2</v>
      </c>
      <c r="O3280" s="2"/>
    </row>
    <row r="3281" spans="2:15" x14ac:dyDescent="0.2">
      <c r="B3281" s="1">
        <v>3266</v>
      </c>
      <c r="C3281" s="5">
        <f ca="1"/>
        <v>-0.96413959491494239</v>
      </c>
      <c r="D3281" s="5">
        <f ca="1">S0*EXP((μ-0.5*σ*σ)*T+σ*SQRT(T)*$C3281)</f>
        <v>0.60425202081757412</v>
      </c>
      <c r="E3281" s="5">
        <f ca="1">MAX(0,CP*(D3281-K))</f>
        <v>0</v>
      </c>
      <c r="F3281" s="4">
        <f ca="1">(CP*(D3281-K)&gt;0)*1</f>
        <v>0</v>
      </c>
      <c r="H3281" s="4">
        <v>3266</v>
      </c>
      <c r="I3281" s="3">
        <v>0.6677495550316368</v>
      </c>
      <c r="J3281" s="128">
        <v>1.3761035584017819E-3</v>
      </c>
      <c r="K3281" s="128"/>
      <c r="L3281" s="128">
        <v>4.24E-2</v>
      </c>
      <c r="O3281" s="2"/>
    </row>
    <row r="3282" spans="2:15" x14ac:dyDescent="0.2">
      <c r="B3282" s="1">
        <v>3267</v>
      </c>
      <c r="C3282" s="5">
        <f ca="1"/>
        <v>0.36733987108433602</v>
      </c>
      <c r="D3282" s="5">
        <f ca="1">S0*EXP((μ-0.5*σ*σ)*T+σ*SQRT(T)*$C3282)</f>
        <v>0.68901190910419097</v>
      </c>
      <c r="E3282" s="5">
        <f ca="1">MAX(0,CP*(D3282-K))</f>
        <v>0</v>
      </c>
      <c r="F3282" s="4">
        <f ca="1">(CP*(D3282-K)&gt;0)*1</f>
        <v>0</v>
      </c>
      <c r="H3282" s="4">
        <v>3267</v>
      </c>
      <c r="I3282" s="3">
        <v>0.66771945295569413</v>
      </c>
      <c r="J3282" s="128">
        <v>1.3438883863673612E-3</v>
      </c>
      <c r="K3282" s="128"/>
      <c r="L3282" s="128">
        <v>4.24E-2</v>
      </c>
      <c r="O3282" s="2"/>
    </row>
    <row r="3283" spans="2:15" x14ac:dyDescent="0.2">
      <c r="B3283" s="1">
        <v>3268</v>
      </c>
      <c r="C3283" s="5">
        <f ca="1"/>
        <v>-1.0053120413195604</v>
      </c>
      <c r="D3283" s="5">
        <f ca="1">S0*EXP((μ-0.5*σ*σ)*T+σ*SQRT(T)*$C3283)</f>
        <v>0.60180428026242283</v>
      </c>
      <c r="E3283" s="5">
        <f ca="1">MAX(0,CP*(D3283-K))</f>
        <v>0</v>
      </c>
      <c r="F3283" s="4">
        <f ca="1">(CP*(D3283-K)&gt;0)*1</f>
        <v>0</v>
      </c>
      <c r="H3283" s="4">
        <v>3268</v>
      </c>
      <c r="I3283" s="3">
        <v>0.66785601857127197</v>
      </c>
      <c r="J3283" s="128">
        <v>1.4137302175162418E-3</v>
      </c>
      <c r="K3283" s="128"/>
      <c r="L3283" s="128">
        <v>4.24E-2</v>
      </c>
      <c r="O3283" s="2"/>
    </row>
    <row r="3284" spans="2:15" x14ac:dyDescent="0.2">
      <c r="B3284" s="1">
        <v>3269</v>
      </c>
      <c r="C3284" s="5">
        <f ca="1"/>
        <v>-1.6372636945028378</v>
      </c>
      <c r="D3284" s="5">
        <f ca="1">S0*EXP((μ-0.5*σ*σ)*T+σ*SQRT(T)*$C3284)</f>
        <v>0.56545446017382905</v>
      </c>
      <c r="E3284" s="5">
        <f ca="1">MAX(0,CP*(D3284-K))</f>
        <v>0</v>
      </c>
      <c r="F3284" s="4">
        <f ca="1">(CP*(D3284-K)&gt;0)*1</f>
        <v>0</v>
      </c>
      <c r="H3284" s="4">
        <v>3269</v>
      </c>
      <c r="I3284" s="3">
        <v>0.6676405657416622</v>
      </c>
      <c r="J3284" s="128">
        <v>1.3539872081197431E-3</v>
      </c>
      <c r="K3284" s="128"/>
      <c r="L3284" s="128">
        <v>4.4400000000000002E-2</v>
      </c>
      <c r="O3284" s="2"/>
    </row>
    <row r="3285" spans="2:15" x14ac:dyDescent="0.2">
      <c r="B3285" s="1">
        <v>3270</v>
      </c>
      <c r="C3285" s="5">
        <f ca="1"/>
        <v>0.46579275978275075</v>
      </c>
      <c r="D3285" s="5">
        <f ca="1">S0*EXP((μ-0.5*σ*σ)*T+σ*SQRT(T)*$C3285)</f>
        <v>0.69573217251506148</v>
      </c>
      <c r="E3285" s="5">
        <f ca="1">MAX(0,CP*(D3285-K))</f>
        <v>0</v>
      </c>
      <c r="F3285" s="4">
        <f ca="1">(CP*(D3285-K)&gt;0)*1</f>
        <v>0</v>
      </c>
      <c r="H3285" s="4">
        <v>3270</v>
      </c>
      <c r="I3285" s="3">
        <v>0.66797032507756993</v>
      </c>
      <c r="J3285" s="128">
        <v>1.5052245356180129E-3</v>
      </c>
      <c r="K3285" s="128"/>
      <c r="L3285" s="128">
        <v>4.7600000000000003E-2</v>
      </c>
      <c r="O3285" s="2"/>
    </row>
    <row r="3286" spans="2:15" x14ac:dyDescent="0.2">
      <c r="B3286" s="1">
        <v>3271</v>
      </c>
      <c r="C3286" s="5">
        <f ca="1"/>
        <v>0.51883517008072277</v>
      </c>
      <c r="D3286" s="5">
        <f ca="1">S0*EXP((μ-0.5*σ*σ)*T+σ*SQRT(T)*$C3286)</f>
        <v>0.69937990587095811</v>
      </c>
      <c r="E3286" s="5">
        <f ca="1">MAX(0,CP*(D3286-K))</f>
        <v>0</v>
      </c>
      <c r="F3286" s="4">
        <f ca="1">(CP*(D3286-K)&gt;0)*1</f>
        <v>0</v>
      </c>
      <c r="H3286" s="4">
        <v>3271</v>
      </c>
      <c r="I3286" s="3">
        <v>0.66784735103065873</v>
      </c>
      <c r="J3286" s="128">
        <v>1.4975080047720543E-3</v>
      </c>
      <c r="K3286" s="128"/>
      <c r="L3286" s="128">
        <v>4.1200000000000001E-2</v>
      </c>
      <c r="O3286" s="2"/>
    </row>
    <row r="3287" spans="2:15" x14ac:dyDescent="0.2">
      <c r="B3287" s="1">
        <v>3272</v>
      </c>
      <c r="C3287" s="5">
        <f ca="1"/>
        <v>0.2471918993658658</v>
      </c>
      <c r="D3287" s="5">
        <f ca="1">S0*EXP((μ-0.5*σ*σ)*T+σ*SQRT(T)*$C3287)</f>
        <v>0.68089865077780398</v>
      </c>
      <c r="E3287" s="5">
        <f ca="1">MAX(0,CP*(D3287-K))</f>
        <v>0</v>
      </c>
      <c r="F3287" s="4">
        <f ca="1">(CP*(D3287-K)&gt;0)*1</f>
        <v>0</v>
      </c>
      <c r="H3287" s="4">
        <v>3272</v>
      </c>
      <c r="I3287" s="3">
        <v>0.66765594256216321</v>
      </c>
      <c r="J3287" s="128">
        <v>1.3050306276857718E-3</v>
      </c>
      <c r="K3287" s="128"/>
      <c r="L3287" s="128">
        <v>3.8199999999999998E-2</v>
      </c>
      <c r="O3287" s="2"/>
    </row>
    <row r="3288" spans="2:15" x14ac:dyDescent="0.2">
      <c r="B3288" s="1">
        <v>3273</v>
      </c>
      <c r="C3288" s="5">
        <f ca="1"/>
        <v>-1.4081373583715637</v>
      </c>
      <c r="D3288" s="5">
        <f ca="1">S0*EXP((μ-0.5*σ*σ)*T+σ*SQRT(T)*$C3288)</f>
        <v>0.57837286037524815</v>
      </c>
      <c r="E3288" s="5">
        <f ca="1">MAX(0,CP*(D3288-K))</f>
        <v>0</v>
      </c>
      <c r="F3288" s="4">
        <f ca="1">(CP*(D3288-K)&gt;0)*1</f>
        <v>0</v>
      </c>
      <c r="H3288" s="4">
        <v>3273</v>
      </c>
      <c r="I3288" s="3">
        <v>0.66778924257584982</v>
      </c>
      <c r="J3288" s="128">
        <v>1.4325419310503048E-3</v>
      </c>
      <c r="K3288" s="128"/>
      <c r="L3288" s="128">
        <v>3.9199999999999999E-2</v>
      </c>
      <c r="O3288" s="2"/>
    </row>
    <row r="3289" spans="2:15" x14ac:dyDescent="0.2">
      <c r="B3289" s="1">
        <v>3274</v>
      </c>
      <c r="C3289" s="5">
        <f ca="1"/>
        <v>1.2573007985108937</v>
      </c>
      <c r="D3289" s="5">
        <f ca="1">S0*EXP((μ-0.5*σ*σ)*T+σ*SQRT(T)*$C3289)</f>
        <v>0.75219646877121416</v>
      </c>
      <c r="E3289" s="5">
        <f ca="1">MAX(0,CP*(D3289-K))</f>
        <v>0</v>
      </c>
      <c r="F3289" s="4">
        <f ca="1">(CP*(D3289-K)&gt;0)*1</f>
        <v>0</v>
      </c>
      <c r="H3289" s="4">
        <v>3274</v>
      </c>
      <c r="I3289" s="3">
        <v>0.66760021575900064</v>
      </c>
      <c r="J3289" s="128">
        <v>1.3060761661216657E-3</v>
      </c>
      <c r="K3289" s="128"/>
      <c r="L3289" s="128">
        <v>3.6799999999999999E-2</v>
      </c>
      <c r="O3289" s="2"/>
    </row>
    <row r="3290" spans="2:15" x14ac:dyDescent="0.2">
      <c r="B3290" s="1">
        <v>3275</v>
      </c>
      <c r="C3290" s="5">
        <f ca="1"/>
        <v>-0.45838902783494523</v>
      </c>
      <c r="D3290" s="5">
        <f ca="1">S0*EXP((μ-0.5*σ*σ)*T+σ*SQRT(T)*$C3290)</f>
        <v>0.63514418280098095</v>
      </c>
      <c r="E3290" s="5">
        <f ca="1">MAX(0,CP*(D3290-K))</f>
        <v>0</v>
      </c>
      <c r="F3290" s="4">
        <f ca="1">(CP*(D3290-K)&gt;0)*1</f>
        <v>0</v>
      </c>
      <c r="H3290" s="4">
        <v>3275</v>
      </c>
      <c r="I3290" s="3">
        <v>0.66765509852415961</v>
      </c>
      <c r="J3290" s="128">
        <v>1.323302452737109E-3</v>
      </c>
      <c r="K3290" s="128"/>
      <c r="L3290" s="128">
        <v>0.04</v>
      </c>
      <c r="O3290" s="2"/>
    </row>
    <row r="3291" spans="2:15" x14ac:dyDescent="0.2">
      <c r="B3291" s="1">
        <v>3276</v>
      </c>
      <c r="C3291" s="5">
        <f ca="1"/>
        <v>1.6150101318131838</v>
      </c>
      <c r="D3291" s="5">
        <f ca="1">S0*EXP((μ-0.5*σ*σ)*T+σ*SQRT(T)*$C3291)</f>
        <v>0.77919646028647194</v>
      </c>
      <c r="E3291" s="5">
        <f ca="1">MAX(0,CP*(D3291-K))</f>
        <v>0</v>
      </c>
      <c r="F3291" s="4">
        <f ca="1">(CP*(D3291-K)&gt;0)*1</f>
        <v>0</v>
      </c>
      <c r="H3291" s="4">
        <v>3276</v>
      </c>
      <c r="I3291" s="3">
        <v>0.66778727652849179</v>
      </c>
      <c r="J3291" s="128">
        <v>1.3810949780293656E-3</v>
      </c>
      <c r="K3291" s="128"/>
      <c r="L3291" s="128">
        <v>4.6600000000000003E-2</v>
      </c>
      <c r="O3291" s="2"/>
    </row>
    <row r="3292" spans="2:15" x14ac:dyDescent="0.2">
      <c r="B3292" s="1">
        <v>3277</v>
      </c>
      <c r="C3292" s="5">
        <f ca="1"/>
        <v>-0.88793216452579693</v>
      </c>
      <c r="D3292" s="5">
        <f ca="1">S0*EXP((μ-0.5*σ*σ)*T+σ*SQRT(T)*$C3292)</f>
        <v>0.6088089220953794</v>
      </c>
      <c r="E3292" s="5">
        <f ca="1">MAX(0,CP*(D3292-K))</f>
        <v>0</v>
      </c>
      <c r="F3292" s="4">
        <f ca="1">(CP*(D3292-K)&gt;0)*1</f>
        <v>0</v>
      </c>
      <c r="H3292" s="4">
        <v>3277</v>
      </c>
      <c r="I3292" s="3">
        <v>0.66783432619106786</v>
      </c>
      <c r="J3292" s="128">
        <v>1.4862486218576978E-3</v>
      </c>
      <c r="K3292" s="128"/>
      <c r="L3292" s="128">
        <v>4.5199999999999997E-2</v>
      </c>
      <c r="O3292" s="2"/>
    </row>
    <row r="3293" spans="2:15" x14ac:dyDescent="0.2">
      <c r="B3293" s="1">
        <v>3278</v>
      </c>
      <c r="C3293" s="5">
        <f ca="1"/>
        <v>-2.03255499135143</v>
      </c>
      <c r="D3293" s="5">
        <f ca="1">S0*EXP((μ-0.5*σ*σ)*T+σ*SQRT(T)*$C3293)</f>
        <v>0.54384212500529983</v>
      </c>
      <c r="E3293" s="5">
        <f ca="1">MAX(0,CP*(D3293-K))</f>
        <v>0</v>
      </c>
      <c r="F3293" s="4">
        <f ca="1">(CP*(D3293-K)&gt;0)*1</f>
        <v>0</v>
      </c>
      <c r="H3293" s="4">
        <v>3278</v>
      </c>
      <c r="I3293" s="3">
        <v>0.6678827549963805</v>
      </c>
      <c r="J3293" s="128">
        <v>1.5327305944856111E-3</v>
      </c>
      <c r="K3293" s="128"/>
      <c r="L3293" s="128">
        <v>4.5999999999999999E-2</v>
      </c>
      <c r="O3293" s="2"/>
    </row>
    <row r="3294" spans="2:15" x14ac:dyDescent="0.2">
      <c r="B3294" s="1">
        <v>3279</v>
      </c>
      <c r="C3294" s="5">
        <f ca="1"/>
        <v>1.6419443584258744</v>
      </c>
      <c r="D3294" s="5">
        <f ca="1">S0*EXP((μ-0.5*σ*σ)*T+σ*SQRT(T)*$C3294)</f>
        <v>0.78126827034263402</v>
      </c>
      <c r="E3294" s="5">
        <f ca="1">MAX(0,CP*(D3294-K))</f>
        <v>0</v>
      </c>
      <c r="F3294" s="4">
        <f ca="1">(CP*(D3294-K)&gt;0)*1</f>
        <v>0</v>
      </c>
      <c r="H3294" s="4">
        <v>3279</v>
      </c>
      <c r="I3294" s="3">
        <v>0.66780740476640144</v>
      </c>
      <c r="J3294" s="128">
        <v>1.4694421415202654E-3</v>
      </c>
      <c r="K3294" s="128"/>
      <c r="L3294" s="128">
        <v>4.3999999999999997E-2</v>
      </c>
      <c r="O3294" s="2"/>
    </row>
    <row r="3295" spans="2:15" x14ac:dyDescent="0.2">
      <c r="B3295" s="1">
        <v>3280</v>
      </c>
      <c r="C3295" s="5">
        <f ca="1"/>
        <v>0.19670728521821362</v>
      </c>
      <c r="D3295" s="5">
        <f ca="1">S0*EXP((μ-0.5*σ*σ)*T+σ*SQRT(T)*$C3295)</f>
        <v>0.67751813545138095</v>
      </c>
      <c r="E3295" s="5">
        <f ca="1">MAX(0,CP*(D3295-K))</f>
        <v>0</v>
      </c>
      <c r="F3295" s="4">
        <f ca="1">(CP*(D3295-K)&gt;0)*1</f>
        <v>0</v>
      </c>
      <c r="H3295" s="4">
        <v>3280</v>
      </c>
      <c r="I3295" s="3">
        <v>0.66765811579806134</v>
      </c>
      <c r="J3295" s="128">
        <v>1.17000348697527E-3</v>
      </c>
      <c r="K3295" s="128"/>
      <c r="L3295" s="128">
        <v>4.02E-2</v>
      </c>
      <c r="O3295" s="2"/>
    </row>
    <row r="3296" spans="2:15" x14ac:dyDescent="0.2">
      <c r="B3296" s="1">
        <v>3281</v>
      </c>
      <c r="C3296" s="5">
        <f ca="1"/>
        <v>-0.96245059578719461</v>
      </c>
      <c r="D3296" s="5">
        <f ca="1">S0*EXP((μ-0.5*σ*σ)*T+σ*SQRT(T)*$C3296)</f>
        <v>0.60435264570695113</v>
      </c>
      <c r="E3296" s="5">
        <f ca="1">MAX(0,CP*(D3296-K))</f>
        <v>0</v>
      </c>
      <c r="F3296" s="4">
        <f ca="1">(CP*(D3296-K)&gt;0)*1</f>
        <v>0</v>
      </c>
      <c r="H3296" s="4">
        <v>3281</v>
      </c>
      <c r="I3296" s="3">
        <v>0.66755515747670591</v>
      </c>
      <c r="J3296" s="128">
        <v>1.1909218447184173E-3</v>
      </c>
      <c r="K3296" s="128"/>
      <c r="L3296" s="128">
        <v>3.9800000000000002E-2</v>
      </c>
      <c r="O3296" s="2"/>
    </row>
    <row r="3297" spans="2:15" x14ac:dyDescent="0.2">
      <c r="B3297" s="1">
        <v>3282</v>
      </c>
      <c r="C3297" s="5">
        <f ca="1"/>
        <v>-0.8393651603404626</v>
      </c>
      <c r="D3297" s="5">
        <f ca="1">S0*EXP((μ-0.5*σ*σ)*T+σ*SQRT(T)*$C3297)</f>
        <v>0.6117309488042123</v>
      </c>
      <c r="E3297" s="5">
        <f ca="1">MAX(0,CP*(D3297-K))</f>
        <v>0</v>
      </c>
      <c r="F3297" s="4">
        <f ca="1">(CP*(D3297-K)&gt;0)*1</f>
        <v>0</v>
      </c>
      <c r="H3297" s="4">
        <v>3282</v>
      </c>
      <c r="I3297" s="3">
        <v>0.66797753560952211</v>
      </c>
      <c r="J3297" s="128">
        <v>1.7122554294825914E-3</v>
      </c>
      <c r="K3297" s="128"/>
      <c r="L3297" s="128">
        <v>4.58E-2</v>
      </c>
      <c r="O3297" s="2"/>
    </row>
    <row r="3298" spans="2:15" x14ac:dyDescent="0.2">
      <c r="B3298" s="1">
        <v>3283</v>
      </c>
      <c r="C3298" s="5">
        <f ca="1"/>
        <v>0.70528550686027347</v>
      </c>
      <c r="D3298" s="5">
        <f ca="1">S0*EXP((μ-0.5*σ*σ)*T+σ*SQRT(T)*$C3298)</f>
        <v>0.71235455689211069</v>
      </c>
      <c r="E3298" s="5">
        <f ca="1">MAX(0,CP*(D3298-K))</f>
        <v>0</v>
      </c>
      <c r="F3298" s="4">
        <f ca="1">(CP*(D3298-K)&gt;0)*1</f>
        <v>0</v>
      </c>
      <c r="H3298" s="4">
        <v>3283</v>
      </c>
      <c r="I3298" s="3">
        <v>0.6677478389173771</v>
      </c>
      <c r="J3298" s="128">
        <v>1.4251652504755864E-3</v>
      </c>
      <c r="K3298" s="128"/>
      <c r="L3298" s="128">
        <v>4.2200000000000001E-2</v>
      </c>
      <c r="O3298" s="2"/>
    </row>
    <row r="3299" spans="2:15" x14ac:dyDescent="0.2">
      <c r="B3299" s="1">
        <v>3284</v>
      </c>
      <c r="C3299" s="5">
        <f ca="1"/>
        <v>8.7765221909753902E-2</v>
      </c>
      <c r="D3299" s="5">
        <f ca="1">S0*EXP((μ-0.5*σ*σ)*T+σ*SQRT(T)*$C3299)</f>
        <v>0.67028031012980438</v>
      </c>
      <c r="E3299" s="5">
        <f ca="1">MAX(0,CP*(D3299-K))</f>
        <v>0</v>
      </c>
      <c r="F3299" s="4">
        <f ca="1">(CP*(D3299-K)&gt;0)*1</f>
        <v>0</v>
      </c>
      <c r="H3299" s="4">
        <v>3284</v>
      </c>
      <c r="I3299" s="3">
        <v>0.66778887494755157</v>
      </c>
      <c r="J3299" s="128">
        <v>1.4824308080288321E-3</v>
      </c>
      <c r="K3299" s="128"/>
      <c r="L3299" s="128">
        <v>4.3400000000000001E-2</v>
      </c>
      <c r="O3299" s="2"/>
    </row>
    <row r="3300" spans="2:15" x14ac:dyDescent="0.2">
      <c r="B3300" s="1">
        <v>3285</v>
      </c>
      <c r="C3300" s="5">
        <f ca="1"/>
        <v>-0.8650571402737337</v>
      </c>
      <c r="D3300" s="5">
        <f ca="1">S0*EXP((μ-0.5*σ*σ)*T+σ*SQRT(T)*$C3300)</f>
        <v>0.61018345168255228</v>
      </c>
      <c r="E3300" s="5">
        <f ca="1">MAX(0,CP*(D3300-K))</f>
        <v>0</v>
      </c>
      <c r="F3300" s="4">
        <f ca="1">(CP*(D3300-K)&gt;0)*1</f>
        <v>0</v>
      </c>
      <c r="H3300" s="4">
        <v>3285</v>
      </c>
      <c r="I3300" s="3">
        <v>0.66768122238971994</v>
      </c>
      <c r="J3300" s="128">
        <v>1.2624025190561823E-3</v>
      </c>
      <c r="K3300" s="128"/>
      <c r="L3300" s="128">
        <v>4.2000000000000003E-2</v>
      </c>
      <c r="O3300" s="2"/>
    </row>
    <row r="3301" spans="2:15" x14ac:dyDescent="0.2">
      <c r="B3301" s="1">
        <v>3286</v>
      </c>
      <c r="C3301" s="5">
        <f ca="1"/>
        <v>-9.9278678064880707E-2</v>
      </c>
      <c r="D3301" s="5">
        <f ca="1">S0*EXP((μ-0.5*σ*σ)*T+σ*SQRT(T)*$C3301)</f>
        <v>0.65803348125035876</v>
      </c>
      <c r="E3301" s="5">
        <f ca="1">MAX(0,CP*(D3301-K))</f>
        <v>0</v>
      </c>
      <c r="F3301" s="4">
        <f ca="1">(CP*(D3301-K)&gt;0)*1</f>
        <v>0</v>
      </c>
      <c r="H3301" s="4">
        <v>3286</v>
      </c>
      <c r="I3301" s="3">
        <v>0.66771393135860446</v>
      </c>
      <c r="J3301" s="128">
        <v>1.4412071189956412E-3</v>
      </c>
      <c r="K3301" s="128"/>
      <c r="L3301" s="128">
        <v>4.5199999999999997E-2</v>
      </c>
      <c r="O3301" s="2"/>
    </row>
    <row r="3302" spans="2:15" x14ac:dyDescent="0.2">
      <c r="B3302" s="1">
        <v>3287</v>
      </c>
      <c r="C3302" s="5">
        <f ca="1"/>
        <v>1.0292780635632925</v>
      </c>
      <c r="D3302" s="5">
        <f ca="1">S0*EXP((μ-0.5*σ*σ)*T+σ*SQRT(T)*$C3302)</f>
        <v>0.73547560163888825</v>
      </c>
      <c r="E3302" s="5">
        <f ca="1">MAX(0,CP*(D3302-K))</f>
        <v>0</v>
      </c>
      <c r="F3302" s="4">
        <f ca="1">(CP*(D3302-K)&gt;0)*1</f>
        <v>0</v>
      </c>
      <c r="H3302" s="4">
        <v>3287</v>
      </c>
      <c r="I3302" s="3">
        <v>0.66758150186119269</v>
      </c>
      <c r="J3302" s="128">
        <v>1.1447711516287208E-3</v>
      </c>
      <c r="K3302" s="128"/>
      <c r="L3302" s="128">
        <v>3.6999999999999998E-2</v>
      </c>
      <c r="O3302" s="2"/>
    </row>
    <row r="3303" spans="2:15" x14ac:dyDescent="0.2">
      <c r="B3303" s="1">
        <v>3288</v>
      </c>
      <c r="C3303" s="5">
        <f ca="1"/>
        <v>0.43128538657779986</v>
      </c>
      <c r="D3303" s="5">
        <f ca="1">S0*EXP((μ-0.5*σ*σ)*T+σ*SQRT(T)*$C3303)</f>
        <v>0.69336931690286252</v>
      </c>
      <c r="E3303" s="5">
        <f ca="1">MAX(0,CP*(D3303-K))</f>
        <v>0</v>
      </c>
      <c r="F3303" s="4">
        <f ca="1">(CP*(D3303-K)&gt;0)*1</f>
        <v>0</v>
      </c>
      <c r="H3303" s="4">
        <v>3288</v>
      </c>
      <c r="I3303" s="3">
        <v>0.66766722392101441</v>
      </c>
      <c r="J3303" s="128">
        <v>1.3587725063942361E-3</v>
      </c>
      <c r="K3303" s="128"/>
      <c r="L3303" s="128">
        <v>4.1399999999999999E-2</v>
      </c>
      <c r="O3303" s="2"/>
    </row>
    <row r="3304" spans="2:15" x14ac:dyDescent="0.2">
      <c r="B3304" s="1">
        <v>3289</v>
      </c>
      <c r="C3304" s="5">
        <f ca="1"/>
        <v>0.27201010212716065</v>
      </c>
      <c r="D3304" s="5">
        <f ca="1">S0*EXP((μ-0.5*σ*σ)*T+σ*SQRT(T)*$C3304)</f>
        <v>0.68256668877273374</v>
      </c>
      <c r="E3304" s="5">
        <f ca="1">MAX(0,CP*(D3304-K))</f>
        <v>0</v>
      </c>
      <c r="F3304" s="4">
        <f ca="1">(CP*(D3304-K)&gt;0)*1</f>
        <v>0</v>
      </c>
      <c r="H3304" s="4">
        <v>3289</v>
      </c>
      <c r="I3304" s="3">
        <v>0.6676643315812576</v>
      </c>
      <c r="J3304" s="128">
        <v>1.1715533027161569E-3</v>
      </c>
      <c r="K3304" s="128"/>
      <c r="L3304" s="128">
        <v>3.6799999999999999E-2</v>
      </c>
      <c r="O3304" s="2"/>
    </row>
    <row r="3305" spans="2:15" x14ac:dyDescent="0.2">
      <c r="B3305" s="1">
        <v>3290</v>
      </c>
      <c r="C3305" s="5">
        <f ca="1"/>
        <v>-0.57549193013560751</v>
      </c>
      <c r="D3305" s="5">
        <f ca="1">S0*EXP((μ-0.5*σ*σ)*T+σ*SQRT(T)*$C3305)</f>
        <v>0.62785368509811779</v>
      </c>
      <c r="E3305" s="5">
        <f ca="1">MAX(0,CP*(D3305-K))</f>
        <v>0</v>
      </c>
      <c r="F3305" s="4">
        <f ca="1">(CP*(D3305-K)&gt;0)*1</f>
        <v>0</v>
      </c>
      <c r="H3305" s="4">
        <v>3290</v>
      </c>
      <c r="I3305" s="3">
        <v>0.66775571359456987</v>
      </c>
      <c r="J3305" s="128">
        <v>1.3496231188147687E-3</v>
      </c>
      <c r="K3305" s="128"/>
      <c r="L3305" s="128">
        <v>4.3200000000000002E-2</v>
      </c>
      <c r="O3305" s="2"/>
    </row>
    <row r="3306" spans="2:15" x14ac:dyDescent="0.2">
      <c r="B3306" s="1">
        <v>3291</v>
      </c>
      <c r="C3306" s="5">
        <f ca="1"/>
        <v>-1.3803350755505273</v>
      </c>
      <c r="D3306" s="5">
        <f ca="1">S0*EXP((μ-0.5*σ*σ)*T+σ*SQRT(T)*$C3306)</f>
        <v>0.57996032995030855</v>
      </c>
      <c r="E3306" s="5">
        <f ca="1">MAX(0,CP*(D3306-K))</f>
        <v>0</v>
      </c>
      <c r="F3306" s="4">
        <f ca="1">(CP*(D3306-K)&gt;0)*1</f>
        <v>0</v>
      </c>
      <c r="H3306" s="4">
        <v>3291</v>
      </c>
      <c r="I3306" s="3">
        <v>0.66773102180326183</v>
      </c>
      <c r="J3306" s="128">
        <v>1.339212265634481E-3</v>
      </c>
      <c r="K3306" s="128"/>
      <c r="L3306" s="128">
        <v>4.1799999999999997E-2</v>
      </c>
      <c r="O3306" s="2"/>
    </row>
    <row r="3307" spans="2:15" x14ac:dyDescent="0.2">
      <c r="B3307" s="1">
        <v>3292</v>
      </c>
      <c r="C3307" s="5">
        <f ca="1"/>
        <v>0.15156365180227427</v>
      </c>
      <c r="D3307" s="5">
        <f ca="1">S0*EXP((μ-0.5*σ*σ)*T+σ*SQRT(T)*$C3307)</f>
        <v>0.6745094756774358</v>
      </c>
      <c r="E3307" s="5">
        <f ca="1">MAX(0,CP*(D3307-K))</f>
        <v>0</v>
      </c>
      <c r="F3307" s="4">
        <f ca="1">(CP*(D3307-K)&gt;0)*1</f>
        <v>0</v>
      </c>
      <c r="H3307" s="4">
        <v>3292</v>
      </c>
      <c r="I3307" s="3">
        <v>0.6677939413837678</v>
      </c>
      <c r="J3307" s="128">
        <v>1.3581060960968562E-3</v>
      </c>
      <c r="K3307" s="128"/>
      <c r="L3307" s="128">
        <v>4.2000000000000003E-2</v>
      </c>
      <c r="O3307" s="2"/>
    </row>
    <row r="3308" spans="2:15" x14ac:dyDescent="0.2">
      <c r="B3308" s="1">
        <v>3293</v>
      </c>
      <c r="C3308" s="5">
        <f ca="1"/>
        <v>0.7554127214121853</v>
      </c>
      <c r="D3308" s="5">
        <f ca="1">S0*EXP((μ-0.5*σ*σ)*T+σ*SQRT(T)*$C3308)</f>
        <v>0.71588366583492224</v>
      </c>
      <c r="E3308" s="5">
        <f ca="1">MAX(0,CP*(D3308-K))</f>
        <v>0</v>
      </c>
      <c r="F3308" s="4">
        <f ca="1">(CP*(D3308-K)&gt;0)*1</f>
        <v>0</v>
      </c>
      <c r="H3308" s="4">
        <v>3293</v>
      </c>
      <c r="I3308" s="3">
        <v>0.6677500883149422</v>
      </c>
      <c r="J3308" s="128">
        <v>1.3918403601200931E-3</v>
      </c>
      <c r="K3308" s="128"/>
      <c r="L3308" s="128">
        <v>4.0399999999999998E-2</v>
      </c>
      <c r="O3308" s="2"/>
    </row>
    <row r="3309" spans="2:15" x14ac:dyDescent="0.2">
      <c r="B3309" s="1">
        <v>3294</v>
      </c>
      <c r="C3309" s="5">
        <f ca="1"/>
        <v>-1.3816856530947605</v>
      </c>
      <c r="D3309" s="5">
        <f ca="1">S0*EXP((μ-0.5*σ*σ)*T+σ*SQRT(T)*$C3309)</f>
        <v>0.57988311335997511</v>
      </c>
      <c r="E3309" s="5">
        <f ca="1">MAX(0,CP*(D3309-K))</f>
        <v>0</v>
      </c>
      <c r="F3309" s="4">
        <f ca="1">(CP*(D3309-K)&gt;0)*1</f>
        <v>0</v>
      </c>
      <c r="H3309" s="4">
        <v>3294</v>
      </c>
      <c r="I3309" s="3">
        <v>0.66778858609847136</v>
      </c>
      <c r="J3309" s="128">
        <v>1.3758231449143615E-3</v>
      </c>
      <c r="K3309" s="128"/>
      <c r="L3309" s="128">
        <v>4.1200000000000001E-2</v>
      </c>
      <c r="O3309" s="2"/>
    </row>
    <row r="3310" spans="2:15" x14ac:dyDescent="0.2">
      <c r="B3310" s="1">
        <v>3295</v>
      </c>
      <c r="C3310" s="5">
        <f ca="1"/>
        <v>0.92224263582845545</v>
      </c>
      <c r="D3310" s="5">
        <f ca="1">S0*EXP((μ-0.5*σ*σ)*T+σ*SQRT(T)*$C3310)</f>
        <v>0.72775540894155522</v>
      </c>
      <c r="E3310" s="5">
        <f ca="1">MAX(0,CP*(D3310-K))</f>
        <v>0</v>
      </c>
      <c r="F3310" s="4">
        <f ca="1">(CP*(D3310-K)&gt;0)*1</f>
        <v>0</v>
      </c>
      <c r="H3310" s="4">
        <v>3295</v>
      </c>
      <c r="I3310" s="3">
        <v>0.66777098451496186</v>
      </c>
      <c r="J3310" s="128">
        <v>1.2009747326236829E-3</v>
      </c>
      <c r="K3310" s="128"/>
      <c r="L3310" s="128">
        <v>4.2599999999999999E-2</v>
      </c>
      <c r="O3310" s="2"/>
    </row>
    <row r="3311" spans="2:15" x14ac:dyDescent="0.2">
      <c r="B3311" s="1">
        <v>3296</v>
      </c>
      <c r="C3311" s="5">
        <f ca="1"/>
        <v>0.73629831262840051</v>
      </c>
      <c r="D3311" s="5">
        <f ca="1">S0*EXP((μ-0.5*σ*σ)*T+σ*SQRT(T)*$C3311)</f>
        <v>0.71453589545816831</v>
      </c>
      <c r="E3311" s="5">
        <f ca="1">MAX(0,CP*(D3311-K))</f>
        <v>0</v>
      </c>
      <c r="F3311" s="4">
        <f ca="1">(CP*(D3311-K)&gt;0)*1</f>
        <v>0</v>
      </c>
      <c r="H3311" s="4">
        <v>3296</v>
      </c>
      <c r="I3311" s="3">
        <v>0.66764759902438942</v>
      </c>
      <c r="J3311" s="128">
        <v>1.3723259941193864E-3</v>
      </c>
      <c r="K3311" s="128"/>
      <c r="L3311" s="128">
        <v>4.2000000000000003E-2</v>
      </c>
      <c r="O3311" s="2"/>
    </row>
    <row r="3312" spans="2:15" x14ac:dyDescent="0.2">
      <c r="B3312" s="1">
        <v>3297</v>
      </c>
      <c r="C3312" s="5">
        <f ca="1"/>
        <v>2.2400628717564492</v>
      </c>
      <c r="D3312" s="5">
        <f ca="1">S0*EXP((μ-0.5*σ*σ)*T+σ*SQRT(T)*$C3312)</f>
        <v>0.82872268166067176</v>
      </c>
      <c r="E3312" s="5">
        <f ca="1">MAX(0,CP*(D3312-K))</f>
        <v>4.0522681660671744E-2</v>
      </c>
      <c r="F3312" s="4">
        <f ca="1">(CP*(D3312-K)&gt;0)*1</f>
        <v>1</v>
      </c>
      <c r="H3312" s="4">
        <v>3297</v>
      </c>
      <c r="I3312" s="3">
        <v>0.66773285211810485</v>
      </c>
      <c r="J3312" s="128">
        <v>1.3651055382938285E-3</v>
      </c>
      <c r="K3312" s="128"/>
      <c r="L3312" s="128">
        <v>4.1200000000000001E-2</v>
      </c>
      <c r="O3312" s="2"/>
    </row>
    <row r="3313" spans="2:15" x14ac:dyDescent="0.2">
      <c r="B3313" s="1">
        <v>3298</v>
      </c>
      <c r="C3313" s="5">
        <f ca="1"/>
        <v>0.45052287846081801</v>
      </c>
      <c r="D3313" s="5">
        <f ca="1">S0*EXP((μ-0.5*σ*σ)*T+σ*SQRT(T)*$C3313)</f>
        <v>0.69468559207819658</v>
      </c>
      <c r="E3313" s="5">
        <f ca="1">MAX(0,CP*(D3313-K))</f>
        <v>0</v>
      </c>
      <c r="F3313" s="4">
        <f ca="1">(CP*(D3313-K)&gt;0)*1</f>
        <v>0</v>
      </c>
      <c r="H3313" s="4">
        <v>3298</v>
      </c>
      <c r="I3313" s="3">
        <v>0.66788692386699078</v>
      </c>
      <c r="J3313" s="128">
        <v>1.4206413217869725E-3</v>
      </c>
      <c r="K3313" s="128"/>
      <c r="L3313" s="128">
        <v>4.7600000000000003E-2</v>
      </c>
      <c r="O3313" s="2"/>
    </row>
    <row r="3314" spans="2:15" x14ac:dyDescent="0.2">
      <c r="B3314" s="1">
        <v>3299</v>
      </c>
      <c r="C3314" s="5">
        <f ca="1"/>
        <v>0.32745737729607394</v>
      </c>
      <c r="D3314" s="5">
        <f ca="1">S0*EXP((μ-0.5*σ*σ)*T+σ*SQRT(T)*$C3314)</f>
        <v>0.68630809250031166</v>
      </c>
      <c r="E3314" s="5">
        <f ca="1">MAX(0,CP*(D3314-K))</f>
        <v>0</v>
      </c>
      <c r="F3314" s="4">
        <f ca="1">(CP*(D3314-K)&gt;0)*1</f>
        <v>0</v>
      </c>
      <c r="H3314" s="4">
        <v>3299</v>
      </c>
      <c r="I3314" s="3">
        <v>0.66776953247461523</v>
      </c>
      <c r="J3314" s="128">
        <v>1.3892102806626133E-3</v>
      </c>
      <c r="K3314" s="128"/>
      <c r="L3314" s="128">
        <v>4.3999999999999997E-2</v>
      </c>
      <c r="O3314" s="2"/>
    </row>
    <row r="3315" spans="2:15" x14ac:dyDescent="0.2">
      <c r="B3315" s="1">
        <v>3300</v>
      </c>
      <c r="C3315" s="5">
        <f ca="1"/>
        <v>0.31690373450196602</v>
      </c>
      <c r="D3315" s="5">
        <f ca="1">S0*EXP((μ-0.5*σ*σ)*T+σ*SQRT(T)*$C3315)</f>
        <v>0.68559438983556742</v>
      </c>
      <c r="E3315" s="5">
        <f ca="1">MAX(0,CP*(D3315-K))</f>
        <v>0</v>
      </c>
      <c r="F3315" s="4">
        <f ca="1">(CP*(D3315-K)&gt;0)*1</f>
        <v>0</v>
      </c>
      <c r="H3315" s="4">
        <v>3300</v>
      </c>
      <c r="I3315" s="3">
        <v>0.66796697680158579</v>
      </c>
      <c r="J3315" s="128">
        <v>1.5879621265134311E-3</v>
      </c>
      <c r="K3315" s="128"/>
      <c r="L3315" s="128">
        <v>4.58E-2</v>
      </c>
      <c r="O3315" s="2"/>
    </row>
    <row r="3316" spans="2:15" x14ac:dyDescent="0.2">
      <c r="B3316" s="1">
        <v>3301</v>
      </c>
      <c r="C3316" s="5">
        <f ca="1"/>
        <v>-0.61719564194557697</v>
      </c>
      <c r="D3316" s="5">
        <f ca="1">S0*EXP((μ-0.5*σ*σ)*T+σ*SQRT(T)*$C3316)</f>
        <v>0.62527758703019609</v>
      </c>
      <c r="E3316" s="5">
        <f ca="1">MAX(0,CP*(D3316-K))</f>
        <v>0</v>
      </c>
      <c r="F3316" s="4">
        <f ca="1">(CP*(D3316-K)&gt;0)*1</f>
        <v>0</v>
      </c>
      <c r="H3316" s="4">
        <v>3301</v>
      </c>
      <c r="I3316" s="3">
        <v>0.66762394800460934</v>
      </c>
      <c r="J3316" s="128">
        <v>1.12175780151395E-3</v>
      </c>
      <c r="K3316" s="128"/>
      <c r="L3316" s="128">
        <v>3.6400000000000002E-2</v>
      </c>
      <c r="O3316" s="2"/>
    </row>
    <row r="3317" spans="2:15" x14ac:dyDescent="0.2">
      <c r="B3317" s="1">
        <v>3302</v>
      </c>
      <c r="C3317" s="5">
        <f ca="1"/>
        <v>-2.1417835998997745</v>
      </c>
      <c r="D3317" s="5">
        <f ca="1">S0*EXP((μ-0.5*σ*σ)*T+σ*SQRT(T)*$C3317)</f>
        <v>0.53801714151638258</v>
      </c>
      <c r="E3317" s="5">
        <f ca="1">MAX(0,CP*(D3317-K))</f>
        <v>0</v>
      </c>
      <c r="F3317" s="4">
        <f ca="1">(CP*(D3317-K)&gt;0)*1</f>
        <v>0</v>
      </c>
      <c r="H3317" s="4">
        <v>3302</v>
      </c>
      <c r="I3317" s="3">
        <v>0.66757890762132122</v>
      </c>
      <c r="J3317" s="128">
        <v>1.2564136314143558E-3</v>
      </c>
      <c r="K3317" s="128"/>
      <c r="L3317" s="128">
        <v>3.5799999999999998E-2</v>
      </c>
      <c r="O3317" s="2"/>
    </row>
    <row r="3318" spans="2:15" x14ac:dyDescent="0.2">
      <c r="B3318" s="1">
        <v>3303</v>
      </c>
      <c r="C3318" s="5">
        <f ca="1"/>
        <v>-1.066330581943717</v>
      </c>
      <c r="D3318" s="5">
        <f ca="1">S0*EXP((μ-0.5*σ*σ)*T+σ*SQRT(T)*$C3318)</f>
        <v>0.59819489550979343</v>
      </c>
      <c r="E3318" s="5">
        <f ca="1">MAX(0,CP*(D3318-K))</f>
        <v>0</v>
      </c>
      <c r="F3318" s="4">
        <f ca="1">(CP*(D3318-K)&gt;0)*1</f>
        <v>0</v>
      </c>
      <c r="H3318" s="4">
        <v>3303</v>
      </c>
      <c r="I3318" s="3">
        <v>0.66785404822250238</v>
      </c>
      <c r="J3318" s="128">
        <v>1.3683614636006293E-3</v>
      </c>
      <c r="K3318" s="128"/>
      <c r="L3318" s="128">
        <v>4.5600000000000002E-2</v>
      </c>
      <c r="O3318" s="2"/>
    </row>
    <row r="3319" spans="2:15" x14ac:dyDescent="0.2">
      <c r="B3319" s="1">
        <v>3304</v>
      </c>
      <c r="C3319" s="5">
        <f ca="1"/>
        <v>2.1742707972812636</v>
      </c>
      <c r="D3319" s="5">
        <f ca="1">S0*EXP((μ-0.5*σ*σ)*T+σ*SQRT(T)*$C3319)</f>
        <v>0.82336475442895662</v>
      </c>
      <c r="E3319" s="5">
        <f ca="1">MAX(0,CP*(D3319-K))</f>
        <v>3.5164754428956613E-2</v>
      </c>
      <c r="F3319" s="4">
        <f ca="1">(CP*(D3319-K)&gt;0)*1</f>
        <v>1</v>
      </c>
      <c r="H3319" s="4">
        <v>3304</v>
      </c>
      <c r="I3319" s="3">
        <v>0.66765520052022842</v>
      </c>
      <c r="J3319" s="128">
        <v>1.1767309753640907E-3</v>
      </c>
      <c r="K3319" s="128"/>
      <c r="L3319" s="128">
        <v>4.0599999999999997E-2</v>
      </c>
      <c r="O3319" s="2"/>
    </row>
    <row r="3320" spans="2:15" x14ac:dyDescent="0.2">
      <c r="B3320" s="1">
        <v>3305</v>
      </c>
      <c r="C3320" s="5">
        <f ca="1"/>
        <v>0.21098812383905002</v>
      </c>
      <c r="D3320" s="5">
        <f ca="1">S0*EXP((μ-0.5*σ*σ)*T+σ*SQRT(T)*$C3320)</f>
        <v>0.67847269300074298</v>
      </c>
      <c r="E3320" s="5">
        <f ca="1">MAX(0,CP*(D3320-K))</f>
        <v>0</v>
      </c>
      <c r="F3320" s="4">
        <f ca="1">(CP*(D3320-K)&gt;0)*1</f>
        <v>0</v>
      </c>
      <c r="H3320" s="4">
        <v>3305</v>
      </c>
      <c r="I3320" s="3">
        <v>0.66784519169328638</v>
      </c>
      <c r="J3320" s="128">
        <v>1.3881304556969789E-3</v>
      </c>
      <c r="K3320" s="128"/>
      <c r="L3320" s="128">
        <v>4.2799999999999998E-2</v>
      </c>
      <c r="O3320" s="2"/>
    </row>
    <row r="3321" spans="2:15" x14ac:dyDescent="0.2">
      <c r="B3321" s="1">
        <v>3306</v>
      </c>
      <c r="C3321" s="5">
        <f ca="1"/>
        <v>-0.91993783751696057</v>
      </c>
      <c r="D3321" s="5">
        <f ca="1">S0*EXP((μ-0.5*σ*σ)*T+σ*SQRT(T)*$C3321)</f>
        <v>0.6068909393519385</v>
      </c>
      <c r="E3321" s="5">
        <f ca="1">MAX(0,CP*(D3321-K))</f>
        <v>0</v>
      </c>
      <c r="F3321" s="4">
        <f ca="1">(CP*(D3321-K)&gt;0)*1</f>
        <v>0</v>
      </c>
      <c r="H3321" s="4">
        <v>3306</v>
      </c>
      <c r="I3321" s="3">
        <v>0.66768904311914135</v>
      </c>
      <c r="J3321" s="128">
        <v>1.3154984298108367E-3</v>
      </c>
      <c r="K3321" s="128"/>
      <c r="L3321" s="128">
        <v>4.1000000000000002E-2</v>
      </c>
      <c r="O3321" s="2"/>
    </row>
    <row r="3322" spans="2:15" x14ac:dyDescent="0.2">
      <c r="B3322" s="1">
        <v>3307</v>
      </c>
      <c r="C3322" s="5">
        <f ca="1"/>
        <v>-0.82010937632823078</v>
      </c>
      <c r="D3322" s="5">
        <f ca="1">S0*EXP((μ-0.5*σ*σ)*T+σ*SQRT(T)*$C3322)</f>
        <v>0.6128933489945364</v>
      </c>
      <c r="E3322" s="5">
        <f ca="1">MAX(0,CP*(D3322-K))</f>
        <v>0</v>
      </c>
      <c r="F3322" s="4">
        <f ca="1">(CP*(D3322-K)&gt;0)*1</f>
        <v>0</v>
      </c>
      <c r="H3322" s="4">
        <v>3307</v>
      </c>
      <c r="I3322" s="3">
        <v>0.66772749742634818</v>
      </c>
      <c r="J3322" s="128">
        <v>1.3214535294093291E-3</v>
      </c>
      <c r="K3322" s="128"/>
      <c r="L3322" s="128">
        <v>4.48E-2</v>
      </c>
      <c r="O3322" s="2"/>
    </row>
    <row r="3323" spans="2:15" x14ac:dyDescent="0.2">
      <c r="B3323" s="1">
        <v>3308</v>
      </c>
      <c r="C3323" s="5">
        <f ca="1"/>
        <v>-9.9291618201432508E-2</v>
      </c>
      <c r="D3323" s="5">
        <f ca="1">S0*EXP((μ-0.5*σ*σ)*T+σ*SQRT(T)*$C3323)</f>
        <v>0.65803264177433995</v>
      </c>
      <c r="E3323" s="5">
        <f ca="1">MAX(0,CP*(D3323-K))</f>
        <v>0</v>
      </c>
      <c r="F3323" s="4">
        <f ca="1">(CP*(D3323-K)&gt;0)*1</f>
        <v>0</v>
      </c>
      <c r="H3323" s="4">
        <v>3308</v>
      </c>
      <c r="I3323" s="3">
        <v>0.66763997705136802</v>
      </c>
      <c r="J3323" s="128">
        <v>1.1508952528163268E-3</v>
      </c>
      <c r="K3323" s="128"/>
      <c r="L3323" s="128">
        <v>3.7400000000000003E-2</v>
      </c>
      <c r="O3323" s="2"/>
    </row>
    <row r="3324" spans="2:15" x14ac:dyDescent="0.2">
      <c r="B3324" s="1">
        <v>3309</v>
      </c>
      <c r="C3324" s="5">
        <f ca="1"/>
        <v>0.75442287846984368</v>
      </c>
      <c r="D3324" s="5">
        <f ca="1">S0*EXP((μ-0.5*σ*σ)*T+σ*SQRT(T)*$C3324)</f>
        <v>0.71581380894053981</v>
      </c>
      <c r="E3324" s="5">
        <f ca="1">MAX(0,CP*(D3324-K))</f>
        <v>0</v>
      </c>
      <c r="F3324" s="4">
        <f ca="1">(CP*(D3324-K)&gt;0)*1</f>
        <v>0</v>
      </c>
      <c r="H3324" s="4">
        <v>3309</v>
      </c>
      <c r="I3324" s="3">
        <v>0.66782261395040221</v>
      </c>
      <c r="J3324" s="128">
        <v>1.4503344985247876E-3</v>
      </c>
      <c r="K3324" s="128"/>
      <c r="L3324" s="128">
        <v>4.3400000000000001E-2</v>
      </c>
      <c r="O3324" s="2"/>
    </row>
    <row r="3325" spans="2:15" x14ac:dyDescent="0.2">
      <c r="B3325" s="1">
        <v>3310</v>
      </c>
      <c r="C3325" s="5">
        <f ca="1"/>
        <v>-4.9742222778379246E-2</v>
      </c>
      <c r="D3325" s="5">
        <f ca="1">S0*EXP((μ-0.5*σ*σ)*T+σ*SQRT(T)*$C3325)</f>
        <v>0.66125496204141576</v>
      </c>
      <c r="E3325" s="5">
        <f ca="1">MAX(0,CP*(D3325-K))</f>
        <v>0</v>
      </c>
      <c r="F3325" s="4">
        <f ca="1">(CP*(D3325-K)&gt;0)*1</f>
        <v>0</v>
      </c>
      <c r="H3325" s="4">
        <v>3310</v>
      </c>
      <c r="I3325" s="3">
        <v>0.66781122994752828</v>
      </c>
      <c r="J3325" s="128">
        <v>1.4219018026981384E-3</v>
      </c>
      <c r="K3325" s="128"/>
      <c r="L3325" s="128">
        <v>4.1200000000000001E-2</v>
      </c>
      <c r="O3325" s="2"/>
    </row>
    <row r="3326" spans="2:15" x14ac:dyDescent="0.2">
      <c r="B3326" s="1">
        <v>3311</v>
      </c>
      <c r="C3326" s="5">
        <f ca="1"/>
        <v>8.3516934343011329E-2</v>
      </c>
      <c r="D3326" s="5">
        <f ca="1">S0*EXP((μ-0.5*σ*σ)*T+σ*SQRT(T)*$C3326)</f>
        <v>0.66999963680140795</v>
      </c>
      <c r="E3326" s="5">
        <f ca="1">MAX(0,CP*(D3326-K))</f>
        <v>0</v>
      </c>
      <c r="F3326" s="4">
        <f ca="1">(CP*(D3326-K)&gt;0)*1</f>
        <v>0</v>
      </c>
      <c r="H3326" s="4">
        <v>3311</v>
      </c>
      <c r="I3326" s="3">
        <v>0.66779852074063806</v>
      </c>
      <c r="J3326" s="128">
        <v>1.4747971125269484E-3</v>
      </c>
      <c r="K3326" s="128"/>
      <c r="L3326" s="128">
        <v>4.3400000000000001E-2</v>
      </c>
      <c r="O3326" s="2"/>
    </row>
    <row r="3327" spans="2:15" x14ac:dyDescent="0.2">
      <c r="B3327" s="1">
        <v>3312</v>
      </c>
      <c r="C3327" s="5">
        <f ca="1"/>
        <v>-0.45345221418353754</v>
      </c>
      <c r="D3327" s="5">
        <f ca="1">S0*EXP((μ-0.5*σ*σ)*T+σ*SQRT(T)*$C3327)</f>
        <v>0.63545338777477478</v>
      </c>
      <c r="E3327" s="5">
        <f ca="1">MAX(0,CP*(D3327-K))</f>
        <v>0</v>
      </c>
      <c r="F3327" s="4">
        <f ca="1">(CP*(D3327-K)&gt;0)*1</f>
        <v>0</v>
      </c>
      <c r="H3327" s="4">
        <v>3312</v>
      </c>
      <c r="I3327" s="3">
        <v>0.6676762454312537</v>
      </c>
      <c r="J3327" s="128">
        <v>1.2895789308084663E-3</v>
      </c>
      <c r="K3327" s="128"/>
      <c r="L3327" s="128">
        <v>3.7600000000000001E-2</v>
      </c>
      <c r="O3327" s="2"/>
    </row>
    <row r="3328" spans="2:15" x14ac:dyDescent="0.2">
      <c r="B3328" s="1">
        <v>3313</v>
      </c>
      <c r="C3328" s="5">
        <f ca="1"/>
        <v>0.30571147896313394</v>
      </c>
      <c r="D3328" s="5">
        <f ca="1">S0*EXP((μ-0.5*σ*σ)*T+σ*SQRT(T)*$C3328)</f>
        <v>0.68483831112197791</v>
      </c>
      <c r="E3328" s="5">
        <f ca="1">MAX(0,CP*(D3328-K))</f>
        <v>0</v>
      </c>
      <c r="F3328" s="4">
        <f ca="1">(CP*(D3328-K)&gt;0)*1</f>
        <v>0</v>
      </c>
      <c r="H3328" s="4">
        <v>3313</v>
      </c>
      <c r="I3328" s="3">
        <v>0.66786877371287023</v>
      </c>
      <c r="J3328" s="128">
        <v>1.4659453855957925E-3</v>
      </c>
      <c r="K3328" s="128"/>
      <c r="L3328" s="128">
        <v>4.6399999999999997E-2</v>
      </c>
      <c r="O3328" s="2"/>
    </row>
    <row r="3329" spans="2:15" x14ac:dyDescent="0.2">
      <c r="B3329" s="1">
        <v>3314</v>
      </c>
      <c r="C3329" s="5">
        <f ca="1"/>
        <v>0.60664026906486379</v>
      </c>
      <c r="D3329" s="5">
        <f ca="1">S0*EXP((μ-0.5*σ*σ)*T+σ*SQRT(T)*$C3329)</f>
        <v>0.70546035549786257</v>
      </c>
      <c r="E3329" s="5">
        <f ca="1">MAX(0,CP*(D3329-K))</f>
        <v>0</v>
      </c>
      <c r="F3329" s="4">
        <f ca="1">(CP*(D3329-K)&gt;0)*1</f>
        <v>0</v>
      </c>
      <c r="H3329" s="4">
        <v>3314</v>
      </c>
      <c r="I3329" s="3">
        <v>0.66757020231758757</v>
      </c>
      <c r="J3329" s="128">
        <v>1.0956495972942811E-3</v>
      </c>
      <c r="K3329" s="128"/>
      <c r="L3329" s="128">
        <v>3.8800000000000001E-2</v>
      </c>
      <c r="O3329" s="2"/>
    </row>
    <row r="3330" spans="2:15" x14ac:dyDescent="0.2">
      <c r="B3330" s="1">
        <v>3315</v>
      </c>
      <c r="C3330" s="5">
        <f ca="1"/>
        <v>-1.5056391125994422</v>
      </c>
      <c r="D3330" s="5">
        <f ca="1">S0*EXP((μ-0.5*σ*σ)*T+σ*SQRT(T)*$C3330)</f>
        <v>0.57283991464236728</v>
      </c>
      <c r="E3330" s="5">
        <f ca="1">MAX(0,CP*(D3330-K))</f>
        <v>0</v>
      </c>
      <c r="F3330" s="4">
        <f ca="1">(CP*(D3330-K)&gt;0)*1</f>
        <v>0</v>
      </c>
      <c r="H3330" s="4">
        <v>3315</v>
      </c>
      <c r="I3330" s="3">
        <v>0.66767473492542706</v>
      </c>
      <c r="J3330" s="128">
        <v>1.2519678256202834E-3</v>
      </c>
      <c r="K3330" s="128"/>
      <c r="L3330" s="128">
        <v>3.5400000000000001E-2</v>
      </c>
      <c r="O3330" s="2"/>
    </row>
    <row r="3331" spans="2:15" x14ac:dyDescent="0.2">
      <c r="B3331" s="1">
        <v>3316</v>
      </c>
      <c r="C3331" s="5">
        <f ca="1"/>
        <v>0.10747068147518819</v>
      </c>
      <c r="D3331" s="5">
        <f ca="1">S0*EXP((μ-0.5*σ*σ)*T+σ*SQRT(T)*$C3331)</f>
        <v>0.67158373700978957</v>
      </c>
      <c r="E3331" s="5">
        <f ca="1">MAX(0,CP*(D3331-K))</f>
        <v>0</v>
      </c>
      <c r="F3331" s="4">
        <f ca="1">(CP*(D3331-K)&gt;0)*1</f>
        <v>0</v>
      </c>
      <c r="H3331" s="4">
        <v>3316</v>
      </c>
      <c r="I3331" s="3">
        <v>0.66791779567720677</v>
      </c>
      <c r="J3331" s="128">
        <v>1.5446562818942828E-3</v>
      </c>
      <c r="K3331" s="128"/>
      <c r="L3331" s="128">
        <v>4.36E-2</v>
      </c>
      <c r="O3331" s="2"/>
    </row>
    <row r="3332" spans="2:15" x14ac:dyDescent="0.2">
      <c r="B3332" s="1">
        <v>3317</v>
      </c>
      <c r="C3332" s="5">
        <f ca="1"/>
        <v>-0.41222891822769547</v>
      </c>
      <c r="D3332" s="5">
        <f ca="1">S0*EXP((μ-0.5*σ*σ)*T+σ*SQRT(T)*$C3332)</f>
        <v>0.63804118914986152</v>
      </c>
      <c r="E3332" s="5">
        <f ca="1">MAX(0,CP*(D3332-K))</f>
        <v>0</v>
      </c>
      <c r="F3332" s="4">
        <f ca="1">(CP*(D3332-K)&gt;0)*1</f>
        <v>0</v>
      </c>
      <c r="H3332" s="4">
        <v>3317</v>
      </c>
      <c r="I3332" s="3">
        <v>0.66777390597316832</v>
      </c>
      <c r="J3332" s="128">
        <v>1.5223533980731091E-3</v>
      </c>
      <c r="K3332" s="128"/>
      <c r="L3332" s="128">
        <v>3.9E-2</v>
      </c>
      <c r="O3332" s="2"/>
    </row>
    <row r="3333" spans="2:15" x14ac:dyDescent="0.2">
      <c r="B3333" s="1">
        <v>3318</v>
      </c>
      <c r="C3333" s="5">
        <f ca="1"/>
        <v>-0.33080899653970791</v>
      </c>
      <c r="D3333" s="5">
        <f ca="1">S0*EXP((μ-0.5*σ*σ)*T+σ*SQRT(T)*$C3333)</f>
        <v>0.64318334600398519</v>
      </c>
      <c r="E3333" s="5">
        <f ca="1">MAX(0,CP*(D3333-K))</f>
        <v>0</v>
      </c>
      <c r="F3333" s="4">
        <f ca="1">(CP*(D3333-K)&gt;0)*1</f>
        <v>0</v>
      </c>
      <c r="H3333" s="4">
        <v>3318</v>
      </c>
      <c r="I3333" s="3">
        <v>0.66769885508484572</v>
      </c>
      <c r="J3333" s="128">
        <v>1.2914360329752779E-3</v>
      </c>
      <c r="K3333" s="128"/>
      <c r="L3333" s="128">
        <v>3.9399999999999998E-2</v>
      </c>
      <c r="O3333" s="2"/>
    </row>
    <row r="3334" spans="2:15" x14ac:dyDescent="0.2">
      <c r="B3334" s="1">
        <v>3319</v>
      </c>
      <c r="C3334" s="5">
        <f ca="1"/>
        <v>0.21931249367009689</v>
      </c>
      <c r="D3334" s="5">
        <f ca="1">S0*EXP((μ-0.5*σ*σ)*T+σ*SQRT(T)*$C3334)</f>
        <v>0.67902972953535801</v>
      </c>
      <c r="E3334" s="5">
        <f ca="1">MAX(0,CP*(D3334-K))</f>
        <v>0</v>
      </c>
      <c r="F3334" s="4">
        <f ca="1">(CP*(D3334-K)&gt;0)*1</f>
        <v>0</v>
      </c>
      <c r="H3334" s="4">
        <v>3319</v>
      </c>
      <c r="I3334" s="3">
        <v>0.66767224184943319</v>
      </c>
      <c r="J3334" s="128">
        <v>1.226816275299416E-3</v>
      </c>
      <c r="K3334" s="128"/>
      <c r="L3334" s="128">
        <v>4.1000000000000002E-2</v>
      </c>
      <c r="O3334" s="2"/>
    </row>
    <row r="3335" spans="2:15" x14ac:dyDescent="0.2">
      <c r="B3335" s="1">
        <v>3320</v>
      </c>
      <c r="C3335" s="5">
        <f ca="1"/>
        <v>-0.13425380140503682</v>
      </c>
      <c r="D3335" s="5">
        <f ca="1">S0*EXP((μ-0.5*σ*σ)*T+σ*SQRT(T)*$C3335)</f>
        <v>0.65576841747540826</v>
      </c>
      <c r="E3335" s="5">
        <f ca="1">MAX(0,CP*(D3335-K))</f>
        <v>0</v>
      </c>
      <c r="F3335" s="4">
        <f ca="1">(CP*(D3335-K)&gt;0)*1</f>
        <v>0</v>
      </c>
      <c r="H3335" s="4">
        <v>3320</v>
      </c>
      <c r="I3335" s="3">
        <v>0.66784881037430488</v>
      </c>
      <c r="J3335" s="128">
        <v>1.4221658243258055E-3</v>
      </c>
      <c r="K3335" s="128"/>
      <c r="L3335" s="128">
        <v>4.2599999999999999E-2</v>
      </c>
      <c r="O3335" s="2"/>
    </row>
    <row r="3336" spans="2:15" x14ac:dyDescent="0.2">
      <c r="B3336" s="1">
        <v>3321</v>
      </c>
      <c r="C3336" s="5">
        <f ca="1"/>
        <v>-1.0004044038458249</v>
      </c>
      <c r="D3336" s="5">
        <f ca="1">S0*EXP((μ-0.5*σ*σ)*T+σ*SQRT(T)*$C3336)</f>
        <v>0.60209552261716937</v>
      </c>
      <c r="E3336" s="5">
        <f ca="1">MAX(0,CP*(D3336-K))</f>
        <v>0</v>
      </c>
      <c r="F3336" s="4">
        <f ca="1">(CP*(D3336-K)&gt;0)*1</f>
        <v>0</v>
      </c>
      <c r="H3336" s="4">
        <v>3321</v>
      </c>
      <c r="I3336" s="3">
        <v>0.66758601869498724</v>
      </c>
      <c r="J3336" s="128">
        <v>1.1641678887178129E-3</v>
      </c>
      <c r="K3336" s="128"/>
      <c r="L3336" s="128">
        <v>3.6200000000000003E-2</v>
      </c>
      <c r="O3336" s="2"/>
    </row>
    <row r="3337" spans="2:15" x14ac:dyDescent="0.2">
      <c r="B3337" s="1">
        <v>3322</v>
      </c>
      <c r="C3337" s="5">
        <f ca="1"/>
        <v>-0.39335681681800483</v>
      </c>
      <c r="D3337" s="5">
        <f ca="1">S0*EXP((μ-0.5*σ*σ)*T+σ*SQRT(T)*$C3337)</f>
        <v>0.63922940344900103</v>
      </c>
      <c r="E3337" s="5">
        <f ca="1">MAX(0,CP*(D3337-K))</f>
        <v>0</v>
      </c>
      <c r="F3337" s="4">
        <f ca="1">(CP*(D3337-K)&gt;0)*1</f>
        <v>0</v>
      </c>
      <c r="H3337" s="4">
        <v>3322</v>
      </c>
      <c r="I3337" s="3">
        <v>0.66765929122322443</v>
      </c>
      <c r="J3337" s="128">
        <v>1.2730210406947083E-3</v>
      </c>
      <c r="K3337" s="128"/>
      <c r="L3337" s="128">
        <v>3.78E-2</v>
      </c>
      <c r="O3337" s="2"/>
    </row>
    <row r="3338" spans="2:15" x14ac:dyDescent="0.2">
      <c r="B3338" s="1">
        <v>3323</v>
      </c>
      <c r="C3338" s="5">
        <f ca="1"/>
        <v>2.5697262590992178</v>
      </c>
      <c r="D3338" s="5">
        <f ca="1">S0*EXP((μ-0.5*σ*σ)*T+σ*SQRT(T)*$C3338)</f>
        <v>0.85609919965642389</v>
      </c>
      <c r="E3338" s="5">
        <f ca="1">MAX(0,CP*(D3338-K))</f>
        <v>6.7899199656423881E-2</v>
      </c>
      <c r="F3338" s="4">
        <f ca="1">(CP*(D3338-K)&gt;0)*1</f>
        <v>1</v>
      </c>
      <c r="H3338" s="4">
        <v>3323</v>
      </c>
      <c r="I3338" s="3">
        <v>0.66770923326339615</v>
      </c>
      <c r="J3338" s="128">
        <v>1.2415907510517294E-3</v>
      </c>
      <c r="K3338" s="128"/>
      <c r="L3338" s="128">
        <v>3.9800000000000002E-2</v>
      </c>
      <c r="O3338" s="2"/>
    </row>
    <row r="3339" spans="2:15" x14ac:dyDescent="0.2">
      <c r="B3339" s="1">
        <v>3324</v>
      </c>
      <c r="C3339" s="5">
        <f ca="1"/>
        <v>3.910102065867864E-2</v>
      </c>
      <c r="D3339" s="5">
        <f ca="1">S0*EXP((μ-0.5*σ*σ)*T+σ*SQRT(T)*$C3339)</f>
        <v>0.66707222122385779</v>
      </c>
      <c r="E3339" s="5">
        <f ca="1">MAX(0,CP*(D3339-K))</f>
        <v>0</v>
      </c>
      <c r="F3339" s="4">
        <f ca="1">(CP*(D3339-K)&gt;0)*1</f>
        <v>0</v>
      </c>
      <c r="H3339" s="4">
        <v>3324</v>
      </c>
      <c r="I3339" s="3">
        <v>0.66790810519328447</v>
      </c>
      <c r="J3339" s="128">
        <v>1.5506572011925758E-3</v>
      </c>
      <c r="K3339" s="128"/>
      <c r="L3339" s="128">
        <v>4.4400000000000002E-2</v>
      </c>
      <c r="O3339" s="2"/>
    </row>
    <row r="3340" spans="2:15" x14ac:dyDescent="0.2">
      <c r="B3340" s="1">
        <v>3325</v>
      </c>
      <c r="C3340" s="5">
        <f ca="1"/>
        <v>-0.38678281783492391</v>
      </c>
      <c r="D3340" s="5">
        <f ca="1">S0*EXP((μ-0.5*σ*σ)*T+σ*SQRT(T)*$C3340)</f>
        <v>0.6396438312108742</v>
      </c>
      <c r="E3340" s="5">
        <f ca="1">MAX(0,CP*(D3340-K))</f>
        <v>0</v>
      </c>
      <c r="F3340" s="4">
        <f ca="1">(CP*(D3340-K)&gt;0)*1</f>
        <v>0</v>
      </c>
      <c r="H3340" s="4">
        <v>3325</v>
      </c>
      <c r="I3340" s="3">
        <v>0.66768029867926049</v>
      </c>
      <c r="J3340" s="128">
        <v>1.3054273754431463E-3</v>
      </c>
      <c r="K3340" s="128"/>
      <c r="L3340" s="128">
        <v>3.7400000000000003E-2</v>
      </c>
      <c r="O3340" s="2"/>
    </row>
    <row r="3341" spans="2:15" x14ac:dyDescent="0.2">
      <c r="B3341" s="1">
        <v>3326</v>
      </c>
      <c r="C3341" s="5">
        <f ca="1"/>
        <v>0.35091163632035899</v>
      </c>
      <c r="D3341" s="5">
        <f ca="1">S0*EXP((μ-0.5*σ*σ)*T+σ*SQRT(T)*$C3341)</f>
        <v>0.68789687615417439</v>
      </c>
      <c r="E3341" s="5">
        <f ca="1">MAX(0,CP*(D3341-K))</f>
        <v>0</v>
      </c>
      <c r="F3341" s="4">
        <f ca="1">(CP*(D3341-K)&gt;0)*1</f>
        <v>0</v>
      </c>
      <c r="H3341" s="4">
        <v>3326</v>
      </c>
      <c r="I3341" s="3">
        <v>0.66774948046975802</v>
      </c>
      <c r="J3341" s="128">
        <v>1.3534401087637446E-3</v>
      </c>
      <c r="K3341" s="128"/>
      <c r="L3341" s="128">
        <v>4.48E-2</v>
      </c>
      <c r="O3341" s="2"/>
    </row>
    <row r="3342" spans="2:15" x14ac:dyDescent="0.2">
      <c r="B3342" s="1">
        <v>3327</v>
      </c>
      <c r="C3342" s="5">
        <f ca="1"/>
        <v>-0.26551548986903517</v>
      </c>
      <c r="D3342" s="5">
        <f ca="1">S0*EXP((μ-0.5*σ*σ)*T+σ*SQRT(T)*$C3342)</f>
        <v>0.64733694970537603</v>
      </c>
      <c r="E3342" s="5">
        <f ca="1">MAX(0,CP*(D3342-K))</f>
        <v>0</v>
      </c>
      <c r="F3342" s="4">
        <f ca="1">(CP*(D3342-K)&gt;0)*1</f>
        <v>0</v>
      </c>
      <c r="H3342" s="4">
        <v>3327</v>
      </c>
      <c r="I3342" s="3">
        <v>0.66759249280837929</v>
      </c>
      <c r="J3342" s="128">
        <v>1.1507917864690144E-3</v>
      </c>
      <c r="K3342" s="128"/>
      <c r="L3342" s="128">
        <v>3.7600000000000001E-2</v>
      </c>
      <c r="O3342" s="2"/>
    </row>
    <row r="3343" spans="2:15" x14ac:dyDescent="0.2">
      <c r="B3343" s="1">
        <v>3328</v>
      </c>
      <c r="C3343" s="5">
        <f ca="1"/>
        <v>2.6106033690451055E-2</v>
      </c>
      <c r="D3343" s="5">
        <f ca="1">S0*EXP((μ-0.5*σ*σ)*T+σ*SQRT(T)*$C3343)</f>
        <v>0.66621815360230785</v>
      </c>
      <c r="E3343" s="5">
        <f ca="1">MAX(0,CP*(D3343-K))</f>
        <v>0</v>
      </c>
      <c r="F3343" s="4">
        <f ca="1">(CP*(D3343-K)&gt;0)*1</f>
        <v>0</v>
      </c>
      <c r="H3343" s="4">
        <v>3328</v>
      </c>
      <c r="I3343" s="3">
        <v>0.66792680214692335</v>
      </c>
      <c r="J3343" s="128">
        <v>1.4595546469425397E-3</v>
      </c>
      <c r="K3343" s="128"/>
      <c r="L3343" s="128">
        <v>4.58E-2</v>
      </c>
      <c r="O3343" s="2"/>
    </row>
    <row r="3344" spans="2:15" x14ac:dyDescent="0.2">
      <c r="B3344" s="1">
        <v>3329</v>
      </c>
      <c r="C3344" s="5">
        <f ca="1"/>
        <v>2.0844817885324542</v>
      </c>
      <c r="D3344" s="5">
        <f ca="1">S0*EXP((μ-0.5*σ*σ)*T+σ*SQRT(T)*$C3344)</f>
        <v>0.81610843512366249</v>
      </c>
      <c r="E3344" s="5">
        <f ca="1">MAX(0,CP*(D3344-K))</f>
        <v>2.7908435123662478E-2</v>
      </c>
      <c r="F3344" s="4">
        <f ca="1">(CP*(D3344-K)&gt;0)*1</f>
        <v>1</v>
      </c>
      <c r="H3344" s="4">
        <v>3329</v>
      </c>
      <c r="I3344" s="3">
        <v>0.66786523984496127</v>
      </c>
      <c r="J3344" s="128">
        <v>1.466331765112155E-3</v>
      </c>
      <c r="K3344" s="128"/>
      <c r="L3344" s="128">
        <v>4.7E-2</v>
      </c>
      <c r="O3344" s="2"/>
    </row>
    <row r="3345" spans="2:15" x14ac:dyDescent="0.2">
      <c r="B3345" s="1">
        <v>3330</v>
      </c>
      <c r="C3345" s="5">
        <f ca="1"/>
        <v>1.5696969059180641</v>
      </c>
      <c r="D3345" s="5">
        <f ca="1">S0*EXP((μ-0.5*σ*σ)*T+σ*SQRT(T)*$C3345)</f>
        <v>0.77572330686229363</v>
      </c>
      <c r="E3345" s="5">
        <f ca="1">MAX(0,CP*(D3345-K))</f>
        <v>0</v>
      </c>
      <c r="F3345" s="4">
        <f ca="1">(CP*(D3345-K)&gt;0)*1</f>
        <v>0</v>
      </c>
      <c r="H3345" s="4">
        <v>3330</v>
      </c>
      <c r="I3345" s="3">
        <v>0.668000990731209</v>
      </c>
      <c r="J3345" s="128">
        <v>1.8029039708141906E-3</v>
      </c>
      <c r="K3345" s="128"/>
      <c r="L3345" s="128">
        <v>4.7199999999999999E-2</v>
      </c>
      <c r="O3345" s="2"/>
    </row>
    <row r="3346" spans="2:15" x14ac:dyDescent="0.2">
      <c r="B3346" s="1">
        <v>3331</v>
      </c>
      <c r="C3346" s="5">
        <f ca="1"/>
        <v>-1.8481728397733441</v>
      </c>
      <c r="D3346" s="5">
        <f ca="1">S0*EXP((μ-0.5*σ*σ)*T+σ*SQRT(T)*$C3346)</f>
        <v>0.55381836010463947</v>
      </c>
      <c r="E3346" s="5">
        <f ca="1">MAX(0,CP*(D3346-K))</f>
        <v>0</v>
      </c>
      <c r="F3346" s="4">
        <f ca="1">(CP*(D3346-K)&gt;0)*1</f>
        <v>0</v>
      </c>
      <c r="H3346" s="4">
        <v>3331</v>
      </c>
      <c r="I3346" s="3">
        <v>0.66769441934791884</v>
      </c>
      <c r="J3346" s="128">
        <v>1.3827759812532721E-3</v>
      </c>
      <c r="K3346" s="128"/>
      <c r="L3346" s="128">
        <v>4.02E-2</v>
      </c>
      <c r="O3346" s="2"/>
    </row>
    <row r="3347" spans="2:15" x14ac:dyDescent="0.2">
      <c r="B3347" s="1">
        <v>3332</v>
      </c>
      <c r="C3347" s="5">
        <f ca="1"/>
        <v>-1.2115097397304835</v>
      </c>
      <c r="D3347" s="5">
        <f ca="1">S0*EXP((μ-0.5*σ*σ)*T+σ*SQRT(T)*$C3347)</f>
        <v>0.58969400528442217</v>
      </c>
      <c r="E3347" s="5">
        <f ca="1">MAX(0,CP*(D3347-K))</f>
        <v>0</v>
      </c>
      <c r="F3347" s="4">
        <f ca="1">(CP*(D3347-K)&gt;0)*1</f>
        <v>0</v>
      </c>
      <c r="H3347" s="4">
        <v>3332</v>
      </c>
      <c r="I3347" s="3">
        <v>0.66765994025946529</v>
      </c>
      <c r="J3347" s="128">
        <v>1.4906991710790338E-3</v>
      </c>
      <c r="K3347" s="128"/>
      <c r="L3347" s="128">
        <v>4.02E-2</v>
      </c>
      <c r="O3347" s="2"/>
    </row>
    <row r="3348" spans="2:15" x14ac:dyDescent="0.2">
      <c r="B3348" s="1">
        <v>3333</v>
      </c>
      <c r="C3348" s="5">
        <f ca="1"/>
        <v>-0.59677653025862487</v>
      </c>
      <c r="D3348" s="5">
        <f ca="1">S0*EXP((μ-0.5*σ*σ)*T+σ*SQRT(T)*$C3348)</f>
        <v>0.62653758148127736</v>
      </c>
      <c r="E3348" s="5">
        <f ca="1">MAX(0,CP*(D3348-K))</f>
        <v>0</v>
      </c>
      <c r="F3348" s="4">
        <f ca="1">(CP*(D3348-K)&gt;0)*1</f>
        <v>0</v>
      </c>
      <c r="H3348" s="4">
        <v>3333</v>
      </c>
      <c r="I3348" s="3">
        <v>0.66767427335036678</v>
      </c>
      <c r="J3348" s="128">
        <v>1.3039823718589763E-3</v>
      </c>
      <c r="K3348" s="128"/>
      <c r="L3348" s="128">
        <v>3.7199999999999997E-2</v>
      </c>
      <c r="O3348" s="2"/>
    </row>
    <row r="3349" spans="2:15" x14ac:dyDescent="0.2">
      <c r="B3349" s="1">
        <v>3334</v>
      </c>
      <c r="C3349" s="5">
        <f ca="1"/>
        <v>4.8499130560948234E-2</v>
      </c>
      <c r="D3349" s="5">
        <f ca="1">S0*EXP((μ-0.5*σ*σ)*T+σ*SQRT(T)*$C3349)</f>
        <v>0.66769057398723153</v>
      </c>
      <c r="E3349" s="5">
        <f ca="1">MAX(0,CP*(D3349-K))</f>
        <v>0</v>
      </c>
      <c r="F3349" s="4">
        <f ca="1">(CP*(D3349-K)&gt;0)*1</f>
        <v>0</v>
      </c>
      <c r="H3349" s="4">
        <v>3334</v>
      </c>
      <c r="I3349" s="3">
        <v>0.66774031551738278</v>
      </c>
      <c r="J3349" s="128">
        <v>1.3502588510942541E-3</v>
      </c>
      <c r="K3349" s="128"/>
      <c r="L3349" s="128">
        <v>4.1200000000000001E-2</v>
      </c>
      <c r="O3349" s="2"/>
    </row>
    <row r="3350" spans="2:15" x14ac:dyDescent="0.2">
      <c r="B3350" s="1">
        <v>3335</v>
      </c>
      <c r="C3350" s="5">
        <f ca="1"/>
        <v>-0.95461954765881363</v>
      </c>
      <c r="D3350" s="5">
        <f ca="1">S0*EXP((μ-0.5*σ*σ)*T+σ*SQRT(T)*$C3350)</f>
        <v>0.60481941222858693</v>
      </c>
      <c r="E3350" s="5">
        <f ca="1">MAX(0,CP*(D3350-K))</f>
        <v>0</v>
      </c>
      <c r="F3350" s="4">
        <f ca="1">(CP*(D3350-K)&gt;0)*1</f>
        <v>0</v>
      </c>
      <c r="H3350" s="4">
        <v>3335</v>
      </c>
      <c r="I3350" s="3">
        <v>0.66768159183936637</v>
      </c>
      <c r="J3350" s="128">
        <v>1.4524999220912229E-3</v>
      </c>
      <c r="K3350" s="128"/>
      <c r="L3350" s="128">
        <v>4.02E-2</v>
      </c>
      <c r="O3350" s="2"/>
    </row>
    <row r="3351" spans="2:15" x14ac:dyDescent="0.2">
      <c r="B3351" s="1">
        <v>3336</v>
      </c>
      <c r="C3351" s="5">
        <f ca="1"/>
        <v>1.7018747336974123</v>
      </c>
      <c r="D3351" s="5">
        <f ca="1">S0*EXP((μ-0.5*σ*σ)*T+σ*SQRT(T)*$C3351)</f>
        <v>0.78589796688119207</v>
      </c>
      <c r="E3351" s="5">
        <f ca="1">MAX(0,CP*(D3351-K))</f>
        <v>0</v>
      </c>
      <c r="F3351" s="4">
        <f ca="1">(CP*(D3351-K)&gt;0)*1</f>
        <v>0</v>
      </c>
      <c r="H3351" s="4">
        <v>3336</v>
      </c>
      <c r="I3351" s="3">
        <v>0.66777820987998171</v>
      </c>
      <c r="J3351" s="128">
        <v>1.4596196484267399E-3</v>
      </c>
      <c r="K3351" s="128"/>
      <c r="L3351" s="128">
        <v>4.3999999999999997E-2</v>
      </c>
      <c r="O3351" s="2"/>
    </row>
    <row r="3352" spans="2:15" x14ac:dyDescent="0.2">
      <c r="B3352" s="1">
        <v>3337</v>
      </c>
      <c r="C3352" s="5">
        <f ca="1"/>
        <v>0.11209406044427096</v>
      </c>
      <c r="D3352" s="5">
        <f ca="1">S0*EXP((μ-0.5*σ*σ)*T+σ*SQRT(T)*$C3352)</f>
        <v>0.67188991951030463</v>
      </c>
      <c r="E3352" s="5">
        <f ca="1">MAX(0,CP*(D3352-K))</f>
        <v>0</v>
      </c>
      <c r="F3352" s="4">
        <f ca="1">(CP*(D3352-K)&gt;0)*1</f>
        <v>0</v>
      </c>
      <c r="H3352" s="4">
        <v>3337</v>
      </c>
      <c r="I3352" s="3">
        <v>0.66781412348384916</v>
      </c>
      <c r="J3352" s="128">
        <v>1.4449856785358614E-3</v>
      </c>
      <c r="K3352" s="128"/>
      <c r="L3352" s="128">
        <v>4.2000000000000003E-2</v>
      </c>
      <c r="O3352" s="2"/>
    </row>
    <row r="3353" spans="2:15" x14ac:dyDescent="0.2">
      <c r="B3353" s="1">
        <v>3338</v>
      </c>
      <c r="C3353" s="5">
        <f ca="1"/>
        <v>0.40733833859421481</v>
      </c>
      <c r="D3353" s="5">
        <f ca="1">S0*EXP((μ-0.5*σ*σ)*T+σ*SQRT(T)*$C3353)</f>
        <v>0.69173428674801873</v>
      </c>
      <c r="E3353" s="5">
        <f ca="1">MAX(0,CP*(D3353-K))</f>
        <v>0</v>
      </c>
      <c r="F3353" s="4">
        <f ca="1">(CP*(D3353-K)&gt;0)*1</f>
        <v>0</v>
      </c>
      <c r="H3353" s="4">
        <v>3338</v>
      </c>
      <c r="I3353" s="3">
        <v>0.6678544663529471</v>
      </c>
      <c r="J3353" s="128">
        <v>1.4656311258578951E-3</v>
      </c>
      <c r="K3353" s="128"/>
      <c r="L3353" s="128">
        <v>4.5199999999999997E-2</v>
      </c>
      <c r="O3353" s="2"/>
    </row>
    <row r="3354" spans="2:15" x14ac:dyDescent="0.2">
      <c r="B3354" s="1">
        <v>3339</v>
      </c>
      <c r="C3354" s="5">
        <f ca="1"/>
        <v>1.2759337526726184</v>
      </c>
      <c r="D3354" s="5">
        <f ca="1">S0*EXP((μ-0.5*σ*σ)*T+σ*SQRT(T)*$C3354)</f>
        <v>0.75357950539817398</v>
      </c>
      <c r="E3354" s="5">
        <f ca="1">MAX(0,CP*(D3354-K))</f>
        <v>0</v>
      </c>
      <c r="F3354" s="4">
        <f ca="1">(CP*(D3354-K)&gt;0)*1</f>
        <v>0</v>
      </c>
      <c r="H3354" s="4">
        <v>3339</v>
      </c>
      <c r="I3354" s="3">
        <v>0.66774965408876985</v>
      </c>
      <c r="J3354" s="128">
        <v>1.3540515659911352E-3</v>
      </c>
      <c r="K3354" s="128"/>
      <c r="L3354" s="128">
        <v>4.1000000000000002E-2</v>
      </c>
      <c r="O3354" s="2"/>
    </row>
    <row r="3355" spans="2:15" x14ac:dyDescent="0.2">
      <c r="B3355" s="1">
        <v>3340</v>
      </c>
      <c r="C3355" s="5">
        <f ca="1"/>
        <v>-0.70457336500361167</v>
      </c>
      <c r="D3355" s="5">
        <f ca="1">S0*EXP((μ-0.5*σ*σ)*T+σ*SQRT(T)*$C3355)</f>
        <v>0.61991436141941625</v>
      </c>
      <c r="E3355" s="5">
        <f ca="1">MAX(0,CP*(D3355-K))</f>
        <v>0</v>
      </c>
      <c r="F3355" s="4">
        <f ca="1">(CP*(D3355-K)&gt;0)*1</f>
        <v>0</v>
      </c>
      <c r="H3355" s="4">
        <v>3340</v>
      </c>
      <c r="I3355" s="3">
        <v>0.66770010310911987</v>
      </c>
      <c r="J3355" s="128">
        <v>1.252608099139712E-3</v>
      </c>
      <c r="K3355" s="128"/>
      <c r="L3355" s="128">
        <v>3.9600000000000003E-2</v>
      </c>
      <c r="O3355" s="2"/>
    </row>
    <row r="3356" spans="2:15" x14ac:dyDescent="0.2">
      <c r="B3356" s="1">
        <v>3341</v>
      </c>
      <c r="C3356" s="5">
        <f ca="1"/>
        <v>8.4081751115308301E-2</v>
      </c>
      <c r="D3356" s="5">
        <f ca="1">S0*EXP((μ-0.5*σ*σ)*T+σ*SQRT(T)*$C3356)</f>
        <v>0.67003694600375507</v>
      </c>
      <c r="E3356" s="5">
        <f ca="1">MAX(0,CP*(D3356-K))</f>
        <v>0</v>
      </c>
      <c r="F3356" s="4">
        <f ca="1">(CP*(D3356-K)&gt;0)*1</f>
        <v>0</v>
      </c>
      <c r="H3356" s="4">
        <v>3341</v>
      </c>
      <c r="I3356" s="3">
        <v>0.6678034552033586</v>
      </c>
      <c r="J3356" s="128">
        <v>1.406094883414947E-3</v>
      </c>
      <c r="K3356" s="128"/>
      <c r="L3356" s="128">
        <v>4.2200000000000001E-2</v>
      </c>
      <c r="O3356" s="2"/>
    </row>
    <row r="3357" spans="2:15" x14ac:dyDescent="0.2">
      <c r="B3357" s="1">
        <v>3342</v>
      </c>
      <c r="C3357" s="5">
        <f ca="1"/>
        <v>-3.5558455509003668E-2</v>
      </c>
      <c r="D3357" s="5">
        <f ca="1">S0*EXP((μ-0.5*σ*σ)*T+σ*SQRT(T)*$C3357)</f>
        <v>0.66218026924375994</v>
      </c>
      <c r="E3357" s="5">
        <f ca="1">MAX(0,CP*(D3357-K))</f>
        <v>0</v>
      </c>
      <c r="F3357" s="4">
        <f ca="1">(CP*(D3357-K)&gt;0)*1</f>
        <v>0</v>
      </c>
      <c r="H3357" s="4">
        <v>3342</v>
      </c>
      <c r="I3357" s="3">
        <v>0.66779808207618774</v>
      </c>
      <c r="J3357" s="128">
        <v>1.3049358673913019E-3</v>
      </c>
      <c r="K3357" s="128"/>
      <c r="L3357" s="128">
        <v>4.4999999999999998E-2</v>
      </c>
      <c r="O3357" s="2"/>
    </row>
    <row r="3358" spans="2:15" x14ac:dyDescent="0.2">
      <c r="B3358" s="1">
        <v>3343</v>
      </c>
      <c r="C3358" s="5">
        <f ca="1"/>
        <v>0.84686319825080425</v>
      </c>
      <c r="D3358" s="5">
        <f ca="1">S0*EXP((μ-0.5*σ*σ)*T+σ*SQRT(T)*$C3358)</f>
        <v>0.72236716397556511</v>
      </c>
      <c r="E3358" s="5">
        <f ca="1">MAX(0,CP*(D3358-K))</f>
        <v>0</v>
      </c>
      <c r="F3358" s="4">
        <f ca="1">(CP*(D3358-K)&gt;0)*1</f>
        <v>0</v>
      </c>
      <c r="H3358" s="4">
        <v>3343</v>
      </c>
      <c r="I3358" s="3">
        <v>0.66779663263551725</v>
      </c>
      <c r="J3358" s="128">
        <v>1.345290826417924E-3</v>
      </c>
      <c r="K3358" s="128"/>
      <c r="L3358" s="128">
        <v>4.2999999999999997E-2</v>
      </c>
      <c r="O3358" s="2"/>
    </row>
    <row r="3359" spans="2:15" x14ac:dyDescent="0.2">
      <c r="B3359" s="1">
        <v>3344</v>
      </c>
      <c r="C3359" s="5">
        <f ca="1"/>
        <v>-0.83561962960399461</v>
      </c>
      <c r="D3359" s="5">
        <f ca="1">S0*EXP((μ-0.5*σ*σ)*T+σ*SQRT(T)*$C3359)</f>
        <v>0.61195687975272672</v>
      </c>
      <c r="E3359" s="5">
        <f ca="1">MAX(0,CP*(D3359-K))</f>
        <v>0</v>
      </c>
      <c r="F3359" s="4">
        <f ca="1">(CP*(D3359-K)&gt;0)*1</f>
        <v>0</v>
      </c>
      <c r="H3359" s="4">
        <v>3344</v>
      </c>
      <c r="I3359" s="3">
        <v>0.66752127241825188</v>
      </c>
      <c r="J3359" s="128">
        <v>1.139626347243573E-3</v>
      </c>
      <c r="K3359" s="128"/>
      <c r="L3359" s="128">
        <v>3.6999999999999998E-2</v>
      </c>
      <c r="O3359" s="2"/>
    </row>
    <row r="3360" spans="2:15" x14ac:dyDescent="0.2">
      <c r="B3360" s="1">
        <v>3345</v>
      </c>
      <c r="C3360" s="5">
        <f ca="1"/>
        <v>0.82525200351613814</v>
      </c>
      <c r="D3360" s="5">
        <f ca="1">S0*EXP((μ-0.5*σ*σ)*T+σ*SQRT(T)*$C3360)</f>
        <v>0.72082973195005273</v>
      </c>
      <c r="E3360" s="5">
        <f ca="1">MAX(0,CP*(D3360-K))</f>
        <v>0</v>
      </c>
      <c r="F3360" s="4">
        <f ca="1">(CP*(D3360-K)&gt;0)*1</f>
        <v>0</v>
      </c>
      <c r="H3360" s="4">
        <v>3345</v>
      </c>
      <c r="I3360" s="3">
        <v>0.66783634042045004</v>
      </c>
      <c r="J3360" s="128">
        <v>1.390978438872493E-3</v>
      </c>
      <c r="K3360" s="128"/>
      <c r="L3360" s="128">
        <v>4.5199999999999997E-2</v>
      </c>
      <c r="O3360" s="2"/>
    </row>
    <row r="3361" spans="2:15" x14ac:dyDescent="0.2">
      <c r="B3361" s="1">
        <v>3346</v>
      </c>
      <c r="C3361" s="5">
        <f ca="1"/>
        <v>-1.791373980831501</v>
      </c>
      <c r="D3361" s="5">
        <f ca="1">S0*EXP((μ-0.5*σ*σ)*T+σ*SQRT(T)*$C3361)</f>
        <v>0.55692825132394985</v>
      </c>
      <c r="E3361" s="5">
        <f ca="1">MAX(0,CP*(D3361-K))</f>
        <v>0</v>
      </c>
      <c r="F3361" s="4">
        <f ca="1">(CP*(D3361-K)&gt;0)*1</f>
        <v>0</v>
      </c>
      <c r="H3361" s="4">
        <v>3346</v>
      </c>
      <c r="I3361" s="3">
        <v>0.66756442564591623</v>
      </c>
      <c r="J3361" s="128">
        <v>1.2313750307607662E-3</v>
      </c>
      <c r="K3361" s="128"/>
      <c r="L3361" s="128">
        <v>3.9199999999999999E-2</v>
      </c>
      <c r="O3361" s="2"/>
    </row>
    <row r="3362" spans="2:15" x14ac:dyDescent="0.2">
      <c r="B3362" s="1">
        <v>3347</v>
      </c>
      <c r="C3362" s="5">
        <f ca="1"/>
        <v>0.5891356152002285</v>
      </c>
      <c r="D3362" s="5">
        <f ca="1">S0*EXP((μ-0.5*σ*σ)*T+σ*SQRT(T)*$C3362)</f>
        <v>0.7042439645620947</v>
      </c>
      <c r="E3362" s="5">
        <f ca="1">MAX(0,CP*(D3362-K))</f>
        <v>0</v>
      </c>
      <c r="F3362" s="4">
        <f ca="1">(CP*(D3362-K)&gt;0)*1</f>
        <v>0</v>
      </c>
      <c r="H3362" s="4">
        <v>3347</v>
      </c>
      <c r="I3362" s="3">
        <v>0.66788085469866287</v>
      </c>
      <c r="J3362" s="128">
        <v>1.5481190661019485E-3</v>
      </c>
      <c r="K3362" s="128"/>
      <c r="L3362" s="128">
        <v>4.58E-2</v>
      </c>
      <c r="O3362" s="2"/>
    </row>
    <row r="3363" spans="2:15" x14ac:dyDescent="0.2">
      <c r="B3363" s="1">
        <v>3348</v>
      </c>
      <c r="C3363" s="5">
        <f ca="1"/>
        <v>0.22878490501187426</v>
      </c>
      <c r="D3363" s="5">
        <f ca="1">S0*EXP((μ-0.5*σ*σ)*T+σ*SQRT(T)*$C3363)</f>
        <v>0.67966414514471385</v>
      </c>
      <c r="E3363" s="5">
        <f ca="1">MAX(0,CP*(D3363-K))</f>
        <v>0</v>
      </c>
      <c r="F3363" s="4">
        <f ca="1">(CP*(D3363-K)&gt;0)*1</f>
        <v>0</v>
      </c>
      <c r="H3363" s="4">
        <v>3348</v>
      </c>
      <c r="I3363" s="3">
        <v>0.66774589252833572</v>
      </c>
      <c r="J3363" s="128">
        <v>1.3758608397121948E-3</v>
      </c>
      <c r="K3363" s="128"/>
      <c r="L3363" s="128">
        <v>4.0599999999999997E-2</v>
      </c>
      <c r="O3363" s="2"/>
    </row>
    <row r="3364" spans="2:15" x14ac:dyDescent="0.2">
      <c r="B3364" s="1">
        <v>3349</v>
      </c>
      <c r="C3364" s="5">
        <f ca="1"/>
        <v>-0.22769404657924114</v>
      </c>
      <c r="D3364" s="5">
        <f ca="1">S0*EXP((μ-0.5*σ*σ)*T+σ*SQRT(T)*$C3364)</f>
        <v>0.6497551938691648</v>
      </c>
      <c r="E3364" s="5">
        <f ca="1">MAX(0,CP*(D3364-K))</f>
        <v>0</v>
      </c>
      <c r="F3364" s="4">
        <f ca="1">(CP*(D3364-K)&gt;0)*1</f>
        <v>0</v>
      </c>
      <c r="H3364" s="4">
        <v>3349</v>
      </c>
      <c r="I3364" s="3">
        <v>0.66774336084099173</v>
      </c>
      <c r="J3364" s="128">
        <v>1.6265677177289416E-3</v>
      </c>
      <c r="K3364" s="128"/>
      <c r="L3364" s="128">
        <v>4.1200000000000001E-2</v>
      </c>
      <c r="O3364" s="2"/>
    </row>
    <row r="3365" spans="2:15" x14ac:dyDescent="0.2">
      <c r="B3365" s="1">
        <v>3350</v>
      </c>
      <c r="C3365" s="5">
        <f ca="1"/>
        <v>0.11965274044878567</v>
      </c>
      <c r="D3365" s="5">
        <f ca="1">S0*EXP((μ-0.5*σ*σ)*T+σ*SQRT(T)*$C3365)</f>
        <v>0.67239079252274003</v>
      </c>
      <c r="E3365" s="5">
        <f ca="1">MAX(0,CP*(D3365-K))</f>
        <v>0</v>
      </c>
      <c r="F3365" s="4">
        <f ca="1">(CP*(D3365-K)&gt;0)*1</f>
        <v>0</v>
      </c>
      <c r="H3365" s="4">
        <v>3350</v>
      </c>
      <c r="I3365" s="3">
        <v>0.66770620484371512</v>
      </c>
      <c r="J3365" s="128">
        <v>1.1595940876357662E-3</v>
      </c>
      <c r="K3365" s="128"/>
      <c r="L3365" s="128">
        <v>3.9600000000000003E-2</v>
      </c>
      <c r="O3365" s="2"/>
    </row>
    <row r="3366" spans="2:15" x14ac:dyDescent="0.2">
      <c r="B3366" s="1">
        <v>3351</v>
      </c>
      <c r="C3366" s="5">
        <f ca="1"/>
        <v>0.59905724040491293</v>
      </c>
      <c r="D3366" s="5">
        <f ca="1">S0*EXP((μ-0.5*σ*σ)*T+σ*SQRT(T)*$C3366)</f>
        <v>0.70493315634529696</v>
      </c>
      <c r="E3366" s="5">
        <f ca="1">MAX(0,CP*(D3366-K))</f>
        <v>0</v>
      </c>
      <c r="F3366" s="4">
        <f ca="1">(CP*(D3366-K)&gt;0)*1</f>
        <v>0</v>
      </c>
      <c r="H3366" s="4">
        <v>3351</v>
      </c>
      <c r="I3366" s="3">
        <v>0.66766340970180704</v>
      </c>
      <c r="J3366" s="128">
        <v>1.3357379146469021E-3</v>
      </c>
      <c r="K3366" s="128"/>
      <c r="L3366" s="128">
        <v>4.2200000000000001E-2</v>
      </c>
      <c r="O3366" s="2"/>
    </row>
    <row r="3367" spans="2:15" x14ac:dyDescent="0.2">
      <c r="B3367" s="1">
        <v>3352</v>
      </c>
      <c r="C3367" s="5">
        <f ca="1"/>
        <v>-1.0194670353212747</v>
      </c>
      <c r="D3367" s="5">
        <f ca="1">S0*EXP((μ-0.5*σ*σ)*T+σ*SQRT(T)*$C3367)</f>
        <v>0.60096504506917314</v>
      </c>
      <c r="E3367" s="5">
        <f ca="1">MAX(0,CP*(D3367-K))</f>
        <v>0</v>
      </c>
      <c r="F3367" s="4">
        <f ca="1">(CP*(D3367-K)&gt;0)*1</f>
        <v>0</v>
      </c>
      <c r="H3367" s="4">
        <v>3352</v>
      </c>
      <c r="I3367" s="3">
        <v>0.66760450131741578</v>
      </c>
      <c r="J3367" s="128">
        <v>1.2332602590373329E-3</v>
      </c>
      <c r="K3367" s="128"/>
      <c r="L3367" s="128">
        <v>3.8600000000000002E-2</v>
      </c>
      <c r="O3367" s="2"/>
    </row>
    <row r="3368" spans="2:15" x14ac:dyDescent="0.2">
      <c r="B3368" s="1">
        <v>3353</v>
      </c>
      <c r="C3368" s="5">
        <f ca="1"/>
        <v>1.6181775645635641</v>
      </c>
      <c r="D3368" s="5">
        <f ca="1">S0*EXP((μ-0.5*σ*σ)*T+σ*SQRT(T)*$C3368)</f>
        <v>0.77943981732100143</v>
      </c>
      <c r="E3368" s="5">
        <f ca="1">MAX(0,CP*(D3368-K))</f>
        <v>0</v>
      </c>
      <c r="F3368" s="4">
        <f ca="1">(CP*(D3368-K)&gt;0)*1</f>
        <v>0</v>
      </c>
      <c r="H3368" s="4">
        <v>3353</v>
      </c>
      <c r="I3368" s="3">
        <v>0.66770040483927406</v>
      </c>
      <c r="J3368" s="128">
        <v>1.2596407752184574E-3</v>
      </c>
      <c r="K3368" s="128"/>
      <c r="L3368" s="128">
        <v>4.24E-2</v>
      </c>
      <c r="O3368" s="2"/>
    </row>
    <row r="3369" spans="2:15" x14ac:dyDescent="0.2">
      <c r="B3369" s="1">
        <v>3354</v>
      </c>
      <c r="C3369" s="5">
        <f ca="1"/>
        <v>-0.14747640780735838</v>
      </c>
      <c r="D3369" s="5">
        <f ca="1">S0*EXP((μ-0.5*σ*σ)*T+σ*SQRT(T)*$C3369)</f>
        <v>0.65491412565332963</v>
      </c>
      <c r="E3369" s="5">
        <f ca="1">MAX(0,CP*(D3369-K))</f>
        <v>0</v>
      </c>
      <c r="F3369" s="4">
        <f ca="1">(CP*(D3369-K)&gt;0)*1</f>
        <v>0</v>
      </c>
      <c r="H3369" s="4">
        <v>3354</v>
      </c>
      <c r="I3369" s="3">
        <v>0.66785269194341468</v>
      </c>
      <c r="J3369" s="128">
        <v>1.4224752378577438E-3</v>
      </c>
      <c r="K3369" s="128"/>
      <c r="L3369" s="128">
        <v>4.36E-2</v>
      </c>
      <c r="O3369" s="2"/>
    </row>
    <row r="3370" spans="2:15" x14ac:dyDescent="0.2">
      <c r="B3370" s="1">
        <v>3355</v>
      </c>
      <c r="C3370" s="5">
        <f ca="1"/>
        <v>-0.19727329791687795</v>
      </c>
      <c r="D3370" s="5">
        <f ca="1">S0*EXP((μ-0.5*σ*σ)*T+σ*SQRT(T)*$C3370)</f>
        <v>0.65170680276167037</v>
      </c>
      <c r="E3370" s="5">
        <f ca="1">MAX(0,CP*(D3370-K))</f>
        <v>0</v>
      </c>
      <c r="F3370" s="4">
        <f ca="1">(CP*(D3370-K)&gt;0)*1</f>
        <v>0</v>
      </c>
      <c r="H3370" s="4">
        <v>3355</v>
      </c>
      <c r="I3370" s="3">
        <v>0.66807614237808222</v>
      </c>
      <c r="J3370" s="128">
        <v>1.8331003415393624E-3</v>
      </c>
      <c r="K3370" s="128"/>
      <c r="L3370" s="128">
        <v>5.1999999999999998E-2</v>
      </c>
      <c r="O3370" s="2"/>
    </row>
    <row r="3371" spans="2:15" x14ac:dyDescent="0.2">
      <c r="B3371" s="1">
        <v>3356</v>
      </c>
      <c r="C3371" s="5">
        <f ca="1"/>
        <v>-0.72144770793065061</v>
      </c>
      <c r="D3371" s="5">
        <f ca="1">S0*EXP((μ-0.5*σ*σ)*T+σ*SQRT(T)*$C3371)</f>
        <v>0.61888392999842023</v>
      </c>
      <c r="E3371" s="5">
        <f ca="1">MAX(0,CP*(D3371-K))</f>
        <v>0</v>
      </c>
      <c r="F3371" s="4">
        <f ca="1">(CP*(D3371-K)&gt;0)*1</f>
        <v>0</v>
      </c>
      <c r="H3371" s="4">
        <v>3356</v>
      </c>
      <c r="I3371" s="3">
        <v>0.66766421229093964</v>
      </c>
      <c r="J3371" s="128">
        <v>1.2899211223268839E-3</v>
      </c>
      <c r="K3371" s="128"/>
      <c r="L3371" s="128">
        <v>4.2799999999999998E-2</v>
      </c>
      <c r="O3371" s="2"/>
    </row>
    <row r="3372" spans="2:15" x14ac:dyDescent="0.2">
      <c r="B3372" s="1">
        <v>3357</v>
      </c>
      <c r="C3372" s="5">
        <f ca="1"/>
        <v>0.33495494289758615</v>
      </c>
      <c r="D3372" s="5">
        <f ca="1">S0*EXP((μ-0.5*σ*σ)*T+σ*SQRT(T)*$C3372)</f>
        <v>0.68681557565687934</v>
      </c>
      <c r="E3372" s="5">
        <f ca="1">MAX(0,CP*(D3372-K))</f>
        <v>0</v>
      </c>
      <c r="F3372" s="4">
        <f ca="1">(CP*(D3372-K)&gt;0)*1</f>
        <v>0</v>
      </c>
      <c r="H3372" s="4">
        <v>3357</v>
      </c>
      <c r="I3372" s="3">
        <v>0.66777785543539625</v>
      </c>
      <c r="J3372" s="128">
        <v>1.3950374576255865E-3</v>
      </c>
      <c r="K3372" s="128"/>
      <c r="L3372" s="128">
        <v>4.3400000000000001E-2</v>
      </c>
      <c r="O3372" s="2"/>
    </row>
    <row r="3373" spans="2:15" x14ac:dyDescent="0.2">
      <c r="B3373" s="1">
        <v>3358</v>
      </c>
      <c r="C3373" s="5">
        <f ca="1"/>
        <v>-1.3353760078830526</v>
      </c>
      <c r="D3373" s="5">
        <f ca="1">S0*EXP((μ-0.5*σ*σ)*T+σ*SQRT(T)*$C3373)</f>
        <v>0.58253665196416127</v>
      </c>
      <c r="E3373" s="5">
        <f ca="1">MAX(0,CP*(D3373-K))</f>
        <v>0</v>
      </c>
      <c r="F3373" s="4">
        <f ca="1">(CP*(D3373-K)&gt;0)*1</f>
        <v>0</v>
      </c>
      <c r="H3373" s="4">
        <v>3358</v>
      </c>
      <c r="I3373" s="3">
        <v>0.66779259652984413</v>
      </c>
      <c r="J3373" s="128">
        <v>1.3894236793207968E-3</v>
      </c>
      <c r="K3373" s="128"/>
      <c r="L3373" s="128">
        <v>3.8399999999999997E-2</v>
      </c>
      <c r="O3373" s="2"/>
    </row>
    <row r="3374" spans="2:15" x14ac:dyDescent="0.2">
      <c r="B3374" s="1">
        <v>3359</v>
      </c>
      <c r="C3374" s="5">
        <f ca="1"/>
        <v>0.41161408589964188</v>
      </c>
      <c r="D3374" s="5">
        <f ca="1">S0*EXP((μ-0.5*σ*σ)*T+σ*SQRT(T)*$C3374)</f>
        <v>0.69202593850176908</v>
      </c>
      <c r="E3374" s="5">
        <f ca="1">MAX(0,CP*(D3374-K))</f>
        <v>0</v>
      </c>
      <c r="F3374" s="4">
        <f ca="1">(CP*(D3374-K)&gt;0)*1</f>
        <v>0</v>
      </c>
      <c r="H3374" s="4">
        <v>3359</v>
      </c>
      <c r="I3374" s="3">
        <v>0.66754181346614605</v>
      </c>
      <c r="J3374" s="128">
        <v>1.1005016166432706E-3</v>
      </c>
      <c r="K3374" s="128"/>
      <c r="L3374" s="128">
        <v>3.5000000000000003E-2</v>
      </c>
      <c r="O3374" s="2"/>
    </row>
    <row r="3375" spans="2:15" x14ac:dyDescent="0.2">
      <c r="B3375" s="1">
        <v>3360</v>
      </c>
      <c r="C3375" s="5">
        <f ca="1"/>
        <v>-1.4290543319852647</v>
      </c>
      <c r="D3375" s="5">
        <f ca="1">S0*EXP((μ-0.5*σ*σ)*T+σ*SQRT(T)*$C3375)</f>
        <v>0.57718139682318303</v>
      </c>
      <c r="E3375" s="5">
        <f ca="1">MAX(0,CP*(D3375-K))</f>
        <v>0</v>
      </c>
      <c r="F3375" s="4">
        <f ca="1">(CP*(D3375-K)&gt;0)*1</f>
        <v>0</v>
      </c>
      <c r="H3375" s="4">
        <v>3360</v>
      </c>
      <c r="I3375" s="3">
        <v>0.66778643440689178</v>
      </c>
      <c r="J3375" s="128">
        <v>1.4619434644480287E-3</v>
      </c>
      <c r="K3375" s="128"/>
      <c r="L3375" s="128">
        <v>4.36E-2</v>
      </c>
      <c r="O3375" s="2"/>
    </row>
    <row r="3376" spans="2:15" x14ac:dyDescent="0.2">
      <c r="B3376" s="1">
        <v>3361</v>
      </c>
      <c r="C3376" s="5">
        <f ca="1"/>
        <v>-1.3533563524183398</v>
      </c>
      <c r="D3376" s="5">
        <f ca="1">S0*EXP((μ-0.5*σ*σ)*T+σ*SQRT(T)*$C3376)</f>
        <v>0.58150494082627258</v>
      </c>
      <c r="E3376" s="5">
        <f ca="1">MAX(0,CP*(D3376-K))</f>
        <v>0</v>
      </c>
      <c r="F3376" s="4">
        <f ca="1">(CP*(D3376-K)&gt;0)*1</f>
        <v>0</v>
      </c>
      <c r="H3376" s="4">
        <v>3361</v>
      </c>
      <c r="I3376" s="3">
        <v>0.66768205660271751</v>
      </c>
      <c r="J3376" s="128">
        <v>1.2324464563769051E-3</v>
      </c>
      <c r="K3376" s="128"/>
      <c r="L3376" s="128">
        <v>3.9199999999999999E-2</v>
      </c>
      <c r="O3376" s="2"/>
    </row>
    <row r="3377" spans="2:15" x14ac:dyDescent="0.2">
      <c r="B3377" s="1">
        <v>3362</v>
      </c>
      <c r="C3377" s="5">
        <f ca="1"/>
        <v>-0.36174187112027478</v>
      </c>
      <c r="D3377" s="5">
        <f ca="1">S0*EXP((μ-0.5*σ*σ)*T+σ*SQRT(T)*$C3377)</f>
        <v>0.64122488580797798</v>
      </c>
      <c r="E3377" s="5">
        <f ca="1">MAX(0,CP*(D3377-K))</f>
        <v>0</v>
      </c>
      <c r="F3377" s="4">
        <f ca="1">(CP*(D3377-K)&gt;0)*1</f>
        <v>0</v>
      </c>
      <c r="H3377" s="4">
        <v>3362</v>
      </c>
      <c r="I3377" s="3">
        <v>0.66773998630852271</v>
      </c>
      <c r="J3377" s="128">
        <v>1.2890982389342227E-3</v>
      </c>
      <c r="K3377" s="128"/>
      <c r="L3377" s="128">
        <v>4.0800000000000003E-2</v>
      </c>
      <c r="O3377" s="2"/>
    </row>
    <row r="3378" spans="2:15" x14ac:dyDescent="0.2">
      <c r="B3378" s="1">
        <v>3363</v>
      </c>
      <c r="C3378" s="5">
        <f ca="1"/>
        <v>-0.72282277739249734</v>
      </c>
      <c r="D3378" s="5">
        <f ca="1">S0*EXP((μ-0.5*σ*σ)*T+σ*SQRT(T)*$C3378)</f>
        <v>0.61880003692086194</v>
      </c>
      <c r="E3378" s="5">
        <f ca="1">MAX(0,CP*(D3378-K))</f>
        <v>0</v>
      </c>
      <c r="F3378" s="4">
        <f ca="1">(CP*(D3378-K)&gt;0)*1</f>
        <v>0</v>
      </c>
      <c r="H3378" s="4">
        <v>3363</v>
      </c>
      <c r="I3378" s="3">
        <v>0.66772853063769921</v>
      </c>
      <c r="J3378" s="128">
        <v>1.2170584896422248E-3</v>
      </c>
      <c r="K3378" s="128"/>
      <c r="L3378" s="128">
        <v>4.24E-2</v>
      </c>
      <c r="O3378" s="2"/>
    </row>
    <row r="3379" spans="2:15" x14ac:dyDescent="0.2">
      <c r="B3379" s="1">
        <v>3364</v>
      </c>
      <c r="C3379" s="5">
        <f ca="1"/>
        <v>-1.0132738692344645</v>
      </c>
      <c r="D3379" s="5">
        <f ca="1">S0*EXP((μ-0.5*σ*σ)*T+σ*SQRT(T)*$C3379)</f>
        <v>0.60133208748076117</v>
      </c>
      <c r="E3379" s="5">
        <f ca="1">MAX(0,CP*(D3379-K))</f>
        <v>0</v>
      </c>
      <c r="F3379" s="4">
        <f ca="1">(CP*(D3379-K)&gt;0)*1</f>
        <v>0</v>
      </c>
      <c r="H3379" s="4">
        <v>3364</v>
      </c>
      <c r="I3379" s="3">
        <v>0.6678267449011801</v>
      </c>
      <c r="J3379" s="128">
        <v>1.4002707718193336E-3</v>
      </c>
      <c r="K3379" s="128"/>
      <c r="L3379" s="128">
        <v>4.48E-2</v>
      </c>
      <c r="O3379" s="2"/>
    </row>
    <row r="3380" spans="2:15" x14ac:dyDescent="0.2">
      <c r="B3380" s="1">
        <v>3365</v>
      </c>
      <c r="C3380" s="5">
        <f ca="1"/>
        <v>0.14968220217266479</v>
      </c>
      <c r="D3380" s="5">
        <f ca="1">S0*EXP((μ-0.5*σ*σ)*T+σ*SQRT(T)*$C3380)</f>
        <v>0.67438437429927578</v>
      </c>
      <c r="E3380" s="5">
        <f ca="1">MAX(0,CP*(D3380-K))</f>
        <v>0</v>
      </c>
      <c r="F3380" s="4">
        <f ca="1">(CP*(D3380-K)&gt;0)*1</f>
        <v>0</v>
      </c>
      <c r="H3380" s="4">
        <v>3365</v>
      </c>
      <c r="I3380" s="3">
        <v>0.66783887115746798</v>
      </c>
      <c r="J3380" s="128">
        <v>1.4032173591055142E-3</v>
      </c>
      <c r="K3380" s="128"/>
      <c r="L3380" s="128">
        <v>4.4400000000000002E-2</v>
      </c>
      <c r="O3380" s="2"/>
    </row>
    <row r="3381" spans="2:15" x14ac:dyDescent="0.2">
      <c r="B3381" s="1">
        <v>3366</v>
      </c>
      <c r="C3381" s="5">
        <f ca="1"/>
        <v>-0.70810425160067836</v>
      </c>
      <c r="D3381" s="5">
        <f ca="1">S0*EXP((μ-0.5*σ*σ)*T+σ*SQRT(T)*$C3381)</f>
        <v>0.61969860605598981</v>
      </c>
      <c r="E3381" s="5">
        <f ca="1">MAX(0,CP*(D3381-K))</f>
        <v>0</v>
      </c>
      <c r="F3381" s="4">
        <f ca="1">(CP*(D3381-K)&gt;0)*1</f>
        <v>0</v>
      </c>
      <c r="H3381" s="4">
        <v>3366</v>
      </c>
      <c r="I3381" s="3">
        <v>0.66771882958643514</v>
      </c>
      <c r="J3381" s="128">
        <v>1.3976844243198149E-3</v>
      </c>
      <c r="K3381" s="128"/>
      <c r="L3381" s="128">
        <v>4.1399999999999999E-2</v>
      </c>
      <c r="O3381" s="2"/>
    </row>
    <row r="3382" spans="2:15" x14ac:dyDescent="0.2">
      <c r="B3382" s="1">
        <v>3367</v>
      </c>
      <c r="C3382" s="5">
        <f ca="1"/>
        <v>2.1675408603934034</v>
      </c>
      <c r="D3382" s="5">
        <f ca="1">S0*EXP((μ-0.5*σ*σ)*T+σ*SQRT(T)*$C3382)</f>
        <v>0.82281864343712241</v>
      </c>
      <c r="E3382" s="5">
        <f ca="1">MAX(0,CP*(D3382-K))</f>
        <v>3.4618643437122398E-2</v>
      </c>
      <c r="F3382" s="4">
        <f ca="1">(CP*(D3382-K)&gt;0)*1</f>
        <v>1</v>
      </c>
      <c r="H3382" s="4">
        <v>3367</v>
      </c>
      <c r="I3382" s="3">
        <v>0.66777854351789134</v>
      </c>
      <c r="J3382" s="128">
        <v>1.4437071257684796E-3</v>
      </c>
      <c r="K3382" s="128"/>
      <c r="L3382" s="128">
        <v>4.2599999999999999E-2</v>
      </c>
      <c r="O3382" s="2"/>
    </row>
    <row r="3383" spans="2:15" x14ac:dyDescent="0.2">
      <c r="B3383" s="1">
        <v>3368</v>
      </c>
      <c r="C3383" s="5">
        <f ca="1"/>
        <v>1.1071895908953491</v>
      </c>
      <c r="D3383" s="5">
        <f ca="1">S0*EXP((μ-0.5*σ*σ)*T+σ*SQRT(T)*$C3383)</f>
        <v>0.74114661546625493</v>
      </c>
      <c r="E3383" s="5">
        <f ca="1">MAX(0,CP*(D3383-K))</f>
        <v>0</v>
      </c>
      <c r="F3383" s="4">
        <f ca="1">(CP*(D3383-K)&gt;0)*1</f>
        <v>0</v>
      </c>
      <c r="H3383" s="4">
        <v>3368</v>
      </c>
      <c r="I3383" s="3">
        <v>0.66777914820215223</v>
      </c>
      <c r="J3383" s="128">
        <v>1.3245625409026634E-3</v>
      </c>
      <c r="K3383" s="128"/>
      <c r="L3383" s="128">
        <v>4.3200000000000002E-2</v>
      </c>
      <c r="O3383" s="2"/>
    </row>
    <row r="3384" spans="2:15" x14ac:dyDescent="0.2">
      <c r="B3384" s="1">
        <v>3369</v>
      </c>
      <c r="C3384" s="5">
        <f ca="1"/>
        <v>-0.84407931020705163</v>
      </c>
      <c r="D3384" s="5">
        <f ca="1">S0*EXP((μ-0.5*σ*σ)*T+σ*SQRT(T)*$C3384)</f>
        <v>0.61144670916587929</v>
      </c>
      <c r="E3384" s="5">
        <f ca="1">MAX(0,CP*(D3384-K))</f>
        <v>0</v>
      </c>
      <c r="F3384" s="4">
        <f ca="1">(CP*(D3384-K)&gt;0)*1</f>
        <v>0</v>
      </c>
      <c r="H3384" s="4">
        <v>3369</v>
      </c>
      <c r="I3384" s="3">
        <v>0.66783536260135667</v>
      </c>
      <c r="J3384" s="128">
        <v>1.4314833583592744E-3</v>
      </c>
      <c r="K3384" s="128"/>
      <c r="L3384" s="128">
        <v>4.48E-2</v>
      </c>
      <c r="O3384" s="2"/>
    </row>
    <row r="3385" spans="2:15" x14ac:dyDescent="0.2">
      <c r="B3385" s="1">
        <v>3370</v>
      </c>
      <c r="C3385" s="5">
        <f ca="1"/>
        <v>2.0152431415173129</v>
      </c>
      <c r="D3385" s="5">
        <f ca="1">S0*EXP((μ-0.5*σ*σ)*T+σ*SQRT(T)*$C3385)</f>
        <v>0.81055659766980581</v>
      </c>
      <c r="E3385" s="5">
        <f ca="1">MAX(0,CP*(D3385-K))</f>
        <v>2.23565976698058E-2</v>
      </c>
      <c r="F3385" s="4">
        <f ca="1">(CP*(D3385-K)&gt;0)*1</f>
        <v>1</v>
      </c>
      <c r="H3385" s="4">
        <v>3370</v>
      </c>
      <c r="I3385" s="3">
        <v>0.66775356861968338</v>
      </c>
      <c r="J3385" s="128">
        <v>1.3492367215964213E-3</v>
      </c>
      <c r="K3385" s="128"/>
      <c r="L3385" s="128">
        <v>3.9E-2</v>
      </c>
      <c r="O3385" s="2"/>
    </row>
    <row r="3386" spans="2:15" x14ac:dyDescent="0.2">
      <c r="B3386" s="1">
        <v>3371</v>
      </c>
      <c r="C3386" s="5">
        <f ca="1"/>
        <v>0.3018035941475386</v>
      </c>
      <c r="D3386" s="5">
        <f ca="1">S0*EXP((μ-0.5*σ*σ)*T+σ*SQRT(T)*$C3386)</f>
        <v>0.68457451532889901</v>
      </c>
      <c r="E3386" s="5">
        <f ca="1">MAX(0,CP*(D3386-K))</f>
        <v>0</v>
      </c>
      <c r="F3386" s="4">
        <f ca="1">(CP*(D3386-K)&gt;0)*1</f>
        <v>0</v>
      </c>
      <c r="H3386" s="4">
        <v>3371</v>
      </c>
      <c r="I3386" s="3">
        <v>0.66779736562156167</v>
      </c>
      <c r="J3386" s="128">
        <v>1.3716878581267449E-3</v>
      </c>
      <c r="K3386" s="128"/>
      <c r="L3386" s="128">
        <v>4.2599999999999999E-2</v>
      </c>
      <c r="O3386" s="2"/>
    </row>
    <row r="3387" spans="2:15" x14ac:dyDescent="0.2">
      <c r="B3387" s="1">
        <v>3372</v>
      </c>
      <c r="C3387" s="5">
        <f ca="1"/>
        <v>-0.59075249455830114</v>
      </c>
      <c r="D3387" s="5">
        <f ca="1">S0*EXP((μ-0.5*σ*σ)*T+σ*SQRT(T)*$C3387)</f>
        <v>0.62690978918080209</v>
      </c>
      <c r="E3387" s="5">
        <f ca="1">MAX(0,CP*(D3387-K))</f>
        <v>0</v>
      </c>
      <c r="F3387" s="4">
        <f ca="1">(CP*(D3387-K)&gt;0)*1</f>
        <v>0</v>
      </c>
      <c r="H3387" s="4">
        <v>3372</v>
      </c>
      <c r="I3387" s="3">
        <v>0.66768086208490363</v>
      </c>
      <c r="J3387" s="128">
        <v>1.3193477980691464E-3</v>
      </c>
      <c r="K3387" s="128"/>
      <c r="L3387" s="128">
        <v>4.0599999999999997E-2</v>
      </c>
      <c r="O3387" s="2"/>
    </row>
    <row r="3388" spans="2:15" x14ac:dyDescent="0.2">
      <c r="B3388" s="1">
        <v>3373</v>
      </c>
      <c r="C3388" s="5">
        <f ca="1"/>
        <v>-0.92644439323556693</v>
      </c>
      <c r="D3388" s="5">
        <f ca="1">S0*EXP((μ-0.5*σ*σ)*T+σ*SQRT(T)*$C3388)</f>
        <v>0.60650176497162422</v>
      </c>
      <c r="E3388" s="5">
        <f ca="1">MAX(0,CP*(D3388-K))</f>
        <v>0</v>
      </c>
      <c r="F3388" s="4">
        <f ca="1">(CP*(D3388-K)&gt;0)*1</f>
        <v>0</v>
      </c>
      <c r="H3388" s="4">
        <v>3373</v>
      </c>
      <c r="I3388" s="3">
        <v>0.66777005192190786</v>
      </c>
      <c r="J3388" s="128">
        <v>1.4126847146844108E-3</v>
      </c>
      <c r="K3388" s="128"/>
      <c r="L3388" s="128">
        <v>4.2200000000000001E-2</v>
      </c>
      <c r="O3388" s="2"/>
    </row>
    <row r="3389" spans="2:15" x14ac:dyDescent="0.2">
      <c r="B3389" s="1">
        <v>3374</v>
      </c>
      <c r="C3389" s="5">
        <f ca="1"/>
        <v>-1.721927211642543</v>
      </c>
      <c r="D3389" s="5">
        <f ca="1">S0*EXP((μ-0.5*σ*σ)*T+σ*SQRT(T)*$C3389)</f>
        <v>0.56075438888529283</v>
      </c>
      <c r="E3389" s="5">
        <f ca="1">MAX(0,CP*(D3389-K))</f>
        <v>0</v>
      </c>
      <c r="F3389" s="4">
        <f ca="1">(CP*(D3389-K)&gt;0)*1</f>
        <v>0</v>
      </c>
      <c r="H3389" s="4">
        <v>3374</v>
      </c>
      <c r="I3389" s="3">
        <v>0.66773523525015444</v>
      </c>
      <c r="J3389" s="128">
        <v>1.4298380766661453E-3</v>
      </c>
      <c r="K3389" s="128"/>
      <c r="L3389" s="128">
        <v>4.36E-2</v>
      </c>
      <c r="O3389" s="2"/>
    </row>
    <row r="3390" spans="2:15" x14ac:dyDescent="0.2">
      <c r="B3390" s="1">
        <v>3375</v>
      </c>
      <c r="C3390" s="5">
        <f ca="1"/>
        <v>0.95476634835603913</v>
      </c>
      <c r="D3390" s="5">
        <f ca="1">S0*EXP((μ-0.5*σ*σ)*T+σ*SQRT(T)*$C3390)</f>
        <v>0.73009265119931988</v>
      </c>
      <c r="E3390" s="5">
        <f ca="1">MAX(0,CP*(D3390-K))</f>
        <v>0</v>
      </c>
      <c r="F3390" s="4">
        <f ca="1">(CP*(D3390-K)&gt;0)*1</f>
        <v>0</v>
      </c>
      <c r="H3390" s="4">
        <v>3375</v>
      </c>
      <c r="I3390" s="3">
        <v>0.66784205322396029</v>
      </c>
      <c r="J3390" s="128">
        <v>1.4640800215054708E-3</v>
      </c>
      <c r="K3390" s="128"/>
      <c r="L3390" s="128">
        <v>4.7E-2</v>
      </c>
      <c r="O3390" s="2"/>
    </row>
    <row r="3391" spans="2:15" x14ac:dyDescent="0.2">
      <c r="B3391" s="1">
        <v>3376</v>
      </c>
      <c r="C3391" s="5">
        <f ca="1"/>
        <v>0.27832602573950466</v>
      </c>
      <c r="D3391" s="5">
        <f ca="1">S0*EXP((μ-0.5*σ*σ)*T+σ*SQRT(T)*$C3391)</f>
        <v>0.68299183555580922</v>
      </c>
      <c r="E3391" s="5">
        <f ca="1">MAX(0,CP*(D3391-K))</f>
        <v>0</v>
      </c>
      <c r="F3391" s="4">
        <f ca="1">(CP*(D3391-K)&gt;0)*1</f>
        <v>0</v>
      </c>
      <c r="H3391" s="4">
        <v>3376</v>
      </c>
      <c r="I3391" s="3">
        <v>0.66775138925342648</v>
      </c>
      <c r="J3391" s="128">
        <v>1.3496834480409309E-3</v>
      </c>
      <c r="K3391" s="128"/>
      <c r="L3391" s="128">
        <v>4.02E-2</v>
      </c>
      <c r="O3391" s="2"/>
    </row>
    <row r="3392" spans="2:15" x14ac:dyDescent="0.2">
      <c r="B3392" s="1">
        <v>3377</v>
      </c>
      <c r="C3392" s="5">
        <f ca="1"/>
        <v>0.15638374192947516</v>
      </c>
      <c r="D3392" s="5">
        <f ca="1">S0*EXP((μ-0.5*σ*σ)*T+σ*SQRT(T)*$C3392)</f>
        <v>0.67483007907991355</v>
      </c>
      <c r="E3392" s="5">
        <f ca="1">MAX(0,CP*(D3392-K))</f>
        <v>0</v>
      </c>
      <c r="F3392" s="4">
        <f ca="1">(CP*(D3392-K)&gt;0)*1</f>
        <v>0</v>
      </c>
      <c r="H3392" s="4">
        <v>3377</v>
      </c>
      <c r="I3392" s="3">
        <v>0.66762600427470364</v>
      </c>
      <c r="J3392" s="128">
        <v>1.1742320998511246E-3</v>
      </c>
      <c r="K3392" s="128"/>
      <c r="L3392" s="128">
        <v>3.9E-2</v>
      </c>
      <c r="O3392" s="2"/>
    </row>
    <row r="3393" spans="2:15" x14ac:dyDescent="0.2">
      <c r="B3393" s="1">
        <v>3378</v>
      </c>
      <c r="C3393" s="5">
        <f ca="1"/>
        <v>-0.87699984046036294</v>
      </c>
      <c r="D3393" s="5">
        <f ca="1">S0*EXP((μ-0.5*σ*σ)*T+σ*SQRT(T)*$C3393)</f>
        <v>0.60946544409874426</v>
      </c>
      <c r="E3393" s="5">
        <f ca="1">MAX(0,CP*(D3393-K))</f>
        <v>0</v>
      </c>
      <c r="F3393" s="4">
        <f ca="1">(CP*(D3393-K)&gt;0)*1</f>
        <v>0</v>
      </c>
      <c r="H3393" s="4">
        <v>3378</v>
      </c>
      <c r="I3393" s="3">
        <v>0.66783502181029175</v>
      </c>
      <c r="J3393" s="128">
        <v>1.4826509209644255E-3</v>
      </c>
      <c r="K3393" s="128"/>
      <c r="L3393" s="128">
        <v>4.58E-2</v>
      </c>
      <c r="O3393" s="2"/>
    </row>
    <row r="3394" spans="2:15" x14ac:dyDescent="0.2">
      <c r="B3394" s="1">
        <v>3379</v>
      </c>
      <c r="C3394" s="5">
        <f ca="1"/>
        <v>0.60477326782268581</v>
      </c>
      <c r="D3394" s="5">
        <f ca="1">S0*EXP((μ-0.5*σ*σ)*T+σ*SQRT(T)*$C3394)</f>
        <v>0.70533051834837746</v>
      </c>
      <c r="E3394" s="5">
        <f ca="1">MAX(0,CP*(D3394-K))</f>
        <v>0</v>
      </c>
      <c r="F3394" s="4">
        <f ca="1">(CP*(D3394-K)&gt;0)*1</f>
        <v>0</v>
      </c>
      <c r="H3394" s="4">
        <v>3379</v>
      </c>
      <c r="I3394" s="3">
        <v>0.66757887412026617</v>
      </c>
      <c r="J3394" s="128">
        <v>1.1033257952060816E-3</v>
      </c>
      <c r="K3394" s="128"/>
      <c r="L3394" s="128">
        <v>3.8199999999999998E-2</v>
      </c>
      <c r="O3394" s="2"/>
    </row>
    <row r="3395" spans="2:15" x14ac:dyDescent="0.2">
      <c r="B3395" s="1">
        <v>3380</v>
      </c>
      <c r="C3395" s="5">
        <f ca="1"/>
        <v>-1.2769072205287506</v>
      </c>
      <c r="D3395" s="5">
        <f ca="1">S0*EXP((μ-0.5*σ*σ)*T+σ*SQRT(T)*$C3395)</f>
        <v>0.58590425865347429</v>
      </c>
      <c r="E3395" s="5">
        <f ca="1">MAX(0,CP*(D3395-K))</f>
        <v>0</v>
      </c>
      <c r="F3395" s="4">
        <f ca="1">(CP*(D3395-K)&gt;0)*1</f>
        <v>0</v>
      </c>
      <c r="H3395" s="4">
        <v>3380</v>
      </c>
      <c r="I3395" s="3">
        <v>0.66782447628401997</v>
      </c>
      <c r="J3395" s="128">
        <v>1.4815108645150176E-3</v>
      </c>
      <c r="K3395" s="128"/>
      <c r="L3395" s="128">
        <v>4.2999999999999997E-2</v>
      </c>
      <c r="O3395" s="2"/>
    </row>
    <row r="3396" spans="2:15" x14ac:dyDescent="0.2">
      <c r="B3396" s="1">
        <v>3381</v>
      </c>
      <c r="C3396" s="5">
        <f ca="1"/>
        <v>-0.66031519523776316</v>
      </c>
      <c r="D3396" s="5">
        <f ca="1">S0*EXP((μ-0.5*σ*σ)*T+σ*SQRT(T)*$C3396)</f>
        <v>0.62262514403503566</v>
      </c>
      <c r="E3396" s="5">
        <f ca="1">MAX(0,CP*(D3396-K))</f>
        <v>0</v>
      </c>
      <c r="F3396" s="4">
        <f ca="1">(CP*(D3396-K)&gt;0)*1</f>
        <v>0</v>
      </c>
      <c r="H3396" s="4">
        <v>3381</v>
      </c>
      <c r="I3396" s="3">
        <v>0.66782749500195937</v>
      </c>
      <c r="J3396" s="128">
        <v>1.3807327965601531E-3</v>
      </c>
      <c r="K3396" s="128"/>
      <c r="L3396" s="128">
        <v>4.3799999999999999E-2</v>
      </c>
      <c r="O3396" s="2"/>
    </row>
    <row r="3397" spans="2:15" x14ac:dyDescent="0.2">
      <c r="B3397" s="1">
        <v>3382</v>
      </c>
      <c r="C3397" s="5">
        <f ca="1"/>
        <v>0.45654366401928598</v>
      </c>
      <c r="D3397" s="5">
        <f ca="1">S0*EXP((μ-0.5*σ*σ)*T+σ*SQRT(T)*$C3397)</f>
        <v>0.69509806179714873</v>
      </c>
      <c r="E3397" s="5">
        <f ca="1">MAX(0,CP*(D3397-K))</f>
        <v>0</v>
      </c>
      <c r="F3397" s="4">
        <f ca="1">(CP*(D3397-K)&gt;0)*1</f>
        <v>0</v>
      </c>
      <c r="H3397" s="4">
        <v>3382</v>
      </c>
      <c r="I3397" s="3">
        <v>0.66774097756842243</v>
      </c>
      <c r="J3397" s="128">
        <v>1.4871008008498301E-3</v>
      </c>
      <c r="K3397" s="128"/>
      <c r="L3397" s="128">
        <v>4.1799999999999997E-2</v>
      </c>
      <c r="O3397" s="2"/>
    </row>
    <row r="3398" spans="2:15" x14ac:dyDescent="0.2">
      <c r="B3398" s="1">
        <v>3383</v>
      </c>
      <c r="C3398" s="5">
        <f ca="1"/>
        <v>0.66095573859710965</v>
      </c>
      <c r="D3398" s="5">
        <f ca="1">S0*EXP((μ-0.5*σ*σ)*T+σ*SQRT(T)*$C3398)</f>
        <v>0.70924810435548025</v>
      </c>
      <c r="E3398" s="5">
        <f ca="1">MAX(0,CP*(D3398-K))</f>
        <v>0</v>
      </c>
      <c r="F3398" s="4">
        <f ca="1">(CP*(D3398-K)&gt;0)*1</f>
        <v>0</v>
      </c>
      <c r="H3398" s="4">
        <v>3383</v>
      </c>
      <c r="I3398" s="3">
        <v>0.66785067596557479</v>
      </c>
      <c r="J3398" s="128">
        <v>1.5375822446836924E-3</v>
      </c>
      <c r="K3398" s="128"/>
      <c r="L3398" s="128">
        <v>4.48E-2</v>
      </c>
      <c r="O3398" s="2"/>
    </row>
    <row r="3399" spans="2:15" x14ac:dyDescent="0.2">
      <c r="B3399" s="1">
        <v>3384</v>
      </c>
      <c r="C3399" s="5">
        <f ca="1"/>
        <v>-1.4549167720615983</v>
      </c>
      <c r="D3399" s="5">
        <f ca="1">S0*EXP((μ-0.5*σ*σ)*T+σ*SQRT(T)*$C3399)</f>
        <v>0.57571162472889814</v>
      </c>
      <c r="E3399" s="5">
        <f ca="1">MAX(0,CP*(D3399-K))</f>
        <v>0</v>
      </c>
      <c r="F3399" s="4">
        <f ca="1">(CP*(D3399-K)&gt;0)*1</f>
        <v>0</v>
      </c>
      <c r="H3399" s="4">
        <v>3384</v>
      </c>
      <c r="I3399" s="3">
        <v>0.66778797342480534</v>
      </c>
      <c r="J3399" s="128">
        <v>1.3478933079267457E-3</v>
      </c>
      <c r="K3399" s="128"/>
      <c r="L3399" s="128">
        <v>4.2799999999999998E-2</v>
      </c>
      <c r="O3399" s="2"/>
    </row>
    <row r="3400" spans="2:15" x14ac:dyDescent="0.2">
      <c r="B3400" s="1">
        <v>3385</v>
      </c>
      <c r="C3400" s="5">
        <f ca="1"/>
        <v>-0.15925879339360421</v>
      </c>
      <c r="D3400" s="5">
        <f ca="1">S0*EXP((μ-0.5*σ*σ)*T+σ*SQRT(T)*$C3400)</f>
        <v>0.65415382196625682</v>
      </c>
      <c r="E3400" s="5">
        <f ca="1">MAX(0,CP*(D3400-K))</f>
        <v>0</v>
      </c>
      <c r="F3400" s="4">
        <f ca="1">(CP*(D3400-K)&gt;0)*1</f>
        <v>0</v>
      </c>
      <c r="H3400" s="4">
        <v>3385</v>
      </c>
      <c r="I3400" s="3">
        <v>0.66781100261768755</v>
      </c>
      <c r="J3400" s="128">
        <v>1.5514521782262335E-3</v>
      </c>
      <c r="K3400" s="128"/>
      <c r="L3400" s="128">
        <v>4.4400000000000002E-2</v>
      </c>
      <c r="O3400" s="2"/>
    </row>
    <row r="3401" spans="2:15" x14ac:dyDescent="0.2">
      <c r="B3401" s="1">
        <v>3386</v>
      </c>
      <c r="C3401" s="5">
        <f ca="1"/>
        <v>-0.41838363827770553</v>
      </c>
      <c r="D3401" s="5">
        <f ca="1">S0*EXP((μ-0.5*σ*σ)*T+σ*SQRT(T)*$C3401)</f>
        <v>0.6376541570498514</v>
      </c>
      <c r="E3401" s="5">
        <f ca="1">MAX(0,CP*(D3401-K))</f>
        <v>0</v>
      </c>
      <c r="F3401" s="4">
        <f ca="1">(CP*(D3401-K)&gt;0)*1</f>
        <v>0</v>
      </c>
      <c r="H3401" s="4">
        <v>3386</v>
      </c>
      <c r="I3401" s="3">
        <v>0.667743442900947</v>
      </c>
      <c r="J3401" s="128">
        <v>1.3831387805264769E-3</v>
      </c>
      <c r="K3401" s="128"/>
      <c r="L3401" s="128">
        <v>4.1399999999999999E-2</v>
      </c>
      <c r="O3401" s="2"/>
    </row>
    <row r="3402" spans="2:15" x14ac:dyDescent="0.2">
      <c r="B3402" s="1">
        <v>3387</v>
      </c>
      <c r="C3402" s="5">
        <f ca="1"/>
        <v>0.16279684107230172</v>
      </c>
      <c r="D3402" s="5">
        <f ca="1">S0*EXP((μ-0.5*σ*σ)*T+σ*SQRT(T)*$C3402)</f>
        <v>0.67525687612641239</v>
      </c>
      <c r="E3402" s="5">
        <f ca="1">MAX(0,CP*(D3402-K))</f>
        <v>0</v>
      </c>
      <c r="F3402" s="4">
        <f ca="1">(CP*(D3402-K)&gt;0)*1</f>
        <v>0</v>
      </c>
      <c r="H3402" s="4">
        <v>3387</v>
      </c>
      <c r="I3402" s="3">
        <v>0.66780838108876861</v>
      </c>
      <c r="J3402" s="128">
        <v>1.4787489807433227E-3</v>
      </c>
      <c r="K3402" s="128"/>
      <c r="L3402" s="128">
        <v>4.3999999999999997E-2</v>
      </c>
      <c r="O3402" s="2"/>
    </row>
    <row r="3403" spans="2:15" x14ac:dyDescent="0.2">
      <c r="B3403" s="1">
        <v>3388</v>
      </c>
      <c r="C3403" s="5">
        <f ca="1"/>
        <v>-1.4550427911439467</v>
      </c>
      <c r="D3403" s="5">
        <f ca="1">S0*EXP((μ-0.5*σ*σ)*T+σ*SQRT(T)*$C3403)</f>
        <v>0.57570447218825416</v>
      </c>
      <c r="E3403" s="5">
        <f ca="1">MAX(0,CP*(D3403-K))</f>
        <v>0</v>
      </c>
      <c r="F3403" s="4">
        <f ca="1">(CP*(D3403-K)&gt;0)*1</f>
        <v>0</v>
      </c>
      <c r="H3403" s="4">
        <v>3388</v>
      </c>
      <c r="I3403" s="3">
        <v>0.6677300398576349</v>
      </c>
      <c r="J3403" s="128">
        <v>1.3494747987457931E-3</v>
      </c>
      <c r="K3403" s="128"/>
      <c r="L3403" s="128">
        <v>4.2000000000000003E-2</v>
      </c>
      <c r="O3403" s="2"/>
    </row>
    <row r="3404" spans="2:15" x14ac:dyDescent="0.2">
      <c r="B3404" s="1">
        <v>3389</v>
      </c>
      <c r="C3404" s="5">
        <f ca="1"/>
        <v>-0.95289645809526391</v>
      </c>
      <c r="D3404" s="5">
        <f ca="1">S0*EXP((μ-0.5*σ*σ)*T+σ*SQRT(T)*$C3404)</f>
        <v>0.60492216467785065</v>
      </c>
      <c r="E3404" s="5">
        <f ca="1">MAX(0,CP*(D3404-K))</f>
        <v>0</v>
      </c>
      <c r="F3404" s="4">
        <f ca="1">(CP*(D3404-K)&gt;0)*1</f>
        <v>0</v>
      </c>
      <c r="H3404" s="4">
        <v>3389</v>
      </c>
      <c r="I3404" s="3">
        <v>0.66751884762206948</v>
      </c>
      <c r="J3404" s="128">
        <v>1.0972931254519345E-3</v>
      </c>
      <c r="K3404" s="128"/>
      <c r="L3404" s="128">
        <v>3.8399999999999997E-2</v>
      </c>
      <c r="O3404" s="2"/>
    </row>
    <row r="3405" spans="2:15" x14ac:dyDescent="0.2">
      <c r="B3405" s="1">
        <v>3390</v>
      </c>
      <c r="C3405" s="5">
        <f ca="1"/>
        <v>-0.42001114076801233</v>
      </c>
      <c r="D3405" s="5">
        <f ca="1">S0*EXP((μ-0.5*σ*σ)*T+σ*SQRT(T)*$C3405)</f>
        <v>0.63755185278556126</v>
      </c>
      <c r="E3405" s="5">
        <f ca="1">MAX(0,CP*(D3405-K))</f>
        <v>0</v>
      </c>
      <c r="F3405" s="4">
        <f ca="1">(CP*(D3405-K)&gt;0)*1</f>
        <v>0</v>
      </c>
      <c r="H3405" s="4">
        <v>3390</v>
      </c>
      <c r="I3405" s="3">
        <v>0.66784578572632658</v>
      </c>
      <c r="J3405" s="128">
        <v>1.4283652919956904E-3</v>
      </c>
      <c r="K3405" s="128"/>
      <c r="L3405" s="128">
        <v>4.2200000000000001E-2</v>
      </c>
      <c r="O3405" s="2"/>
    </row>
    <row r="3406" spans="2:15" x14ac:dyDescent="0.2">
      <c r="B3406" s="1">
        <v>3391</v>
      </c>
      <c r="C3406" s="5">
        <f ca="1"/>
        <v>2.9705799351065394E-2</v>
      </c>
      <c r="D3406" s="5">
        <f ca="1">S0*EXP((μ-0.5*σ*σ)*T+σ*SQRT(T)*$C3406)</f>
        <v>0.66645463091358204</v>
      </c>
      <c r="E3406" s="5">
        <f ca="1">MAX(0,CP*(D3406-K))</f>
        <v>0</v>
      </c>
      <c r="F3406" s="4">
        <f ca="1">(CP*(D3406-K)&gt;0)*1</f>
        <v>0</v>
      </c>
      <c r="H3406" s="4">
        <v>3391</v>
      </c>
      <c r="I3406" s="3">
        <v>0.66754840210607103</v>
      </c>
      <c r="J3406" s="128">
        <v>1.1835590504262826E-3</v>
      </c>
      <c r="K3406" s="128"/>
      <c r="L3406" s="128">
        <v>3.8800000000000001E-2</v>
      </c>
      <c r="O3406" s="2"/>
    </row>
    <row r="3407" spans="2:15" x14ac:dyDescent="0.2">
      <c r="B3407" s="1">
        <v>3392</v>
      </c>
      <c r="C3407" s="5">
        <f ca="1"/>
        <v>0.24825056179672486</v>
      </c>
      <c r="D3407" s="5">
        <f ca="1">S0*EXP((μ-0.5*σ*σ)*T+σ*SQRT(T)*$C3407)</f>
        <v>0.68096972045773851</v>
      </c>
      <c r="E3407" s="5">
        <f ca="1">MAX(0,CP*(D3407-K))</f>
        <v>0</v>
      </c>
      <c r="F3407" s="4">
        <f ca="1">(CP*(D3407-K)&gt;0)*1</f>
        <v>0</v>
      </c>
      <c r="H3407" s="4">
        <v>3392</v>
      </c>
      <c r="I3407" s="3">
        <v>0.66760307753182546</v>
      </c>
      <c r="J3407" s="128">
        <v>1.2386890895768107E-3</v>
      </c>
      <c r="K3407" s="128"/>
      <c r="L3407" s="128">
        <v>3.7199999999999997E-2</v>
      </c>
      <c r="O3407" s="2"/>
    </row>
    <row r="3408" spans="2:15" x14ac:dyDescent="0.2">
      <c r="B3408" s="1">
        <v>3393</v>
      </c>
      <c r="C3408" s="5">
        <f ca="1"/>
        <v>-0.47705744284891877</v>
      </c>
      <c r="D3408" s="5">
        <f ca="1">S0*EXP((μ-0.5*σ*σ)*T+σ*SQRT(T)*$C3408)</f>
        <v>0.63397629290726387</v>
      </c>
      <c r="E3408" s="5">
        <f ca="1">MAX(0,CP*(D3408-K))</f>
        <v>0</v>
      </c>
      <c r="F3408" s="4">
        <f ca="1">(CP*(D3408-K)&gt;0)*1</f>
        <v>0</v>
      </c>
      <c r="H3408" s="4">
        <v>3393</v>
      </c>
      <c r="I3408" s="3">
        <v>0.66767019656643756</v>
      </c>
      <c r="J3408" s="128">
        <v>1.2055851678737816E-3</v>
      </c>
      <c r="K3408" s="128"/>
      <c r="L3408" s="128">
        <v>4.1599999999999998E-2</v>
      </c>
      <c r="O3408" s="2"/>
    </row>
    <row r="3409" spans="2:15" x14ac:dyDescent="0.2">
      <c r="B3409" s="1">
        <v>3394</v>
      </c>
      <c r="C3409" s="5">
        <f ca="1"/>
        <v>1.0816054268923658</v>
      </c>
      <c r="D3409" s="5">
        <f ca="1">S0*EXP((μ-0.5*σ*σ)*T+σ*SQRT(T)*$C3409)</f>
        <v>0.73927959323169889</v>
      </c>
      <c r="E3409" s="5">
        <f ca="1">MAX(0,CP*(D3409-K))</f>
        <v>0</v>
      </c>
      <c r="F3409" s="4">
        <f ca="1">(CP*(D3409-K)&gt;0)*1</f>
        <v>0</v>
      </c>
      <c r="H3409" s="4">
        <v>3394</v>
      </c>
      <c r="I3409" s="3">
        <v>0.66767392019069249</v>
      </c>
      <c r="J3409" s="128">
        <v>1.3474103005378581E-3</v>
      </c>
      <c r="K3409" s="128"/>
      <c r="L3409" s="128">
        <v>3.7400000000000003E-2</v>
      </c>
      <c r="O3409" s="2"/>
    </row>
    <row r="3410" spans="2:15" x14ac:dyDescent="0.2">
      <c r="B3410" s="1">
        <v>3395</v>
      </c>
      <c r="C3410" s="5">
        <f ca="1"/>
        <v>-1.4589071801250701</v>
      </c>
      <c r="D3410" s="5">
        <f ca="1">S0*EXP((μ-0.5*σ*σ)*T+σ*SQRT(T)*$C3410)</f>
        <v>0.57548518188274822</v>
      </c>
      <c r="E3410" s="5">
        <f ca="1">MAX(0,CP*(D3410-K))</f>
        <v>0</v>
      </c>
      <c r="F3410" s="4">
        <f ca="1">(CP*(D3410-K)&gt;0)*1</f>
        <v>0</v>
      </c>
      <c r="H3410" s="4">
        <v>3395</v>
      </c>
      <c r="I3410" s="3">
        <v>0.66778922323576539</v>
      </c>
      <c r="J3410" s="128">
        <v>1.4222256887775799E-3</v>
      </c>
      <c r="K3410" s="128"/>
      <c r="L3410" s="128">
        <v>4.3400000000000001E-2</v>
      </c>
      <c r="O3410" s="2"/>
    </row>
    <row r="3411" spans="2:15" x14ac:dyDescent="0.2">
      <c r="B3411" s="1">
        <v>3396</v>
      </c>
      <c r="C3411" s="5">
        <f ca="1"/>
        <v>-1.0610097613588028</v>
      </c>
      <c r="D3411" s="5">
        <f ca="1">S0*EXP((μ-0.5*σ*σ)*T+σ*SQRT(T)*$C3411)</f>
        <v>0.59850877067293418</v>
      </c>
      <c r="E3411" s="5">
        <f ca="1">MAX(0,CP*(D3411-K))</f>
        <v>0</v>
      </c>
      <c r="F3411" s="4">
        <f ca="1">(CP*(D3411-K)&gt;0)*1</f>
        <v>0</v>
      </c>
      <c r="H3411" s="4">
        <v>3396</v>
      </c>
      <c r="I3411" s="3">
        <v>0.66776947119098473</v>
      </c>
      <c r="J3411" s="128">
        <v>1.4313646282314565E-3</v>
      </c>
      <c r="K3411" s="128"/>
      <c r="L3411" s="128">
        <v>4.24E-2</v>
      </c>
      <c r="O3411" s="2"/>
    </row>
    <row r="3412" spans="2:15" x14ac:dyDescent="0.2">
      <c r="B3412" s="1">
        <v>3397</v>
      </c>
      <c r="C3412" s="5">
        <f ca="1"/>
        <v>3.7266630545599035</v>
      </c>
      <c r="D3412" s="5">
        <f ca="1">S0*EXP((μ-0.5*σ*σ)*T+σ*SQRT(T)*$C3412)</f>
        <v>0.95953206006501768</v>
      </c>
      <c r="E3412" s="5">
        <f ca="1">MAX(0,CP*(D3412-K))</f>
        <v>0.17133206006501767</v>
      </c>
      <c r="F3412" s="4">
        <f ca="1">(CP*(D3412-K)&gt;0)*1</f>
        <v>1</v>
      </c>
      <c r="H3412" s="4">
        <v>3397</v>
      </c>
      <c r="I3412" s="3">
        <v>0.66775866942713813</v>
      </c>
      <c r="J3412" s="128">
        <v>1.4436506332078092E-3</v>
      </c>
      <c r="K3412" s="128"/>
      <c r="L3412" s="128">
        <v>3.9399999999999998E-2</v>
      </c>
      <c r="O3412" s="2"/>
    </row>
    <row r="3413" spans="2:15" x14ac:dyDescent="0.2">
      <c r="B3413" s="1">
        <v>3398</v>
      </c>
      <c r="C3413" s="5">
        <f ca="1"/>
        <v>0.2495067567862187</v>
      </c>
      <c r="D3413" s="5">
        <f ca="1">S0*EXP((μ-0.5*σ*σ)*T+σ*SQRT(T)*$C3413)</f>
        <v>0.68105406043344174</v>
      </c>
      <c r="E3413" s="5">
        <f ca="1">MAX(0,CP*(D3413-K))</f>
        <v>0</v>
      </c>
      <c r="F3413" s="4">
        <f ca="1">(CP*(D3413-K)&gt;0)*1</f>
        <v>0</v>
      </c>
      <c r="H3413" s="4">
        <v>3398</v>
      </c>
      <c r="I3413" s="3">
        <v>0.6676233495607542</v>
      </c>
      <c r="J3413" s="128">
        <v>1.3441999425414482E-3</v>
      </c>
      <c r="K3413" s="128"/>
      <c r="L3413" s="128">
        <v>4.1399999999999999E-2</v>
      </c>
      <c r="O3413" s="2"/>
    </row>
    <row r="3414" spans="2:15" x14ac:dyDescent="0.2">
      <c r="B3414" s="1">
        <v>3399</v>
      </c>
      <c r="C3414" s="5">
        <f ca="1"/>
        <v>1.8398419505606893</v>
      </c>
      <c r="D3414" s="5">
        <f ca="1">S0*EXP((μ-0.5*σ*σ)*T+σ*SQRT(T)*$C3414)</f>
        <v>0.79666065459262958</v>
      </c>
      <c r="E3414" s="5">
        <f ca="1">MAX(0,CP*(D3414-K))</f>
        <v>8.4606545926295684E-3</v>
      </c>
      <c r="F3414" s="4">
        <f ca="1">(CP*(D3414-K)&gt;0)*1</f>
        <v>1</v>
      </c>
      <c r="H3414" s="4">
        <v>3399</v>
      </c>
      <c r="I3414" s="3">
        <v>0.66778375121629474</v>
      </c>
      <c r="J3414" s="128">
        <v>1.3492879961210121E-3</v>
      </c>
      <c r="K3414" s="128"/>
      <c r="L3414" s="128">
        <v>4.3400000000000001E-2</v>
      </c>
      <c r="O3414" s="2"/>
    </row>
    <row r="3415" spans="2:15" x14ac:dyDescent="0.2">
      <c r="B3415" s="1">
        <v>3400</v>
      </c>
      <c r="C3415" s="5">
        <f ca="1"/>
        <v>1.7574539734460117</v>
      </c>
      <c r="D3415" s="5">
        <f ca="1">S0*EXP((μ-0.5*σ*σ)*T+σ*SQRT(T)*$C3415)</f>
        <v>0.79021604874113749</v>
      </c>
      <c r="E3415" s="5">
        <f ca="1">MAX(0,CP*(D3415-K))</f>
        <v>2.0160487411374772E-3</v>
      </c>
      <c r="F3415" s="4">
        <f ca="1">(CP*(D3415-K)&gt;0)*1</f>
        <v>1</v>
      </c>
      <c r="H3415" s="4">
        <v>3400</v>
      </c>
      <c r="I3415" s="3">
        <v>0.66759180461720447</v>
      </c>
      <c r="J3415" s="128">
        <v>1.2344069241599297E-3</v>
      </c>
      <c r="K3415" s="128"/>
      <c r="L3415" s="128">
        <v>3.6600000000000001E-2</v>
      </c>
      <c r="O3415" s="2"/>
    </row>
    <row r="3416" spans="2:15" x14ac:dyDescent="0.2">
      <c r="B3416" s="1">
        <v>3401</v>
      </c>
      <c r="C3416" s="5">
        <f ca="1"/>
        <v>0.57950370468617651</v>
      </c>
      <c r="D3416" s="5">
        <f ca="1">S0*EXP((μ-0.5*σ*σ)*T+σ*SQRT(T)*$C3416)</f>
        <v>0.70357554198611605</v>
      </c>
      <c r="E3416" s="5">
        <f ca="1">MAX(0,CP*(D3416-K))</f>
        <v>0</v>
      </c>
      <c r="F3416" s="4">
        <f ca="1">(CP*(D3416-K)&gt;0)*1</f>
        <v>0</v>
      </c>
      <c r="H3416" s="4">
        <v>3401</v>
      </c>
      <c r="I3416" s="3">
        <v>0.66774022615701456</v>
      </c>
      <c r="J3416" s="128">
        <v>1.3694546984377581E-3</v>
      </c>
      <c r="K3416" s="128"/>
      <c r="L3416" s="128">
        <v>4.2200000000000001E-2</v>
      </c>
      <c r="O3416" s="2"/>
    </row>
    <row r="3417" spans="2:15" x14ac:dyDescent="0.2">
      <c r="B3417" s="1">
        <v>3402</v>
      </c>
      <c r="C3417" s="5">
        <f ca="1"/>
        <v>1.2635552375668597</v>
      </c>
      <c r="D3417" s="5">
        <f ca="1">S0*EXP((μ-0.5*σ*σ)*T+σ*SQRT(T)*$C3417)</f>
        <v>0.75266042314982129</v>
      </c>
      <c r="E3417" s="5">
        <f ca="1">MAX(0,CP*(D3417-K))</f>
        <v>0</v>
      </c>
      <c r="F3417" s="4">
        <f ca="1">(CP*(D3417-K)&gt;0)*1</f>
        <v>0</v>
      </c>
      <c r="H3417" s="4">
        <v>3402</v>
      </c>
      <c r="I3417" s="3">
        <v>0.66782896483320853</v>
      </c>
      <c r="J3417" s="128">
        <v>1.3271018062892513E-3</v>
      </c>
      <c r="K3417" s="128"/>
      <c r="L3417" s="128">
        <v>4.4200000000000003E-2</v>
      </c>
      <c r="O3417" s="2"/>
    </row>
    <row r="3418" spans="2:15" x14ac:dyDescent="0.2">
      <c r="B3418" s="1">
        <v>3403</v>
      </c>
      <c r="C3418" s="5">
        <f ca="1"/>
        <v>-1.3909767437180047</v>
      </c>
      <c r="D3418" s="5">
        <f ca="1">S0*EXP((μ-0.5*σ*σ)*T+σ*SQRT(T)*$C3418)</f>
        <v>0.57935219225432955</v>
      </c>
      <c r="E3418" s="5">
        <f ca="1">MAX(0,CP*(D3418-K))</f>
        <v>0</v>
      </c>
      <c r="F3418" s="4">
        <f ca="1">(CP*(D3418-K)&gt;0)*1</f>
        <v>0</v>
      </c>
      <c r="H3418" s="4">
        <v>3403</v>
      </c>
      <c r="I3418" s="3">
        <v>0.66777671538473182</v>
      </c>
      <c r="J3418" s="128">
        <v>1.3977230572311565E-3</v>
      </c>
      <c r="K3418" s="128"/>
      <c r="L3418" s="128">
        <v>3.8800000000000001E-2</v>
      </c>
      <c r="O3418" s="2"/>
    </row>
    <row r="3419" spans="2:15" x14ac:dyDescent="0.2">
      <c r="B3419" s="1">
        <v>3404</v>
      </c>
      <c r="C3419" s="5">
        <f ca="1"/>
        <v>-0.66949267563145665</v>
      </c>
      <c r="D3419" s="5">
        <f ca="1">S0*EXP((μ-0.5*σ*σ)*T+σ*SQRT(T)*$C3419)</f>
        <v>0.62206205718598673</v>
      </c>
      <c r="E3419" s="5">
        <f ca="1">MAX(0,CP*(D3419-K))</f>
        <v>0</v>
      </c>
      <c r="F3419" s="4">
        <f ca="1">(CP*(D3419-K)&gt;0)*1</f>
        <v>0</v>
      </c>
      <c r="H3419" s="4">
        <v>3404</v>
      </c>
      <c r="I3419" s="3">
        <v>0.6678030530621667</v>
      </c>
      <c r="J3419" s="128">
        <v>1.507884146874172E-3</v>
      </c>
      <c r="K3419" s="128"/>
      <c r="L3419" s="128">
        <v>4.2200000000000001E-2</v>
      </c>
      <c r="O3419" s="2"/>
    </row>
    <row r="3420" spans="2:15" x14ac:dyDescent="0.2">
      <c r="B3420" s="1">
        <v>3405</v>
      </c>
      <c r="C3420" s="5">
        <f ca="1"/>
        <v>-1.0267823476387343</v>
      </c>
      <c r="D3420" s="5">
        <f ca="1">S0*EXP((μ-0.5*σ*σ)*T+σ*SQRT(T)*$C3420)</f>
        <v>0.60053178645284899</v>
      </c>
      <c r="E3420" s="5">
        <f ca="1">MAX(0,CP*(D3420-K))</f>
        <v>0</v>
      </c>
      <c r="F3420" s="4">
        <f ca="1">(CP*(D3420-K)&gt;0)*1</f>
        <v>0</v>
      </c>
      <c r="H3420" s="4">
        <v>3405</v>
      </c>
      <c r="I3420" s="3">
        <v>0.66772278909423288</v>
      </c>
      <c r="J3420" s="128">
        <v>1.4334301786687882E-3</v>
      </c>
      <c r="K3420" s="128"/>
      <c r="L3420" s="128">
        <v>4.2200000000000001E-2</v>
      </c>
      <c r="O3420" s="2"/>
    </row>
    <row r="3421" spans="2:15" x14ac:dyDescent="0.2">
      <c r="B3421" s="1">
        <v>3406</v>
      </c>
      <c r="C3421" s="5">
        <f ca="1"/>
        <v>0.47509611321246092</v>
      </c>
      <c r="D3421" s="5">
        <f ca="1">S0*EXP((μ-0.5*σ*σ)*T+σ*SQRT(T)*$C3421)</f>
        <v>0.69637058667139717</v>
      </c>
      <c r="E3421" s="5">
        <f ca="1">MAX(0,CP*(D3421-K))</f>
        <v>0</v>
      </c>
      <c r="F3421" s="4">
        <f ca="1">(CP*(D3421-K)&gt;0)*1</f>
        <v>0</v>
      </c>
      <c r="H3421" s="4">
        <v>3406</v>
      </c>
      <c r="I3421" s="3">
        <v>0.66766953266451956</v>
      </c>
      <c r="J3421" s="128">
        <v>1.3798813424226327E-3</v>
      </c>
      <c r="K3421" s="128"/>
      <c r="L3421" s="128">
        <v>4.02E-2</v>
      </c>
      <c r="O3421" s="2"/>
    </row>
    <row r="3422" spans="2:15" x14ac:dyDescent="0.2">
      <c r="B3422" s="1">
        <v>3407</v>
      </c>
      <c r="C3422" s="5">
        <f ca="1"/>
        <v>-1.4281289913188033</v>
      </c>
      <c r="D3422" s="5">
        <f ca="1">S0*EXP((μ-0.5*σ*σ)*T+σ*SQRT(T)*$C3422)</f>
        <v>0.57723405374939019</v>
      </c>
      <c r="E3422" s="5">
        <f ca="1">MAX(0,CP*(D3422-K))</f>
        <v>0</v>
      </c>
      <c r="F3422" s="4">
        <f ca="1">(CP*(D3422-K)&gt;0)*1</f>
        <v>0</v>
      </c>
      <c r="H3422" s="4">
        <v>3407</v>
      </c>
      <c r="I3422" s="3">
        <v>0.66763690061187886</v>
      </c>
      <c r="J3422" s="128">
        <v>1.2512939598547177E-3</v>
      </c>
      <c r="K3422" s="128"/>
      <c r="L3422" s="128">
        <v>4.0599999999999997E-2</v>
      </c>
      <c r="O3422" s="2"/>
    </row>
    <row r="3423" spans="2:15" x14ac:dyDescent="0.2">
      <c r="B3423" s="1">
        <v>3408</v>
      </c>
      <c r="C3423" s="5">
        <f ca="1"/>
        <v>2.5686891636924853E-2</v>
      </c>
      <c r="D3423" s="5">
        <f ca="1">S0*EXP((μ-0.5*σ*σ)*T+σ*SQRT(T)*$C3423)</f>
        <v>0.66619062460160339</v>
      </c>
      <c r="E3423" s="5">
        <f ca="1">MAX(0,CP*(D3423-K))</f>
        <v>0</v>
      </c>
      <c r="F3423" s="4">
        <f ca="1">(CP*(D3423-K)&gt;0)*1</f>
        <v>0</v>
      </c>
      <c r="H3423" s="4">
        <v>3408</v>
      </c>
      <c r="I3423" s="3">
        <v>0.66778348362145012</v>
      </c>
      <c r="J3423" s="128">
        <v>1.295009672239933E-3</v>
      </c>
      <c r="K3423" s="128"/>
      <c r="L3423" s="128">
        <v>4.1599999999999998E-2</v>
      </c>
      <c r="O3423" s="2"/>
    </row>
    <row r="3424" spans="2:15" x14ac:dyDescent="0.2">
      <c r="B3424" s="1">
        <v>3409</v>
      </c>
      <c r="C3424" s="5">
        <f ca="1"/>
        <v>-0.55589720775705798</v>
      </c>
      <c r="D3424" s="5">
        <f ca="1">S0*EXP((μ-0.5*σ*σ)*T+σ*SQRT(T)*$C3424)</f>
        <v>0.62906774141827637</v>
      </c>
      <c r="E3424" s="5">
        <f ca="1">MAX(0,CP*(D3424-K))</f>
        <v>0</v>
      </c>
      <c r="F3424" s="4">
        <f ca="1">(CP*(D3424-K)&gt;0)*1</f>
        <v>0</v>
      </c>
      <c r="H3424" s="4">
        <v>3409</v>
      </c>
      <c r="I3424" s="3">
        <v>0.66773112542209279</v>
      </c>
      <c r="J3424" s="128">
        <v>1.2471359956300711E-3</v>
      </c>
      <c r="K3424" s="128"/>
      <c r="L3424" s="128">
        <v>4.24E-2</v>
      </c>
      <c r="O3424" s="2"/>
    </row>
    <row r="3425" spans="2:15" x14ac:dyDescent="0.2">
      <c r="B3425" s="1">
        <v>3410</v>
      </c>
      <c r="C3425" s="5">
        <f ca="1"/>
        <v>0.18667885596096986</v>
      </c>
      <c r="D3425" s="5">
        <f ca="1">S0*EXP((μ-0.5*σ*σ)*T+σ*SQRT(T)*$C3425)</f>
        <v>0.67684861956024978</v>
      </c>
      <c r="E3425" s="5">
        <f ca="1">MAX(0,CP*(D3425-K))</f>
        <v>0</v>
      </c>
      <c r="F3425" s="4">
        <f ca="1">(CP*(D3425-K)&gt;0)*1</f>
        <v>0</v>
      </c>
      <c r="H3425" s="4">
        <v>3410</v>
      </c>
      <c r="I3425" s="3">
        <v>0.66770775356352918</v>
      </c>
      <c r="J3425" s="128">
        <v>1.4242960205557373E-3</v>
      </c>
      <c r="K3425" s="128"/>
      <c r="L3425" s="128">
        <v>4.2000000000000003E-2</v>
      </c>
      <c r="O3425" s="2"/>
    </row>
    <row r="3426" spans="2:15" x14ac:dyDescent="0.2">
      <c r="B3426" s="1">
        <v>3411</v>
      </c>
      <c r="C3426" s="5">
        <f ca="1"/>
        <v>0.49951056479778028</v>
      </c>
      <c r="D3426" s="5">
        <f ca="1">S0*EXP((μ-0.5*σ*σ)*T+σ*SQRT(T)*$C3426)</f>
        <v>0.69804874094124181</v>
      </c>
      <c r="E3426" s="5">
        <f ca="1">MAX(0,CP*(D3426-K))</f>
        <v>0</v>
      </c>
      <c r="F3426" s="4">
        <f ca="1">(CP*(D3426-K)&gt;0)*1</f>
        <v>0</v>
      </c>
      <c r="H3426" s="4">
        <v>3411</v>
      </c>
      <c r="I3426" s="3">
        <v>0.66756624182795754</v>
      </c>
      <c r="J3426" s="128">
        <v>1.2737982697441754E-3</v>
      </c>
      <c r="K3426" s="128"/>
      <c r="L3426" s="128">
        <v>3.7999999999999999E-2</v>
      </c>
      <c r="O3426" s="2"/>
    </row>
    <row r="3427" spans="2:15" x14ac:dyDescent="0.2">
      <c r="B3427" s="1">
        <v>3412</v>
      </c>
      <c r="C3427" s="5">
        <f ca="1"/>
        <v>1.2904358393542943</v>
      </c>
      <c r="D3427" s="5">
        <f ca="1">S0*EXP((μ-0.5*σ*σ)*T+σ*SQRT(T)*$C3427)</f>
        <v>0.75465768669421318</v>
      </c>
      <c r="E3427" s="5">
        <f ca="1">MAX(0,CP*(D3427-K))</f>
        <v>0</v>
      </c>
      <c r="F3427" s="4">
        <f ca="1">(CP*(D3427-K)&gt;0)*1</f>
        <v>0</v>
      </c>
      <c r="H3427" s="4">
        <v>3412</v>
      </c>
      <c r="I3427" s="3">
        <v>0.66790705035896103</v>
      </c>
      <c r="J3427" s="128">
        <v>1.6414351229247892E-3</v>
      </c>
      <c r="K3427" s="128"/>
      <c r="L3427" s="128">
        <v>4.4600000000000001E-2</v>
      </c>
      <c r="O3427" s="2"/>
    </row>
    <row r="3428" spans="2:15" x14ac:dyDescent="0.2">
      <c r="B3428" s="1">
        <v>3413</v>
      </c>
      <c r="C3428" s="5">
        <f ca="1"/>
        <v>0.90004225828477968</v>
      </c>
      <c r="D3428" s="5">
        <f ca="1">S0*EXP((μ-0.5*σ*σ)*T+σ*SQRT(T)*$C3428)</f>
        <v>0.72616432774313089</v>
      </c>
      <c r="E3428" s="5">
        <f ca="1">MAX(0,CP*(D3428-K))</f>
        <v>0</v>
      </c>
      <c r="F3428" s="4">
        <f ca="1">(CP*(D3428-K)&gt;0)*1</f>
        <v>0</v>
      </c>
      <c r="H3428" s="4">
        <v>3413</v>
      </c>
      <c r="I3428" s="3">
        <v>0.66777770386402002</v>
      </c>
      <c r="J3428" s="128">
        <v>1.3031423426546245E-3</v>
      </c>
      <c r="K3428" s="128"/>
      <c r="L3428" s="128">
        <v>4.1200000000000001E-2</v>
      </c>
      <c r="O3428" s="2"/>
    </row>
    <row r="3429" spans="2:15" x14ac:dyDescent="0.2">
      <c r="B3429" s="1">
        <v>3414</v>
      </c>
      <c r="C3429" s="5">
        <f ca="1"/>
        <v>1.5286989197333856</v>
      </c>
      <c r="D3429" s="5">
        <f ca="1">S0*EXP((μ-0.5*σ*σ)*T+σ*SQRT(T)*$C3429)</f>
        <v>0.77259424826390732</v>
      </c>
      <c r="E3429" s="5">
        <f ca="1">MAX(0,CP*(D3429-K))</f>
        <v>0</v>
      </c>
      <c r="F3429" s="4">
        <f ca="1">(CP*(D3429-K)&gt;0)*1</f>
        <v>0</v>
      </c>
      <c r="H3429" s="4">
        <v>3414</v>
      </c>
      <c r="I3429" s="3">
        <v>0.66768621737557599</v>
      </c>
      <c r="J3429" s="128">
        <v>1.2423121241725433E-3</v>
      </c>
      <c r="K3429" s="128"/>
      <c r="L3429" s="128">
        <v>3.6799999999999999E-2</v>
      </c>
      <c r="O3429" s="2"/>
    </row>
    <row r="3430" spans="2:15" x14ac:dyDescent="0.2">
      <c r="B3430" s="1">
        <v>3415</v>
      </c>
      <c r="C3430" s="5">
        <f ca="1"/>
        <v>-0.47455715674796256</v>
      </c>
      <c r="D3430" s="5">
        <f ca="1">S0*EXP((μ-0.5*σ*σ)*T+σ*SQRT(T)*$C3430)</f>
        <v>0.6341325853476748</v>
      </c>
      <c r="E3430" s="5">
        <f ca="1">MAX(0,CP*(D3430-K))</f>
        <v>0</v>
      </c>
      <c r="F3430" s="4">
        <f ca="1">(CP*(D3430-K)&gt;0)*1</f>
        <v>0</v>
      </c>
      <c r="H3430" s="4">
        <v>3415</v>
      </c>
      <c r="I3430" s="3">
        <v>0.66776151270403894</v>
      </c>
      <c r="J3430" s="128">
        <v>1.3278522473633197E-3</v>
      </c>
      <c r="K3430" s="128"/>
      <c r="L3430" s="128">
        <v>4.3200000000000002E-2</v>
      </c>
      <c r="O3430" s="2"/>
    </row>
    <row r="3431" spans="2:15" x14ac:dyDescent="0.2">
      <c r="B3431" s="1">
        <v>3416</v>
      </c>
      <c r="C3431" s="5">
        <f ca="1"/>
        <v>0.32739097888036661</v>
      </c>
      <c r="D3431" s="5">
        <f ca="1">S0*EXP((μ-0.5*σ*σ)*T+σ*SQRT(T)*$C3431)</f>
        <v>0.6863035999066921</v>
      </c>
      <c r="E3431" s="5">
        <f ca="1">MAX(0,CP*(D3431-K))</f>
        <v>0</v>
      </c>
      <c r="F3431" s="4">
        <f ca="1">(CP*(D3431-K)&gt;0)*1</f>
        <v>0</v>
      </c>
      <c r="H3431" s="4">
        <v>3416</v>
      </c>
      <c r="I3431" s="3">
        <v>0.66769370771629666</v>
      </c>
      <c r="J3431" s="128">
        <v>1.3093555846006141E-3</v>
      </c>
      <c r="K3431" s="128"/>
      <c r="L3431" s="128">
        <v>4.1000000000000002E-2</v>
      </c>
      <c r="O3431" s="2"/>
    </row>
    <row r="3432" spans="2:15" x14ac:dyDescent="0.2">
      <c r="B3432" s="1">
        <v>3417</v>
      </c>
      <c r="C3432" s="5">
        <f ca="1"/>
        <v>-1.1085280897746421</v>
      </c>
      <c r="D3432" s="5">
        <f ca="1">S0*EXP((μ-0.5*σ*σ)*T+σ*SQRT(T)*$C3432)</f>
        <v>0.59571148694343301</v>
      </c>
      <c r="E3432" s="5">
        <f ca="1">MAX(0,CP*(D3432-K))</f>
        <v>0</v>
      </c>
      <c r="F3432" s="4">
        <f ca="1">(CP*(D3432-K)&gt;0)*1</f>
        <v>0</v>
      </c>
      <c r="H3432" s="4">
        <v>3417</v>
      </c>
      <c r="I3432" s="3">
        <v>0.6679300642652316</v>
      </c>
      <c r="J3432" s="128">
        <v>1.7628623838396465E-3</v>
      </c>
      <c r="K3432" s="128"/>
      <c r="L3432" s="128">
        <v>4.4200000000000003E-2</v>
      </c>
      <c r="O3432" s="2"/>
    </row>
    <row r="3433" spans="2:15" x14ac:dyDescent="0.2">
      <c r="B3433" s="1">
        <v>3418</v>
      </c>
      <c r="C3433" s="5">
        <f ca="1"/>
        <v>-1.5314616043244174</v>
      </c>
      <c r="D3433" s="5">
        <f ca="1">S0*EXP((μ-0.5*σ*σ)*T+σ*SQRT(T)*$C3433)</f>
        <v>0.57138344831558885</v>
      </c>
      <c r="E3433" s="5">
        <f ca="1">MAX(0,CP*(D3433-K))</f>
        <v>0</v>
      </c>
      <c r="F3433" s="4">
        <f ca="1">(CP*(D3433-K)&gt;0)*1</f>
        <v>0</v>
      </c>
      <c r="H3433" s="4">
        <v>3418</v>
      </c>
      <c r="I3433" s="3">
        <v>0.6678335616517489</v>
      </c>
      <c r="J3433" s="128">
        <v>1.3688867323273946E-3</v>
      </c>
      <c r="K3433" s="128"/>
      <c r="L3433" s="128">
        <v>4.6199999999999998E-2</v>
      </c>
      <c r="O3433" s="2"/>
    </row>
    <row r="3434" spans="2:15" x14ac:dyDescent="0.2">
      <c r="B3434" s="1">
        <v>3419</v>
      </c>
      <c r="C3434" s="5">
        <f ca="1"/>
        <v>-0.53147492887794723</v>
      </c>
      <c r="D3434" s="5">
        <f ca="1">S0*EXP((μ-0.5*σ*σ)*T+σ*SQRT(T)*$C3434)</f>
        <v>0.63058419198880622</v>
      </c>
      <c r="E3434" s="5">
        <f ca="1">MAX(0,CP*(D3434-K))</f>
        <v>0</v>
      </c>
      <c r="F3434" s="4">
        <f ca="1">(CP*(D3434-K)&gt;0)*1</f>
        <v>0</v>
      </c>
      <c r="H3434" s="4">
        <v>3419</v>
      </c>
      <c r="I3434" s="3">
        <v>0.66767357114235615</v>
      </c>
      <c r="J3434" s="128">
        <v>1.3466412098690024E-3</v>
      </c>
      <c r="K3434" s="128"/>
      <c r="L3434" s="128">
        <v>3.6600000000000001E-2</v>
      </c>
      <c r="O3434" s="2"/>
    </row>
    <row r="3435" spans="2:15" x14ac:dyDescent="0.2">
      <c r="B3435" s="1">
        <v>3420</v>
      </c>
      <c r="C3435" s="5">
        <f ca="1"/>
        <v>0.99439595089200183</v>
      </c>
      <c r="D3435" s="5">
        <f ca="1">S0*EXP((μ-0.5*σ*σ)*T+σ*SQRT(T)*$C3435)</f>
        <v>0.73295068973915922</v>
      </c>
      <c r="E3435" s="5">
        <f ca="1">MAX(0,CP*(D3435-K))</f>
        <v>0</v>
      </c>
      <c r="F3435" s="4">
        <f ca="1">(CP*(D3435-K)&gt;0)*1</f>
        <v>0</v>
      </c>
      <c r="H3435" s="4">
        <v>3420</v>
      </c>
      <c r="I3435" s="3">
        <v>0.66761483560692336</v>
      </c>
      <c r="J3435" s="128">
        <v>1.2507647071318181E-3</v>
      </c>
      <c r="K3435" s="128"/>
      <c r="L3435" s="128">
        <v>3.7600000000000001E-2</v>
      </c>
      <c r="O3435" s="2"/>
    </row>
    <row r="3436" spans="2:15" x14ac:dyDescent="0.2">
      <c r="B3436" s="1">
        <v>3421</v>
      </c>
      <c r="C3436" s="5">
        <f ca="1"/>
        <v>1.6776494533680133</v>
      </c>
      <c r="D3436" s="5">
        <f ca="1">S0*EXP((μ-0.5*σ*σ)*T+σ*SQRT(T)*$C3436)</f>
        <v>0.78402323922758044</v>
      </c>
      <c r="E3436" s="5">
        <f ca="1">MAX(0,CP*(D3436-K))</f>
        <v>0</v>
      </c>
      <c r="F3436" s="4">
        <f ca="1">(CP*(D3436-K)&gt;0)*1</f>
        <v>0</v>
      </c>
      <c r="H3436" s="4">
        <v>3421</v>
      </c>
      <c r="I3436" s="3">
        <v>0.66776933003251426</v>
      </c>
      <c r="J3436" s="128">
        <v>1.3715318962998389E-3</v>
      </c>
      <c r="K3436" s="128"/>
      <c r="L3436" s="128">
        <v>4.1399999999999999E-2</v>
      </c>
      <c r="O3436" s="2"/>
    </row>
    <row r="3437" spans="2:15" x14ac:dyDescent="0.2">
      <c r="B3437" s="1">
        <v>3422</v>
      </c>
      <c r="C3437" s="5">
        <f ca="1"/>
        <v>1.4610855823635669</v>
      </c>
      <c r="D3437" s="5">
        <f ca="1">S0*EXP((μ-0.5*σ*σ)*T+σ*SQRT(T)*$C3437)</f>
        <v>0.76746139437139826</v>
      </c>
      <c r="E3437" s="5">
        <f ca="1">MAX(0,CP*(D3437-K))</f>
        <v>0</v>
      </c>
      <c r="F3437" s="4">
        <f ca="1">(CP*(D3437-K)&gt;0)*1</f>
        <v>0</v>
      </c>
      <c r="H3437" s="4">
        <v>3422</v>
      </c>
      <c r="I3437" s="3">
        <v>0.66779731116873953</v>
      </c>
      <c r="J3437" s="128">
        <v>1.4218876989210661E-3</v>
      </c>
      <c r="K3437" s="128"/>
      <c r="L3437" s="128">
        <v>4.48E-2</v>
      </c>
      <c r="O3437" s="2"/>
    </row>
    <row r="3438" spans="2:15" x14ac:dyDescent="0.2">
      <c r="B3438" s="1">
        <v>3423</v>
      </c>
      <c r="C3438" s="5">
        <f ca="1"/>
        <v>0.82816823054666877</v>
      </c>
      <c r="D3438" s="5">
        <f ca="1">S0*EXP((μ-0.5*σ*σ)*T+σ*SQRT(T)*$C3438)</f>
        <v>0.72103700277473426</v>
      </c>
      <c r="E3438" s="5">
        <f ca="1">MAX(0,CP*(D3438-K))</f>
        <v>0</v>
      </c>
      <c r="F3438" s="4">
        <f ca="1">(CP*(D3438-K)&gt;0)*1</f>
        <v>0</v>
      </c>
      <c r="H3438" s="4">
        <v>3423</v>
      </c>
      <c r="I3438" s="3">
        <v>0.66776401367983584</v>
      </c>
      <c r="J3438" s="128">
        <v>1.224215178773529E-3</v>
      </c>
      <c r="K3438" s="128"/>
      <c r="L3438" s="128">
        <v>3.9399999999999998E-2</v>
      </c>
      <c r="O3438" s="2"/>
    </row>
    <row r="3439" spans="2:15" x14ac:dyDescent="0.2">
      <c r="B3439" s="1">
        <v>3424</v>
      </c>
      <c r="C3439" s="5">
        <f ca="1"/>
        <v>0.59526679341178013</v>
      </c>
      <c r="D3439" s="5">
        <f ca="1">S0*EXP((μ-0.5*σ*σ)*T+σ*SQRT(T)*$C3439)</f>
        <v>0.70466977868041714</v>
      </c>
      <c r="E3439" s="5">
        <f ca="1">MAX(0,CP*(D3439-K))</f>
        <v>0</v>
      </c>
      <c r="F3439" s="4">
        <f ca="1">(CP*(D3439-K)&gt;0)*1</f>
        <v>0</v>
      </c>
      <c r="H3439" s="4">
        <v>3424</v>
      </c>
      <c r="I3439" s="3">
        <v>0.66765339018009962</v>
      </c>
      <c r="J3439" s="128">
        <v>1.3580086092310178E-3</v>
      </c>
      <c r="K3439" s="128"/>
      <c r="L3439" s="128">
        <v>4.1399999999999999E-2</v>
      </c>
      <c r="O3439" s="2"/>
    </row>
    <row r="3440" spans="2:15" x14ac:dyDescent="0.2">
      <c r="B3440" s="1">
        <v>3425</v>
      </c>
      <c r="C3440" s="5">
        <f ca="1"/>
        <v>-1.2625137451351622</v>
      </c>
      <c r="D3440" s="5">
        <f ca="1">S0*EXP((μ-0.5*σ*σ)*T+σ*SQRT(T)*$C3440)</f>
        <v>0.58673625652805095</v>
      </c>
      <c r="E3440" s="5">
        <f ca="1">MAX(0,CP*(D3440-K))</f>
        <v>0</v>
      </c>
      <c r="F3440" s="4">
        <f ca="1">(CP*(D3440-K)&gt;0)*1</f>
        <v>0</v>
      </c>
      <c r="H3440" s="4">
        <v>3425</v>
      </c>
      <c r="I3440" s="3">
        <v>0.66763880113265928</v>
      </c>
      <c r="J3440" s="128">
        <v>1.1814191508503855E-3</v>
      </c>
      <c r="K3440" s="128"/>
      <c r="L3440" s="128">
        <v>3.9800000000000002E-2</v>
      </c>
      <c r="O3440" s="2"/>
    </row>
    <row r="3441" spans="2:15" x14ac:dyDescent="0.2">
      <c r="B3441" s="1">
        <v>3426</v>
      </c>
      <c r="C3441" s="5">
        <f ca="1"/>
        <v>-1.3373218620129217</v>
      </c>
      <c r="D3441" s="5">
        <f ca="1">S0*EXP((μ-0.5*σ*σ)*T+σ*SQRT(T)*$C3441)</f>
        <v>0.58242491069487656</v>
      </c>
      <c r="E3441" s="5">
        <f ca="1">MAX(0,CP*(D3441-K))</f>
        <v>0</v>
      </c>
      <c r="F3441" s="4">
        <f ca="1">(CP*(D3441-K)&gt;0)*1</f>
        <v>0</v>
      </c>
      <c r="H3441" s="4">
        <v>3426</v>
      </c>
      <c r="I3441" s="3">
        <v>0.66785440813801589</v>
      </c>
      <c r="J3441" s="128">
        <v>1.4061870969446135E-3</v>
      </c>
      <c r="K3441" s="128"/>
      <c r="L3441" s="128">
        <v>4.0800000000000003E-2</v>
      </c>
      <c r="O3441" s="2"/>
    </row>
    <row r="3442" spans="2:15" x14ac:dyDescent="0.2">
      <c r="B3442" s="1">
        <v>3427</v>
      </c>
      <c r="C3442" s="5">
        <f ca="1"/>
        <v>-1.7385215021041784</v>
      </c>
      <c r="D3442" s="5">
        <f ca="1">S0*EXP((μ-0.5*σ*σ)*T+σ*SQRT(T)*$C3442)</f>
        <v>0.55983775082175891</v>
      </c>
      <c r="E3442" s="5">
        <f ca="1">MAX(0,CP*(D3442-K))</f>
        <v>0</v>
      </c>
      <c r="F3442" s="4">
        <f ca="1">(CP*(D3442-K)&gt;0)*1</f>
        <v>0</v>
      </c>
      <c r="H3442" s="4">
        <v>3427</v>
      </c>
      <c r="I3442" s="3">
        <v>0.66785965531847147</v>
      </c>
      <c r="J3442" s="128">
        <v>1.5638057493455862E-3</v>
      </c>
      <c r="K3442" s="128"/>
      <c r="L3442" s="128">
        <v>4.2999999999999997E-2</v>
      </c>
      <c r="O3442" s="2"/>
    </row>
    <row r="3443" spans="2:15" x14ac:dyDescent="0.2">
      <c r="B3443" s="1">
        <v>3428</v>
      </c>
      <c r="C3443" s="5">
        <f ca="1"/>
        <v>0.96572438693666141</v>
      </c>
      <c r="D3443" s="5">
        <f ca="1">S0*EXP((μ-0.5*σ*σ)*T+σ*SQRT(T)*$C3443)</f>
        <v>0.73088181495960469</v>
      </c>
      <c r="E3443" s="5">
        <f ca="1">MAX(0,CP*(D3443-K))</f>
        <v>0</v>
      </c>
      <c r="F3443" s="4">
        <f ca="1">(CP*(D3443-K)&gt;0)*1</f>
        <v>0</v>
      </c>
      <c r="H3443" s="4">
        <v>3428</v>
      </c>
      <c r="I3443" s="3">
        <v>0.66760223003111141</v>
      </c>
      <c r="J3443" s="128">
        <v>1.2032730404776236E-3</v>
      </c>
      <c r="K3443" s="128"/>
      <c r="L3443" s="128">
        <v>3.9199999999999999E-2</v>
      </c>
      <c r="O3443" s="2"/>
    </row>
    <row r="3444" spans="2:15" x14ac:dyDescent="0.2">
      <c r="B3444" s="1">
        <v>3429</v>
      </c>
      <c r="C3444" s="5">
        <f ca="1"/>
        <v>-1.3861763352794316</v>
      </c>
      <c r="D3444" s="5">
        <f ca="1">S0*EXP((μ-0.5*σ*σ)*T+σ*SQRT(T)*$C3444)</f>
        <v>0.57962644143381925</v>
      </c>
      <c r="E3444" s="5">
        <f ca="1">MAX(0,CP*(D3444-K))</f>
        <v>0</v>
      </c>
      <c r="F3444" s="4">
        <f ca="1">(CP*(D3444-K)&gt;0)*1</f>
        <v>0</v>
      </c>
      <c r="H3444" s="4">
        <v>3429</v>
      </c>
      <c r="I3444" s="3">
        <v>0.66772480110370003</v>
      </c>
      <c r="J3444" s="128">
        <v>1.3513829673848664E-3</v>
      </c>
      <c r="K3444" s="128"/>
      <c r="L3444" s="128">
        <v>4.1200000000000001E-2</v>
      </c>
      <c r="O3444" s="2"/>
    </row>
    <row r="3445" spans="2:15" x14ac:dyDescent="0.2">
      <c r="B3445" s="1">
        <v>3430</v>
      </c>
      <c r="C3445" s="5">
        <f ca="1"/>
        <v>-0.67034180008250321</v>
      </c>
      <c r="D3445" s="5">
        <f ca="1">S0*EXP((μ-0.5*σ*σ)*T+σ*SQRT(T)*$C3445)</f>
        <v>0.62200998466523616</v>
      </c>
      <c r="E3445" s="5">
        <f ca="1">MAX(0,CP*(D3445-K))</f>
        <v>0</v>
      </c>
      <c r="F3445" s="4">
        <f ca="1">(CP*(D3445-K)&gt;0)*1</f>
        <v>0</v>
      </c>
      <c r="H3445" s="4">
        <v>3430</v>
      </c>
      <c r="I3445" s="3">
        <v>0.66774784826777933</v>
      </c>
      <c r="J3445" s="128">
        <v>1.4525457263016208E-3</v>
      </c>
      <c r="K3445" s="128"/>
      <c r="L3445" s="128">
        <v>4.24E-2</v>
      </c>
      <c r="O3445" s="2"/>
    </row>
    <row r="3446" spans="2:15" x14ac:dyDescent="0.2">
      <c r="B3446" s="1">
        <v>3431</v>
      </c>
      <c r="C3446" s="5">
        <f ca="1"/>
        <v>0.1976198554586534</v>
      </c>
      <c r="D3446" s="5">
        <f ca="1">S0*EXP((μ-0.5*σ*σ)*T+σ*SQRT(T)*$C3446)</f>
        <v>0.67757909313895093</v>
      </c>
      <c r="E3446" s="5">
        <f ca="1">MAX(0,CP*(D3446-K))</f>
        <v>0</v>
      </c>
      <c r="F3446" s="4">
        <f ca="1">(CP*(D3446-K)&gt;0)*1</f>
        <v>0</v>
      </c>
      <c r="H3446" s="4">
        <v>3431</v>
      </c>
      <c r="I3446" s="3">
        <v>0.66784747312816317</v>
      </c>
      <c r="J3446" s="128">
        <v>1.5211973976648121E-3</v>
      </c>
      <c r="K3446" s="128"/>
      <c r="L3446" s="128">
        <v>4.4200000000000003E-2</v>
      </c>
      <c r="O3446" s="2"/>
    </row>
    <row r="3447" spans="2:15" x14ac:dyDescent="0.2">
      <c r="B3447" s="1">
        <v>3432</v>
      </c>
      <c r="C3447" s="5">
        <f ca="1"/>
        <v>0.84205781272121216</v>
      </c>
      <c r="D3447" s="5">
        <f ca="1">S0*EXP((μ-0.5*σ*σ)*T+σ*SQRT(T)*$C3447)</f>
        <v>0.72202502300455407</v>
      </c>
      <c r="E3447" s="5">
        <f ca="1">MAX(0,CP*(D3447-K))</f>
        <v>0</v>
      </c>
      <c r="F3447" s="4">
        <f ca="1">(CP*(D3447-K)&gt;0)*1</f>
        <v>0</v>
      </c>
      <c r="H3447" s="4">
        <v>3432</v>
      </c>
      <c r="I3447" s="3">
        <v>0.66767719581065499</v>
      </c>
      <c r="J3447" s="128">
        <v>1.203677744566136E-3</v>
      </c>
      <c r="K3447" s="128"/>
      <c r="L3447" s="128">
        <v>4.0399999999999998E-2</v>
      </c>
      <c r="O3447" s="2"/>
    </row>
    <row r="3448" spans="2:15" x14ac:dyDescent="0.2">
      <c r="B3448" s="1">
        <v>3433</v>
      </c>
      <c r="C3448" s="5">
        <f ca="1"/>
        <v>0.72135484063884825</v>
      </c>
      <c r="D3448" s="5">
        <f ca="1">S0*EXP((μ-0.5*σ*σ)*T+σ*SQRT(T)*$C3448)</f>
        <v>0.7134839882895353</v>
      </c>
      <c r="E3448" s="5">
        <f ca="1">MAX(0,CP*(D3448-K))</f>
        <v>0</v>
      </c>
      <c r="F3448" s="4">
        <f ca="1">(CP*(D3448-K)&gt;0)*1</f>
        <v>0</v>
      </c>
      <c r="H3448" s="4">
        <v>3433</v>
      </c>
      <c r="I3448" s="3">
        <v>0.6676925250669119</v>
      </c>
      <c r="J3448" s="128">
        <v>1.3282452041262535E-3</v>
      </c>
      <c r="K3448" s="128"/>
      <c r="L3448" s="128">
        <v>4.2599999999999999E-2</v>
      </c>
      <c r="O3448" s="2"/>
    </row>
    <row r="3449" spans="2:15" x14ac:dyDescent="0.2">
      <c r="B3449" s="1">
        <v>3434</v>
      </c>
      <c r="C3449" s="5">
        <f ca="1"/>
        <v>-1.2032797011936771</v>
      </c>
      <c r="D3449" s="5">
        <f ca="1">S0*EXP((μ-0.5*σ*σ)*T+σ*SQRT(T)*$C3449)</f>
        <v>0.59017266458593642</v>
      </c>
      <c r="E3449" s="5">
        <f ca="1">MAX(0,CP*(D3449-K))</f>
        <v>0</v>
      </c>
      <c r="F3449" s="4">
        <f ca="1">(CP*(D3449-K)&gt;0)*1</f>
        <v>0</v>
      </c>
      <c r="H3449" s="4">
        <v>3434</v>
      </c>
      <c r="I3449" s="3">
        <v>0.66769357302880306</v>
      </c>
      <c r="J3449" s="128">
        <v>1.2607454347717576E-3</v>
      </c>
      <c r="K3449" s="128"/>
      <c r="L3449" s="128">
        <v>3.9399999999999998E-2</v>
      </c>
      <c r="O3449" s="2"/>
    </row>
    <row r="3450" spans="2:15" x14ac:dyDescent="0.2">
      <c r="B3450" s="1">
        <v>3435</v>
      </c>
      <c r="C3450" s="5">
        <f ca="1"/>
        <v>6.8234798472756694E-2</v>
      </c>
      <c r="D3450" s="5">
        <f ca="1">S0*EXP((μ-0.5*σ*σ)*T+σ*SQRT(T)*$C3450)</f>
        <v>0.66899095722923851</v>
      </c>
      <c r="E3450" s="5">
        <f ca="1">MAX(0,CP*(D3450-K))</f>
        <v>0</v>
      </c>
      <c r="F3450" s="4">
        <f ca="1">(CP*(D3450-K)&gt;0)*1</f>
        <v>0</v>
      </c>
      <c r="H3450" s="4">
        <v>3435</v>
      </c>
      <c r="I3450" s="3">
        <v>0.66777661645812691</v>
      </c>
      <c r="J3450" s="128">
        <v>1.4759824563927407E-3</v>
      </c>
      <c r="K3450" s="128"/>
      <c r="L3450" s="128">
        <v>4.4400000000000002E-2</v>
      </c>
      <c r="O3450" s="2"/>
    </row>
    <row r="3451" spans="2:15" x14ac:dyDescent="0.2">
      <c r="B3451" s="1">
        <v>3436</v>
      </c>
      <c r="C3451" s="5">
        <f ca="1"/>
        <v>0.20750309397921518</v>
      </c>
      <c r="D3451" s="5">
        <f ca="1">S0*EXP((μ-0.5*σ*σ)*T+σ*SQRT(T)*$C3451)</f>
        <v>0.67823962320710329</v>
      </c>
      <c r="E3451" s="5">
        <f ca="1">MAX(0,CP*(D3451-K))</f>
        <v>0</v>
      </c>
      <c r="F3451" s="4">
        <f ca="1">(CP*(D3451-K)&gt;0)*1</f>
        <v>0</v>
      </c>
      <c r="H3451" s="4">
        <v>3436</v>
      </c>
      <c r="I3451" s="3">
        <v>0.66780253082930507</v>
      </c>
      <c r="J3451" s="128">
        <v>1.487861322521588E-3</v>
      </c>
      <c r="K3451" s="128"/>
      <c r="L3451" s="128">
        <v>4.0399999999999998E-2</v>
      </c>
      <c r="O3451" s="2"/>
    </row>
    <row r="3452" spans="2:15" x14ac:dyDescent="0.2">
      <c r="B3452" s="1">
        <v>3437</v>
      </c>
      <c r="C3452" s="5">
        <f ca="1"/>
        <v>0.63725787209876872</v>
      </c>
      <c r="D3452" s="5">
        <f ca="1">S0*EXP((μ-0.5*σ*σ)*T+σ*SQRT(T)*$C3452)</f>
        <v>0.70759301316251688</v>
      </c>
      <c r="E3452" s="5">
        <f ca="1">MAX(0,CP*(D3452-K))</f>
        <v>0</v>
      </c>
      <c r="F3452" s="4">
        <f ca="1">(CP*(D3452-K)&gt;0)*1</f>
        <v>0</v>
      </c>
      <c r="H3452" s="4">
        <v>3437</v>
      </c>
      <c r="I3452" s="3">
        <v>0.66774005981670048</v>
      </c>
      <c r="J3452" s="128">
        <v>1.4522143146522069E-3</v>
      </c>
      <c r="K3452" s="128"/>
      <c r="L3452" s="128">
        <v>4.2799999999999998E-2</v>
      </c>
      <c r="O3452" s="2"/>
    </row>
    <row r="3453" spans="2:15" x14ac:dyDescent="0.2">
      <c r="B3453" s="1">
        <v>3438</v>
      </c>
      <c r="C3453" s="5">
        <f ca="1"/>
        <v>0.25915213368333184</v>
      </c>
      <c r="D3453" s="5">
        <f ca="1">S0*EXP((μ-0.5*σ*σ)*T+σ*SQRT(T)*$C3453)</f>
        <v>0.68170199181403335</v>
      </c>
      <c r="E3453" s="5">
        <f ca="1">MAX(0,CP*(D3453-K))</f>
        <v>0</v>
      </c>
      <c r="F3453" s="4">
        <f ca="1">(CP*(D3453-K)&gt;0)*1</f>
        <v>0</v>
      </c>
      <c r="H3453" s="4">
        <v>3438</v>
      </c>
      <c r="I3453" s="3">
        <v>0.66763302062214092</v>
      </c>
      <c r="J3453" s="128">
        <v>1.2546155114316389E-3</v>
      </c>
      <c r="K3453" s="128"/>
      <c r="L3453" s="128">
        <v>4.0800000000000003E-2</v>
      </c>
      <c r="O3453" s="2"/>
    </row>
    <row r="3454" spans="2:15" x14ac:dyDescent="0.2">
      <c r="B3454" s="1">
        <v>3439</v>
      </c>
      <c r="C3454" s="5">
        <f ca="1"/>
        <v>-1.0564158339352088</v>
      </c>
      <c r="D3454" s="5">
        <f ca="1">S0*EXP((μ-0.5*σ*σ)*T+σ*SQRT(T)*$C3454)</f>
        <v>0.59877989889105732</v>
      </c>
      <c r="E3454" s="5">
        <f ca="1">MAX(0,CP*(D3454-K))</f>
        <v>0</v>
      </c>
      <c r="F3454" s="4">
        <f ca="1">(CP*(D3454-K)&gt;0)*1</f>
        <v>0</v>
      </c>
      <c r="H3454" s="4">
        <v>3439</v>
      </c>
      <c r="I3454" s="3">
        <v>0.66792043662233092</v>
      </c>
      <c r="J3454" s="128">
        <v>1.6323032923000777E-3</v>
      </c>
      <c r="K3454" s="128"/>
      <c r="L3454" s="128">
        <v>4.4999999999999998E-2</v>
      </c>
      <c r="O3454" s="2"/>
    </row>
    <row r="3455" spans="2:15" x14ac:dyDescent="0.2">
      <c r="B3455" s="1">
        <v>3440</v>
      </c>
      <c r="C3455" s="5">
        <f ca="1"/>
        <v>-0.91788584905078818</v>
      </c>
      <c r="D3455" s="5">
        <f ca="1">S0*EXP((μ-0.5*σ*σ)*T+σ*SQRT(T)*$C3455)</f>
        <v>0.60701372602135428</v>
      </c>
      <c r="E3455" s="5">
        <f ca="1">MAX(0,CP*(D3455-K))</f>
        <v>0</v>
      </c>
      <c r="F3455" s="4">
        <f ca="1">(CP*(D3455-K)&gt;0)*1</f>
        <v>0</v>
      </c>
      <c r="H3455" s="4">
        <v>3440</v>
      </c>
      <c r="I3455" s="3">
        <v>0.66781226750596256</v>
      </c>
      <c r="J3455" s="128">
        <v>1.4375841419049726E-3</v>
      </c>
      <c r="K3455" s="128"/>
      <c r="L3455" s="128">
        <v>4.2999999999999997E-2</v>
      </c>
      <c r="O3455" s="2"/>
    </row>
    <row r="3456" spans="2:15" x14ac:dyDescent="0.2">
      <c r="B3456" s="1">
        <v>3441</v>
      </c>
      <c r="C3456" s="5">
        <f ca="1"/>
        <v>-0.42428932478715831</v>
      </c>
      <c r="D3456" s="5">
        <f ca="1">S0*EXP((μ-0.5*σ*σ)*T+σ*SQRT(T)*$C3456)</f>
        <v>0.63728300583814346</v>
      </c>
      <c r="E3456" s="5">
        <f ca="1">MAX(0,CP*(D3456-K))</f>
        <v>0</v>
      </c>
      <c r="F3456" s="4">
        <f ca="1">(CP*(D3456-K)&gt;0)*1</f>
        <v>0</v>
      </c>
      <c r="H3456" s="4">
        <v>3441</v>
      </c>
      <c r="I3456" s="3">
        <v>0.66769578615057823</v>
      </c>
      <c r="J3456" s="128">
        <v>1.3742139887681871E-3</v>
      </c>
      <c r="K3456" s="128"/>
      <c r="L3456" s="128">
        <v>4.0599999999999997E-2</v>
      </c>
      <c r="O3456" s="2"/>
    </row>
    <row r="3457" spans="2:15" x14ac:dyDescent="0.2">
      <c r="B3457" s="1">
        <v>3442</v>
      </c>
      <c r="C3457" s="5">
        <f ca="1"/>
        <v>-1.6496937005008026</v>
      </c>
      <c r="D3457" s="5">
        <f ca="1">S0*EXP((μ-0.5*σ*σ)*T+σ*SQRT(T)*$C3457)</f>
        <v>0.56476195245510863</v>
      </c>
      <c r="E3457" s="5">
        <f ca="1">MAX(0,CP*(D3457-K))</f>
        <v>0</v>
      </c>
      <c r="F3457" s="4">
        <f ca="1">(CP*(D3457-K)&gt;0)*1</f>
        <v>0</v>
      </c>
      <c r="H3457" s="4">
        <v>3442</v>
      </c>
      <c r="I3457" s="3">
        <v>0.66790879644253764</v>
      </c>
      <c r="J3457" s="128">
        <v>1.7312111956604085E-3</v>
      </c>
      <c r="K3457" s="128"/>
      <c r="L3457" s="128">
        <v>4.6600000000000003E-2</v>
      </c>
      <c r="O3457" s="2"/>
    </row>
    <row r="3458" spans="2:15" x14ac:dyDescent="0.2">
      <c r="B3458" s="1">
        <v>3443</v>
      </c>
      <c r="C3458" s="5">
        <f ca="1"/>
        <v>-0.72219834094384017</v>
      </c>
      <c r="D3458" s="5">
        <f ca="1">S0*EXP((μ-0.5*σ*σ)*T+σ*SQRT(T)*$C3458)</f>
        <v>0.61883813241968433</v>
      </c>
      <c r="E3458" s="5">
        <f ca="1">MAX(0,CP*(D3458-K))</f>
        <v>0</v>
      </c>
      <c r="F3458" s="4">
        <f ca="1">(CP*(D3458-K)&gt;0)*1</f>
        <v>0</v>
      </c>
      <c r="H3458" s="4">
        <v>3443</v>
      </c>
      <c r="I3458" s="3">
        <v>0.66783543563681769</v>
      </c>
      <c r="J3458" s="128">
        <v>1.4475344117133178E-3</v>
      </c>
      <c r="K3458" s="128"/>
      <c r="L3458" s="128">
        <v>4.4200000000000003E-2</v>
      </c>
      <c r="O3458" s="2"/>
    </row>
    <row r="3459" spans="2:15" x14ac:dyDescent="0.2">
      <c r="B3459" s="1">
        <v>3444</v>
      </c>
      <c r="C3459" s="5">
        <f ca="1"/>
        <v>-1.2936348651496266</v>
      </c>
      <c r="D3459" s="5">
        <f ca="1">S0*EXP((μ-0.5*σ*σ)*T+σ*SQRT(T)*$C3459)</f>
        <v>0.58493881904493128</v>
      </c>
      <c r="E3459" s="5">
        <f ca="1">MAX(0,CP*(D3459-K))</f>
        <v>0</v>
      </c>
      <c r="F3459" s="4">
        <f ca="1">(CP*(D3459-K)&gt;0)*1</f>
        <v>0</v>
      </c>
      <c r="H3459" s="4">
        <v>3444</v>
      </c>
      <c r="I3459" s="3">
        <v>0.66779326723350518</v>
      </c>
      <c r="J3459" s="128">
        <v>1.4508834458317559E-3</v>
      </c>
      <c r="K3459" s="128"/>
      <c r="L3459" s="128">
        <v>4.3200000000000002E-2</v>
      </c>
      <c r="O3459" s="2"/>
    </row>
    <row r="3460" spans="2:15" x14ac:dyDescent="0.2">
      <c r="B3460" s="1">
        <v>3445</v>
      </c>
      <c r="C3460" s="5">
        <f ca="1"/>
        <v>0.65026072014831571</v>
      </c>
      <c r="D3460" s="5">
        <f ca="1">S0*EXP((μ-0.5*σ*σ)*T+σ*SQRT(T)*$C3460)</f>
        <v>0.70850067095105917</v>
      </c>
      <c r="E3460" s="5">
        <f ca="1">MAX(0,CP*(D3460-K))</f>
        <v>0</v>
      </c>
      <c r="F3460" s="4">
        <f ca="1">(CP*(D3460-K)&gt;0)*1</f>
        <v>0</v>
      </c>
      <c r="H3460" s="4">
        <v>3445</v>
      </c>
      <c r="I3460" s="3">
        <v>0.66782103488396738</v>
      </c>
      <c r="J3460" s="128">
        <v>1.4209888797831526E-3</v>
      </c>
      <c r="K3460" s="128"/>
      <c r="L3460" s="128">
        <v>4.2200000000000001E-2</v>
      </c>
      <c r="O3460" s="2"/>
    </row>
    <row r="3461" spans="2:15" x14ac:dyDescent="0.2">
      <c r="B3461" s="1">
        <v>3446</v>
      </c>
      <c r="C3461" s="5">
        <f ca="1"/>
        <v>7.1895958175277996E-2</v>
      </c>
      <c r="D3461" s="5">
        <f ca="1">S0*EXP((μ-0.5*σ*σ)*T+σ*SQRT(T)*$C3461)</f>
        <v>0.66923246940028402</v>
      </c>
      <c r="E3461" s="5">
        <f ca="1">MAX(0,CP*(D3461-K))</f>
        <v>0</v>
      </c>
      <c r="F3461" s="4">
        <f ca="1">(CP*(D3461-K)&gt;0)*1</f>
        <v>0</v>
      </c>
      <c r="H3461" s="4">
        <v>3446</v>
      </c>
      <c r="I3461" s="3">
        <v>0.66789268984505457</v>
      </c>
      <c r="J3461" s="128">
        <v>1.5334774151441034E-3</v>
      </c>
      <c r="K3461" s="128"/>
      <c r="L3461" s="128">
        <v>4.8599999999999997E-2</v>
      </c>
      <c r="O3461" s="2"/>
    </row>
    <row r="3462" spans="2:15" x14ac:dyDescent="0.2">
      <c r="B3462" s="1">
        <v>3447</v>
      </c>
      <c r="C3462" s="5">
        <f ca="1"/>
        <v>-3.0013126144924178E-2</v>
      </c>
      <c r="D3462" s="5">
        <f ca="1">S0*EXP((μ-0.5*σ*σ)*T+σ*SQRT(T)*$C3462)</f>
        <v>0.66254238216547334</v>
      </c>
      <c r="E3462" s="5">
        <f ca="1">MAX(0,CP*(D3462-K))</f>
        <v>0</v>
      </c>
      <c r="F3462" s="4">
        <f ca="1">(CP*(D3462-K)&gt;0)*1</f>
        <v>0</v>
      </c>
      <c r="H3462" s="4">
        <v>3447</v>
      </c>
      <c r="I3462" s="3">
        <v>0.66783472342112138</v>
      </c>
      <c r="J3462" s="128">
        <v>1.4160873181307328E-3</v>
      </c>
      <c r="K3462" s="128"/>
      <c r="L3462" s="128">
        <v>4.3400000000000001E-2</v>
      </c>
      <c r="O3462" s="2"/>
    </row>
    <row r="3463" spans="2:15" x14ac:dyDescent="0.2">
      <c r="B3463" s="1">
        <v>3448</v>
      </c>
      <c r="C3463" s="5">
        <f ca="1"/>
        <v>0.29323009943147055</v>
      </c>
      <c r="D3463" s="5">
        <f ca="1">S0*EXP((μ-0.5*σ*σ)*T+σ*SQRT(T)*$C3463)</f>
        <v>0.68399613061796216</v>
      </c>
      <c r="E3463" s="5">
        <f ca="1">MAX(0,CP*(D3463-K))</f>
        <v>0</v>
      </c>
      <c r="F3463" s="4">
        <f ca="1">(CP*(D3463-K)&gt;0)*1</f>
        <v>0</v>
      </c>
      <c r="H3463" s="4">
        <v>3448</v>
      </c>
      <c r="I3463" s="3">
        <v>0.66756257383518125</v>
      </c>
      <c r="J3463" s="128">
        <v>1.209882604362447E-3</v>
      </c>
      <c r="K3463" s="128"/>
      <c r="L3463" s="128">
        <v>3.9800000000000002E-2</v>
      </c>
      <c r="O3463" s="2"/>
    </row>
    <row r="3464" spans="2:15" x14ac:dyDescent="0.2">
      <c r="B3464" s="1">
        <v>3449</v>
      </c>
      <c r="C3464" s="5">
        <f ca="1"/>
        <v>0.3605936924005903</v>
      </c>
      <c r="D3464" s="5">
        <f ca="1">S0*EXP((μ-0.5*σ*σ)*T+σ*SQRT(T)*$C3464)</f>
        <v>0.6885538074343367</v>
      </c>
      <c r="E3464" s="5">
        <f ca="1">MAX(0,CP*(D3464-K))</f>
        <v>0</v>
      </c>
      <c r="F3464" s="4">
        <f ca="1">(CP*(D3464-K)&gt;0)*1</f>
        <v>0</v>
      </c>
      <c r="H3464" s="4">
        <v>3449</v>
      </c>
      <c r="I3464" s="3">
        <v>0.66783736068650457</v>
      </c>
      <c r="J3464" s="128">
        <v>1.5846794234095015E-3</v>
      </c>
      <c r="K3464" s="128"/>
      <c r="L3464" s="128">
        <v>4.4200000000000003E-2</v>
      </c>
      <c r="O3464" s="2"/>
    </row>
    <row r="3465" spans="2:15" x14ac:dyDescent="0.2">
      <c r="B3465" s="1">
        <v>3450</v>
      </c>
      <c r="C3465" s="5">
        <f ca="1"/>
        <v>-1.2908401705752421</v>
      </c>
      <c r="D3465" s="5">
        <f ca="1">S0*EXP((μ-0.5*σ*σ)*T+σ*SQRT(T)*$C3465)</f>
        <v>0.58510000468437862</v>
      </c>
      <c r="E3465" s="5">
        <f ca="1">MAX(0,CP*(D3465-K))</f>
        <v>0</v>
      </c>
      <c r="F3465" s="4">
        <f ca="1">(CP*(D3465-K)&gt;0)*1</f>
        <v>0</v>
      </c>
      <c r="H3465" s="4">
        <v>3450</v>
      </c>
      <c r="I3465" s="3">
        <v>0.66787249333166132</v>
      </c>
      <c r="J3465" s="128">
        <v>1.5499125216857006E-3</v>
      </c>
      <c r="K3465" s="128"/>
      <c r="L3465" s="128">
        <v>4.4999999999999998E-2</v>
      </c>
      <c r="O3465" s="2"/>
    </row>
    <row r="3466" spans="2:15" x14ac:dyDescent="0.2">
      <c r="B3466" s="1">
        <v>3451</v>
      </c>
      <c r="C3466" s="5">
        <f ca="1"/>
        <v>-0.5433535346897671</v>
      </c>
      <c r="D3466" s="5">
        <f ca="1">S0*EXP((μ-0.5*σ*σ)*T+σ*SQRT(T)*$C3466)</f>
        <v>0.62984615861992543</v>
      </c>
      <c r="E3466" s="5">
        <f ca="1">MAX(0,CP*(D3466-K))</f>
        <v>0</v>
      </c>
      <c r="F3466" s="4">
        <f ca="1">(CP*(D3466-K)&gt;0)*1</f>
        <v>0</v>
      </c>
      <c r="H3466" s="4">
        <v>3451</v>
      </c>
      <c r="I3466" s="3">
        <v>0.66790955335230906</v>
      </c>
      <c r="J3466" s="128">
        <v>1.5344447620338499E-3</v>
      </c>
      <c r="K3466" s="128"/>
      <c r="L3466" s="128">
        <v>4.6199999999999998E-2</v>
      </c>
      <c r="O3466" s="2"/>
    </row>
    <row r="3467" spans="2:15" x14ac:dyDescent="0.2">
      <c r="B3467" s="1">
        <v>3452</v>
      </c>
      <c r="C3467" s="5">
        <f ca="1"/>
        <v>1.935644277365</v>
      </c>
      <c r="D3467" s="5">
        <f ca="1">S0*EXP((μ-0.5*σ*σ)*T+σ*SQRT(T)*$C3467)</f>
        <v>0.80422068768740629</v>
      </c>
      <c r="E3467" s="5">
        <f ca="1">MAX(0,CP*(D3467-K))</f>
        <v>1.6020687687406276E-2</v>
      </c>
      <c r="F3467" s="4">
        <f ca="1">(CP*(D3467-K)&gt;0)*1</f>
        <v>1</v>
      </c>
      <c r="H3467" s="4">
        <v>3452</v>
      </c>
      <c r="I3467" s="3">
        <v>0.6676064049972531</v>
      </c>
      <c r="J3467" s="128">
        <v>1.2181546065212277E-3</v>
      </c>
      <c r="K3467" s="128"/>
      <c r="L3467" s="128">
        <v>3.7400000000000003E-2</v>
      </c>
      <c r="O3467" s="2"/>
    </row>
    <row r="3468" spans="2:15" x14ac:dyDescent="0.2">
      <c r="B3468" s="1">
        <v>3453</v>
      </c>
      <c r="C3468" s="5">
        <f ca="1"/>
        <v>-0.86747834970703308</v>
      </c>
      <c r="D3468" s="5">
        <f ca="1">S0*EXP((μ-0.5*σ*σ)*T+σ*SQRT(T)*$C3468)</f>
        <v>0.61003781771847443</v>
      </c>
      <c r="E3468" s="5">
        <f ca="1">MAX(0,CP*(D3468-K))</f>
        <v>0</v>
      </c>
      <c r="F3468" s="4">
        <f ca="1">(CP*(D3468-K)&gt;0)*1</f>
        <v>0</v>
      </c>
      <c r="H3468" s="4">
        <v>3453</v>
      </c>
      <c r="I3468" s="3">
        <v>0.66783683898135993</v>
      </c>
      <c r="J3468" s="128">
        <v>1.4389682125164561E-3</v>
      </c>
      <c r="K3468" s="128"/>
      <c r="L3468" s="128">
        <v>4.4400000000000002E-2</v>
      </c>
      <c r="O3468" s="2"/>
    </row>
    <row r="3469" spans="2:15" x14ac:dyDescent="0.2">
      <c r="B3469" s="1">
        <v>3454</v>
      </c>
      <c r="C3469" s="5">
        <f ca="1"/>
        <v>0.48041603588865911</v>
      </c>
      <c r="D3469" s="5">
        <f ca="1">S0*EXP((μ-0.5*σ*σ)*T+σ*SQRT(T)*$C3469)</f>
        <v>0.69673591332056561</v>
      </c>
      <c r="E3469" s="5">
        <f ca="1">MAX(0,CP*(D3469-K))</f>
        <v>0</v>
      </c>
      <c r="F3469" s="4">
        <f ca="1">(CP*(D3469-K)&gt;0)*1</f>
        <v>0</v>
      </c>
      <c r="H3469" s="4">
        <v>3454</v>
      </c>
      <c r="I3469" s="3">
        <v>0.66774576612264924</v>
      </c>
      <c r="J3469" s="128">
        <v>1.3889824427895975E-3</v>
      </c>
      <c r="K3469" s="128"/>
      <c r="L3469" s="128">
        <v>4.2599999999999999E-2</v>
      </c>
      <c r="O3469" s="2"/>
    </row>
    <row r="3470" spans="2:15" x14ac:dyDescent="0.2">
      <c r="B3470" s="1">
        <v>3455</v>
      </c>
      <c r="C3470" s="5">
        <f ca="1"/>
        <v>-1.0752689079549524</v>
      </c>
      <c r="D3470" s="5">
        <f ca="1">S0*EXP((μ-0.5*σ*σ)*T+σ*SQRT(T)*$C3470)</f>
        <v>0.59766799420193806</v>
      </c>
      <c r="E3470" s="5">
        <f ca="1">MAX(0,CP*(D3470-K))</f>
        <v>0</v>
      </c>
      <c r="F3470" s="4">
        <f ca="1">(CP*(D3470-K)&gt;0)*1</f>
        <v>0</v>
      </c>
      <c r="H3470" s="4">
        <v>3455</v>
      </c>
      <c r="I3470" s="3">
        <v>0.66784084374461805</v>
      </c>
      <c r="J3470" s="128">
        <v>1.5083738081882875E-3</v>
      </c>
      <c r="K3470" s="128"/>
      <c r="L3470" s="128">
        <v>4.6199999999999998E-2</v>
      </c>
      <c r="O3470" s="2"/>
    </row>
    <row r="3471" spans="2:15" x14ac:dyDescent="0.2">
      <c r="B3471" s="1">
        <v>3456</v>
      </c>
      <c r="C3471" s="5">
        <f ca="1"/>
        <v>-0.89742006079349823</v>
      </c>
      <c r="D3471" s="5">
        <f ca="1">S0*EXP((μ-0.5*σ*σ)*T+σ*SQRT(T)*$C3471)</f>
        <v>0.60823971598208981</v>
      </c>
      <c r="E3471" s="5">
        <f ca="1">MAX(0,CP*(D3471-K))</f>
        <v>0</v>
      </c>
      <c r="F3471" s="4">
        <f ca="1">(CP*(D3471-K)&gt;0)*1</f>
        <v>0</v>
      </c>
      <c r="H3471" s="4">
        <v>3456</v>
      </c>
      <c r="I3471" s="3">
        <v>0.66788277582210964</v>
      </c>
      <c r="J3471" s="128">
        <v>1.6357094213162043E-3</v>
      </c>
      <c r="K3471" s="128"/>
      <c r="L3471" s="128">
        <v>4.3799999999999999E-2</v>
      </c>
      <c r="O3471" s="2"/>
    </row>
    <row r="3472" spans="2:15" x14ac:dyDescent="0.2">
      <c r="B3472" s="1">
        <v>3457</v>
      </c>
      <c r="C3472" s="5">
        <f ca="1"/>
        <v>0.67171833133545567</v>
      </c>
      <c r="D3472" s="5">
        <f ca="1">S0*EXP((μ-0.5*σ*σ)*T+σ*SQRT(T)*$C3472)</f>
        <v>0.71000105626124943</v>
      </c>
      <c r="E3472" s="5">
        <f ca="1">MAX(0,CP*(D3472-K))</f>
        <v>0</v>
      </c>
      <c r="F3472" s="4">
        <f ca="1">(CP*(D3472-K)&gt;0)*1</f>
        <v>0</v>
      </c>
      <c r="H3472" s="4">
        <v>3457</v>
      </c>
      <c r="I3472" s="3">
        <v>0.667742633926107</v>
      </c>
      <c r="J3472" s="128">
        <v>1.342264093480204E-3</v>
      </c>
      <c r="K3472" s="128"/>
      <c r="L3472" s="128">
        <v>3.9600000000000003E-2</v>
      </c>
      <c r="O3472" s="2"/>
    </row>
    <row r="3473" spans="2:15" x14ac:dyDescent="0.2">
      <c r="B3473" s="1">
        <v>3458</v>
      </c>
      <c r="C3473" s="5">
        <f ca="1"/>
        <v>1.0367580768954823</v>
      </c>
      <c r="D3473" s="5">
        <f ca="1">S0*EXP((μ-0.5*σ*σ)*T+σ*SQRT(T)*$C3473)</f>
        <v>0.73601816755080807</v>
      </c>
      <c r="E3473" s="5">
        <f ca="1">MAX(0,CP*(D3473-K))</f>
        <v>0</v>
      </c>
      <c r="F3473" s="4">
        <f ca="1">(CP*(D3473-K)&gt;0)*1</f>
        <v>0</v>
      </c>
      <c r="H3473" s="4">
        <v>3458</v>
      </c>
      <c r="I3473" s="3">
        <v>0.66785750092208584</v>
      </c>
      <c r="J3473" s="128">
        <v>1.5746157575065034E-3</v>
      </c>
      <c r="K3473" s="128"/>
      <c r="L3473" s="128">
        <v>4.5400000000000003E-2</v>
      </c>
      <c r="O3473" s="2"/>
    </row>
    <row r="3474" spans="2:15" x14ac:dyDescent="0.2">
      <c r="B3474" s="1">
        <v>3459</v>
      </c>
      <c r="C3474" s="5">
        <f ca="1"/>
        <v>0.7335099527697313</v>
      </c>
      <c r="D3474" s="5">
        <f ca="1">S0*EXP((μ-0.5*σ*σ)*T+σ*SQRT(T)*$C3474)</f>
        <v>0.71433949843463329</v>
      </c>
      <c r="E3474" s="5">
        <f ca="1">MAX(0,CP*(D3474-K))</f>
        <v>0</v>
      </c>
      <c r="F3474" s="4">
        <f ca="1">(CP*(D3474-K)&gt;0)*1</f>
        <v>0</v>
      </c>
      <c r="H3474" s="4">
        <v>3459</v>
      </c>
      <c r="I3474" s="3">
        <v>0.66776594244756804</v>
      </c>
      <c r="J3474" s="128">
        <v>1.4189880695080603E-3</v>
      </c>
      <c r="K3474" s="128"/>
      <c r="L3474" s="128">
        <v>4.1799999999999997E-2</v>
      </c>
      <c r="O3474" s="2"/>
    </row>
    <row r="3475" spans="2:15" x14ac:dyDescent="0.2">
      <c r="B3475" s="1">
        <v>3460</v>
      </c>
      <c r="C3475" s="5">
        <f ca="1"/>
        <v>0.37108651281982286</v>
      </c>
      <c r="D3475" s="5">
        <f ca="1">S0*EXP((μ-0.5*σ*σ)*T+σ*SQRT(T)*$C3475)</f>
        <v>0.68926645777064999</v>
      </c>
      <c r="E3475" s="5">
        <f ca="1">MAX(0,CP*(D3475-K))</f>
        <v>0</v>
      </c>
      <c r="F3475" s="4">
        <f ca="1">(CP*(D3475-K)&gt;0)*1</f>
        <v>0</v>
      </c>
      <c r="H3475" s="4">
        <v>3460</v>
      </c>
      <c r="I3475" s="3">
        <v>0.66777802543375242</v>
      </c>
      <c r="J3475" s="128">
        <v>1.4173304804601279E-3</v>
      </c>
      <c r="K3475" s="128"/>
      <c r="L3475" s="128">
        <v>4.0800000000000003E-2</v>
      </c>
      <c r="O3475" s="2"/>
    </row>
    <row r="3476" spans="2:15" x14ac:dyDescent="0.2">
      <c r="B3476" s="1">
        <v>3461</v>
      </c>
      <c r="C3476" s="5">
        <f ca="1"/>
        <v>0.86730655968775183</v>
      </c>
      <c r="D3476" s="5">
        <f ca="1">S0*EXP((μ-0.5*σ*σ)*T+σ*SQRT(T)*$C3476)</f>
        <v>0.72382453371903432</v>
      </c>
      <c r="E3476" s="5">
        <f ca="1">MAX(0,CP*(D3476-K))</f>
        <v>0</v>
      </c>
      <c r="F3476" s="4">
        <f ca="1">(CP*(D3476-K)&gt;0)*1</f>
        <v>0</v>
      </c>
      <c r="H3476" s="4">
        <v>3461</v>
      </c>
      <c r="I3476" s="3">
        <v>0.66777664344974585</v>
      </c>
      <c r="J3476" s="128">
        <v>1.3369280267852548E-3</v>
      </c>
      <c r="K3476" s="128"/>
      <c r="L3476" s="128">
        <v>4.4200000000000003E-2</v>
      </c>
      <c r="O3476" s="2"/>
    </row>
    <row r="3477" spans="2:15" x14ac:dyDescent="0.2">
      <c r="B3477" s="1">
        <v>3462</v>
      </c>
      <c r="C3477" s="5">
        <f ca="1"/>
        <v>0.4225398672194024</v>
      </c>
      <c r="D3477" s="5">
        <f ca="1">S0*EXP((μ-0.5*σ*σ)*T+σ*SQRT(T)*$C3477)</f>
        <v>0.69277175247775125</v>
      </c>
      <c r="E3477" s="5">
        <f ca="1">MAX(0,CP*(D3477-K))</f>
        <v>0</v>
      </c>
      <c r="F3477" s="4">
        <f ca="1">(CP*(D3477-K)&gt;0)*1</f>
        <v>0</v>
      </c>
      <c r="H3477" s="4">
        <v>3462</v>
      </c>
      <c r="I3477" s="3">
        <v>0.66766792945973685</v>
      </c>
      <c r="J3477" s="128">
        <v>1.2087702069807742E-3</v>
      </c>
      <c r="K3477" s="128"/>
      <c r="L3477" s="128">
        <v>4.0399999999999998E-2</v>
      </c>
      <c r="O3477" s="2"/>
    </row>
    <row r="3478" spans="2:15" x14ac:dyDescent="0.2">
      <c r="B3478" s="1">
        <v>3463</v>
      </c>
      <c r="C3478" s="5">
        <f ca="1"/>
        <v>-1.6484478539767302</v>
      </c>
      <c r="D3478" s="5">
        <f ca="1">S0*EXP((μ-0.5*σ*σ)*T+σ*SQRT(T)*$C3478)</f>
        <v>0.56483132352103194</v>
      </c>
      <c r="E3478" s="5">
        <f ca="1">MAX(0,CP*(D3478-K))</f>
        <v>0</v>
      </c>
      <c r="F3478" s="4">
        <f ca="1">(CP*(D3478-K)&gt;0)*1</f>
        <v>0</v>
      </c>
      <c r="H3478" s="4">
        <v>3463</v>
      </c>
      <c r="I3478" s="3">
        <v>0.66781080584374353</v>
      </c>
      <c r="J3478" s="128">
        <v>1.4353633594780663E-3</v>
      </c>
      <c r="K3478" s="128"/>
      <c r="L3478" s="128">
        <v>4.2599999999999999E-2</v>
      </c>
      <c r="O3478" s="2"/>
    </row>
    <row r="3479" spans="2:15" x14ac:dyDescent="0.2">
      <c r="B3479" s="1">
        <v>3464</v>
      </c>
      <c r="C3479" s="5">
        <f ca="1"/>
        <v>1.1050209515217684</v>
      </c>
      <c r="D3479" s="5">
        <f ca="1">S0*EXP((μ-0.5*σ*σ)*T+σ*SQRT(T)*$C3479)</f>
        <v>0.74098817476228596</v>
      </c>
      <c r="E3479" s="5">
        <f ca="1">MAX(0,CP*(D3479-K))</f>
        <v>0</v>
      </c>
      <c r="F3479" s="4">
        <f ca="1">(CP*(D3479-K)&gt;0)*1</f>
        <v>0</v>
      </c>
      <c r="H3479" s="4">
        <v>3464</v>
      </c>
      <c r="I3479" s="3">
        <v>0.66778328591293767</v>
      </c>
      <c r="J3479" s="128">
        <v>1.3705729872731639E-3</v>
      </c>
      <c r="K3479" s="128"/>
      <c r="L3479" s="128">
        <v>4.24E-2</v>
      </c>
      <c r="O3479" s="2"/>
    </row>
    <row r="3480" spans="2:15" x14ac:dyDescent="0.2">
      <c r="B3480" s="1">
        <v>3465</v>
      </c>
      <c r="C3480" s="5">
        <f ca="1"/>
        <v>-2.0317411271526518</v>
      </c>
      <c r="D3480" s="5">
        <f ca="1">S0*EXP((μ-0.5*σ*σ)*T+σ*SQRT(T)*$C3480)</f>
        <v>0.54388576291434065</v>
      </c>
      <c r="E3480" s="5">
        <f ca="1">MAX(0,CP*(D3480-K))</f>
        <v>0</v>
      </c>
      <c r="F3480" s="4">
        <f ca="1">(CP*(D3480-K)&gt;0)*1</f>
        <v>0</v>
      </c>
      <c r="H3480" s="4">
        <v>3465</v>
      </c>
      <c r="I3480" s="3">
        <v>0.66771179550329274</v>
      </c>
      <c r="J3480" s="128">
        <v>1.2625319691138453E-3</v>
      </c>
      <c r="K3480" s="128"/>
      <c r="L3480" s="128">
        <v>4.1799999999999997E-2</v>
      </c>
      <c r="O3480" s="2"/>
    </row>
    <row r="3481" spans="2:15" x14ac:dyDescent="0.2">
      <c r="B3481" s="1">
        <v>3466</v>
      </c>
      <c r="C3481" s="5">
        <f ca="1"/>
        <v>0.85181599472236025</v>
      </c>
      <c r="D3481" s="5">
        <f ca="1">S0*EXP((μ-0.5*σ*σ)*T+σ*SQRT(T)*$C3481)</f>
        <v>0.72271997019487588</v>
      </c>
      <c r="E3481" s="5">
        <f ca="1">MAX(0,CP*(D3481-K))</f>
        <v>0</v>
      </c>
      <c r="F3481" s="4">
        <f ca="1">(CP*(D3481-K)&gt;0)*1</f>
        <v>0</v>
      </c>
      <c r="H3481" s="4">
        <v>3466</v>
      </c>
      <c r="I3481" s="3">
        <v>0.6678667640963013</v>
      </c>
      <c r="J3481" s="128">
        <v>1.5070043474491659E-3</v>
      </c>
      <c r="K3481" s="128"/>
      <c r="L3481" s="128">
        <v>4.4600000000000001E-2</v>
      </c>
      <c r="O3481" s="2"/>
    </row>
    <row r="3482" spans="2:15" x14ac:dyDescent="0.2">
      <c r="B3482" s="1">
        <v>3467</v>
      </c>
      <c r="C3482" s="5">
        <f ca="1"/>
        <v>0.79006531661941759</v>
      </c>
      <c r="D3482" s="5">
        <f ca="1">S0*EXP((μ-0.5*σ*σ)*T+σ*SQRT(T)*$C3482)</f>
        <v>0.71833352993204636</v>
      </c>
      <c r="E3482" s="5">
        <f ca="1">MAX(0,CP*(D3482-K))</f>
        <v>0</v>
      </c>
      <c r="F3482" s="4">
        <f ca="1">(CP*(D3482-K)&gt;0)*1</f>
        <v>0</v>
      </c>
      <c r="H3482" s="4">
        <v>3467</v>
      </c>
      <c r="I3482" s="3">
        <v>0.66759904494918476</v>
      </c>
      <c r="J3482" s="128">
        <v>1.0768941424202313E-3</v>
      </c>
      <c r="K3482" s="128"/>
      <c r="L3482" s="128">
        <v>4.0399999999999998E-2</v>
      </c>
      <c r="O3482" s="2"/>
    </row>
    <row r="3483" spans="2:15" x14ac:dyDescent="0.2">
      <c r="B3483" s="1">
        <v>3468</v>
      </c>
      <c r="C3483" s="5">
        <f ca="1"/>
        <v>-0.10202529292290045</v>
      </c>
      <c r="D3483" s="5">
        <f ca="1">S0*EXP((μ-0.5*σ*σ)*T+σ*SQRT(T)*$C3483)</f>
        <v>0.65785532187603213</v>
      </c>
      <c r="E3483" s="5">
        <f ca="1">MAX(0,CP*(D3483-K))</f>
        <v>0</v>
      </c>
      <c r="F3483" s="4">
        <f ca="1">(CP*(D3483-K)&gt;0)*1</f>
        <v>0</v>
      </c>
      <c r="H3483" s="4">
        <v>3468</v>
      </c>
      <c r="I3483" s="3">
        <v>0.66768600282254387</v>
      </c>
      <c r="J3483" s="128">
        <v>1.2707722082191081E-3</v>
      </c>
      <c r="K3483" s="128"/>
      <c r="L3483" s="128">
        <v>3.7999999999999999E-2</v>
      </c>
      <c r="O3483" s="2"/>
    </row>
    <row r="3484" spans="2:15" x14ac:dyDescent="0.2">
      <c r="B3484" s="1">
        <v>3469</v>
      </c>
      <c r="C3484" s="5">
        <f ca="1"/>
        <v>-6.7042434943856699E-2</v>
      </c>
      <c r="D3484" s="5">
        <f ca="1">S0*EXP((μ-0.5*σ*σ)*T+σ*SQRT(T)*$C3484)</f>
        <v>0.66012809731788102</v>
      </c>
      <c r="E3484" s="5">
        <f ca="1">MAX(0,CP*(D3484-K))</f>
        <v>0</v>
      </c>
      <c r="F3484" s="4">
        <f ca="1">(CP*(D3484-K)&gt;0)*1</f>
        <v>0</v>
      </c>
      <c r="H3484" s="4">
        <v>3469</v>
      </c>
      <c r="I3484" s="3">
        <v>0.66770822457325796</v>
      </c>
      <c r="J3484" s="128">
        <v>1.3282779949920357E-3</v>
      </c>
      <c r="K3484" s="128"/>
      <c r="L3484" s="128">
        <v>4.0800000000000003E-2</v>
      </c>
      <c r="O3484" s="2"/>
    </row>
    <row r="3485" spans="2:15" x14ac:dyDescent="0.2">
      <c r="B3485" s="1">
        <v>3470</v>
      </c>
      <c r="C3485" s="5">
        <f ca="1"/>
        <v>0.39619451868007682</v>
      </c>
      <c r="D3485" s="5">
        <f ca="1">S0*EXP((μ-0.5*σ*σ)*T+σ*SQRT(T)*$C3485)</f>
        <v>0.69097473640651419</v>
      </c>
      <c r="E3485" s="5">
        <f ca="1">MAX(0,CP*(D3485-K))</f>
        <v>0</v>
      </c>
      <c r="F3485" s="4">
        <f ca="1">(CP*(D3485-K)&gt;0)*1</f>
        <v>0</v>
      </c>
      <c r="H3485" s="4">
        <v>3470</v>
      </c>
      <c r="I3485" s="3">
        <v>0.66773781557126022</v>
      </c>
      <c r="J3485" s="128">
        <v>1.4793979987497916E-3</v>
      </c>
      <c r="K3485" s="128"/>
      <c r="L3485" s="128">
        <v>4.24E-2</v>
      </c>
      <c r="O3485" s="2"/>
    </row>
    <row r="3486" spans="2:15" x14ac:dyDescent="0.2">
      <c r="B3486" s="1">
        <v>3471</v>
      </c>
      <c r="C3486" s="5">
        <f ca="1"/>
        <v>0.59355129181586797</v>
      </c>
      <c r="D3486" s="5">
        <f ca="1">S0*EXP((μ-0.5*σ*σ)*T+σ*SQRT(T)*$C3486)</f>
        <v>0.70455061009935471</v>
      </c>
      <c r="E3486" s="5">
        <f ca="1">MAX(0,CP*(D3486-K))</f>
        <v>0</v>
      </c>
      <c r="F3486" s="4">
        <f ca="1">(CP*(D3486-K)&gt;0)*1</f>
        <v>0</v>
      </c>
      <c r="H3486" s="4">
        <v>3471</v>
      </c>
      <c r="I3486" s="3">
        <v>0.66755189498310341</v>
      </c>
      <c r="J3486" s="128">
        <v>1.145152126325271E-3</v>
      </c>
      <c r="K3486" s="128"/>
      <c r="L3486" s="128">
        <v>3.7199999999999997E-2</v>
      </c>
      <c r="O3486" s="2"/>
    </row>
    <row r="3487" spans="2:15" x14ac:dyDescent="0.2">
      <c r="B3487" s="1">
        <v>3472</v>
      </c>
      <c r="C3487" s="5">
        <f ca="1"/>
        <v>-0.18260156537863784</v>
      </c>
      <c r="D3487" s="5">
        <f ca="1">S0*EXP((μ-0.5*σ*σ)*T+σ*SQRT(T)*$C3487)</f>
        <v>0.65265014549089073</v>
      </c>
      <c r="E3487" s="5">
        <f ca="1">MAX(0,CP*(D3487-K))</f>
        <v>0</v>
      </c>
      <c r="F3487" s="4">
        <f ca="1">(CP*(D3487-K)&gt;0)*1</f>
        <v>0</v>
      </c>
      <c r="H3487" s="4">
        <v>3472</v>
      </c>
      <c r="I3487" s="3">
        <v>0.66771399293058176</v>
      </c>
      <c r="J3487" s="128">
        <v>1.3175747108198645E-3</v>
      </c>
      <c r="K3487" s="128"/>
      <c r="L3487" s="128">
        <v>3.9800000000000002E-2</v>
      </c>
      <c r="O3487" s="2"/>
    </row>
    <row r="3488" spans="2:15" x14ac:dyDescent="0.2">
      <c r="B3488" s="1">
        <v>3473</v>
      </c>
      <c r="C3488" s="5">
        <f ca="1"/>
        <v>-7.8207784794703972E-2</v>
      </c>
      <c r="D3488" s="5">
        <f ca="1">S0*EXP((μ-0.5*σ*σ)*T+σ*SQRT(T)*$C3488)</f>
        <v>0.65940185212869085</v>
      </c>
      <c r="E3488" s="5">
        <f ca="1">MAX(0,CP*(D3488-K))</f>
        <v>0</v>
      </c>
      <c r="F3488" s="4">
        <f ca="1">(CP*(D3488-K)&gt;0)*1</f>
        <v>0</v>
      </c>
      <c r="H3488" s="4">
        <v>3473</v>
      </c>
      <c r="I3488" s="3">
        <v>0.66780595374566887</v>
      </c>
      <c r="J3488" s="128">
        <v>1.4572031290502228E-3</v>
      </c>
      <c r="K3488" s="128"/>
      <c r="L3488" s="128">
        <v>4.3400000000000001E-2</v>
      </c>
      <c r="O3488" s="2"/>
    </row>
    <row r="3489" spans="2:15" x14ac:dyDescent="0.2">
      <c r="B3489" s="1">
        <v>3474</v>
      </c>
      <c r="C3489" s="5">
        <f ca="1"/>
        <v>0.45403176031627851</v>
      </c>
      <c r="D3489" s="5">
        <f ca="1">S0*EXP((μ-0.5*σ*σ)*T+σ*SQRT(T)*$C3489)</f>
        <v>0.69492594747510283</v>
      </c>
      <c r="E3489" s="5">
        <f ca="1">MAX(0,CP*(D3489-K))</f>
        <v>0</v>
      </c>
      <c r="F3489" s="4">
        <f ca="1">(CP*(D3489-K)&gt;0)*1</f>
        <v>0</v>
      </c>
      <c r="H3489" s="4">
        <v>3474</v>
      </c>
      <c r="I3489" s="3">
        <v>0.66779827351760801</v>
      </c>
      <c r="J3489" s="128">
        <v>1.4362211390619439E-3</v>
      </c>
      <c r="K3489" s="128"/>
      <c r="L3489" s="128">
        <v>4.3999999999999997E-2</v>
      </c>
      <c r="O3489" s="2"/>
    </row>
    <row r="3490" spans="2:15" x14ac:dyDescent="0.2">
      <c r="B3490" s="1">
        <v>3475</v>
      </c>
      <c r="C3490" s="5">
        <f ca="1"/>
        <v>0.46192491217323223</v>
      </c>
      <c r="D3490" s="5">
        <f ca="1">S0*EXP((μ-0.5*σ*σ)*T+σ*SQRT(T)*$C3490)</f>
        <v>0.69546692558757062</v>
      </c>
      <c r="E3490" s="5">
        <f ca="1">MAX(0,CP*(D3490-K))</f>
        <v>0</v>
      </c>
      <c r="F3490" s="4">
        <f ca="1">(CP*(D3490-K)&gt;0)*1</f>
        <v>0</v>
      </c>
      <c r="H3490" s="4">
        <v>3475</v>
      </c>
      <c r="I3490" s="3">
        <v>0.66763603190641152</v>
      </c>
      <c r="J3490" s="128">
        <v>1.4050699188848412E-3</v>
      </c>
      <c r="K3490" s="128"/>
      <c r="L3490" s="128">
        <v>4.0399999999999998E-2</v>
      </c>
      <c r="O3490" s="2"/>
    </row>
    <row r="3491" spans="2:15" x14ac:dyDescent="0.2">
      <c r="B3491" s="1">
        <v>3476</v>
      </c>
      <c r="C3491" s="5">
        <f ca="1"/>
        <v>5.3021438486992485E-2</v>
      </c>
      <c r="D3491" s="5">
        <f ca="1">S0*EXP((μ-0.5*σ*σ)*T+σ*SQRT(T)*$C3491)</f>
        <v>0.6679883254565111</v>
      </c>
      <c r="E3491" s="5">
        <f ca="1">MAX(0,CP*(D3491-K))</f>
        <v>0</v>
      </c>
      <c r="F3491" s="4">
        <f ca="1">(CP*(D3491-K)&gt;0)*1</f>
        <v>0</v>
      </c>
      <c r="H3491" s="4">
        <v>3476</v>
      </c>
      <c r="I3491" s="3">
        <v>0.66772683136411881</v>
      </c>
      <c r="J3491" s="128">
        <v>1.4387583911715292E-3</v>
      </c>
      <c r="K3491" s="128"/>
      <c r="L3491" s="128">
        <v>3.9600000000000003E-2</v>
      </c>
      <c r="O3491" s="2"/>
    </row>
    <row r="3492" spans="2:15" x14ac:dyDescent="0.2">
      <c r="B3492" s="1">
        <v>3477</v>
      </c>
      <c r="C3492" s="5">
        <f ca="1"/>
        <v>0.18558325152517113</v>
      </c>
      <c r="D3492" s="5">
        <f ca="1">S0*EXP((μ-0.5*σ*σ)*T+σ*SQRT(T)*$C3492)</f>
        <v>0.67677551514704082</v>
      </c>
      <c r="E3492" s="5">
        <f ca="1">MAX(0,CP*(D3492-K))</f>
        <v>0</v>
      </c>
      <c r="F3492" s="4">
        <f ca="1">(CP*(D3492-K)&gt;0)*1</f>
        <v>0</v>
      </c>
      <c r="H3492" s="4">
        <v>3477</v>
      </c>
      <c r="I3492" s="3">
        <v>0.66792657920680298</v>
      </c>
      <c r="J3492" s="128">
        <v>1.6019550554838865E-3</v>
      </c>
      <c r="K3492" s="128"/>
      <c r="L3492" s="128">
        <v>4.4400000000000002E-2</v>
      </c>
      <c r="O3492" s="2"/>
    </row>
    <row r="3493" spans="2:15" x14ac:dyDescent="0.2">
      <c r="B3493" s="1">
        <v>3478</v>
      </c>
      <c r="C3493" s="5">
        <f ca="1"/>
        <v>-0.20570364509860126</v>
      </c>
      <c r="D3493" s="5">
        <f ca="1">S0*EXP((μ-0.5*σ*σ)*T+σ*SQRT(T)*$C3493)</f>
        <v>0.65116537693186349</v>
      </c>
      <c r="E3493" s="5">
        <f ca="1">MAX(0,CP*(D3493-K))</f>
        <v>0</v>
      </c>
      <c r="F3493" s="4">
        <f ca="1">(CP*(D3493-K)&gt;0)*1</f>
        <v>0</v>
      </c>
      <c r="H3493" s="4">
        <v>3478</v>
      </c>
      <c r="I3493" s="3">
        <v>0.66788369721402108</v>
      </c>
      <c r="J3493" s="128">
        <v>1.5401906702148028E-3</v>
      </c>
      <c r="K3493" s="128"/>
      <c r="L3493" s="128">
        <v>4.4999999999999998E-2</v>
      </c>
      <c r="O3493" s="2"/>
    </row>
    <row r="3494" spans="2:15" x14ac:dyDescent="0.2">
      <c r="B3494" s="1">
        <v>3479</v>
      </c>
      <c r="C3494" s="5">
        <f ca="1"/>
        <v>-0.99862486899484648</v>
      </c>
      <c r="D3494" s="5">
        <f ca="1">S0*EXP((μ-0.5*σ*σ)*T+σ*SQRT(T)*$C3494)</f>
        <v>0.602201163424817</v>
      </c>
      <c r="E3494" s="5">
        <f ca="1">MAX(0,CP*(D3494-K))</f>
        <v>0</v>
      </c>
      <c r="F3494" s="4">
        <f ca="1">(CP*(D3494-K)&gt;0)*1</f>
        <v>0</v>
      </c>
      <c r="H3494" s="4">
        <v>3479</v>
      </c>
      <c r="I3494" s="3">
        <v>0.6678269182864236</v>
      </c>
      <c r="J3494" s="128">
        <v>1.4978077327485737E-3</v>
      </c>
      <c r="K3494" s="128"/>
      <c r="L3494" s="128">
        <v>4.5199999999999997E-2</v>
      </c>
      <c r="O3494" s="2"/>
    </row>
    <row r="3495" spans="2:15" x14ac:dyDescent="0.2">
      <c r="B3495" s="1">
        <v>3480</v>
      </c>
      <c r="C3495" s="5">
        <f ca="1"/>
        <v>-0.3009497072017463</v>
      </c>
      <c r="D3495" s="5">
        <f ca="1">S0*EXP((μ-0.5*σ*σ)*T+σ*SQRT(T)*$C3495)</f>
        <v>0.6450795076716741</v>
      </c>
      <c r="E3495" s="5">
        <f ca="1">MAX(0,CP*(D3495-K))</f>
        <v>0</v>
      </c>
      <c r="F3495" s="4">
        <f ca="1">(CP*(D3495-K)&gt;0)*1</f>
        <v>0</v>
      </c>
      <c r="H3495" s="4">
        <v>3480</v>
      </c>
      <c r="I3495" s="3">
        <v>0.66776063662462981</v>
      </c>
      <c r="J3495" s="128">
        <v>1.3579880839518872E-3</v>
      </c>
      <c r="K3495" s="128"/>
      <c r="L3495" s="128">
        <v>4.2799999999999998E-2</v>
      </c>
      <c r="O3495" s="2"/>
    </row>
    <row r="3496" spans="2:15" x14ac:dyDescent="0.2">
      <c r="B3496" s="1">
        <v>3481</v>
      </c>
      <c r="C3496" s="5">
        <f ca="1"/>
        <v>0.58298065858812964</v>
      </c>
      <c r="D3496" s="5">
        <f ca="1">S0*EXP((μ-0.5*σ*σ)*T+σ*SQRT(T)*$C3496)</f>
        <v>0.70381675782645192</v>
      </c>
      <c r="E3496" s="5">
        <f ca="1">MAX(0,CP*(D3496-K))</f>
        <v>0</v>
      </c>
      <c r="F3496" s="4">
        <f ca="1">(CP*(D3496-K)&gt;0)*1</f>
        <v>0</v>
      </c>
      <c r="H3496" s="4">
        <v>3481</v>
      </c>
      <c r="I3496" s="3">
        <v>0.6676514518097858</v>
      </c>
      <c r="J3496" s="128">
        <v>1.355373738790225E-3</v>
      </c>
      <c r="K3496" s="128"/>
      <c r="L3496" s="128">
        <v>4.1799999999999997E-2</v>
      </c>
      <c r="O3496" s="2"/>
    </row>
    <row r="3497" spans="2:15" x14ac:dyDescent="0.2">
      <c r="B3497" s="1">
        <v>3482</v>
      </c>
      <c r="C3497" s="5">
        <f ca="1"/>
        <v>0.68033234542464671</v>
      </c>
      <c r="D3497" s="5">
        <f ca="1">S0*EXP((μ-0.5*σ*σ)*T+σ*SQRT(T)*$C3497)</f>
        <v>0.71060426929237475</v>
      </c>
      <c r="E3497" s="5">
        <f ca="1">MAX(0,CP*(D3497-K))</f>
        <v>0</v>
      </c>
      <c r="F3497" s="4">
        <f ca="1">(CP*(D3497-K)&gt;0)*1</f>
        <v>0</v>
      </c>
      <c r="H3497" s="4">
        <v>3482</v>
      </c>
      <c r="I3497" s="3">
        <v>0.66778332305756383</v>
      </c>
      <c r="J3497" s="128">
        <v>1.4240100165153668E-3</v>
      </c>
      <c r="K3497" s="128"/>
      <c r="L3497" s="128">
        <v>4.2799999999999998E-2</v>
      </c>
      <c r="O3497" s="2"/>
    </row>
    <row r="3498" spans="2:15" x14ac:dyDescent="0.2">
      <c r="B3498" s="1">
        <v>3483</v>
      </c>
      <c r="C3498" s="5">
        <f ca="1"/>
        <v>-0.10238965269578659</v>
      </c>
      <c r="D3498" s="5">
        <f ca="1">S0*EXP((μ-0.5*σ*σ)*T+σ*SQRT(T)*$C3498)</f>
        <v>0.65783169127676333</v>
      </c>
      <c r="E3498" s="5">
        <f ca="1">MAX(0,CP*(D3498-K))</f>
        <v>0</v>
      </c>
      <c r="F3498" s="4">
        <f ca="1">(CP*(D3498-K)&gt;0)*1</f>
        <v>0</v>
      </c>
      <c r="H3498" s="4">
        <v>3483</v>
      </c>
      <c r="I3498" s="3">
        <v>0.66777350598658791</v>
      </c>
      <c r="J3498" s="128">
        <v>1.3473678144956883E-3</v>
      </c>
      <c r="K3498" s="128"/>
      <c r="L3498" s="128">
        <v>3.9399999999999998E-2</v>
      </c>
      <c r="O3498" s="2"/>
    </row>
    <row r="3499" spans="2:15" x14ac:dyDescent="0.2">
      <c r="B3499" s="1">
        <v>3484</v>
      </c>
      <c r="C3499" s="5">
        <f ca="1"/>
        <v>-7.4129840832164312E-2</v>
      </c>
      <c r="D3499" s="5">
        <f ca="1">S0*EXP((μ-0.5*σ*σ)*T+σ*SQRT(T)*$C3499)</f>
        <v>0.65966700750682761</v>
      </c>
      <c r="E3499" s="5">
        <f ca="1">MAX(0,CP*(D3499-K))</f>
        <v>0</v>
      </c>
      <c r="F3499" s="4">
        <f ca="1">(CP*(D3499-K)&gt;0)*1</f>
        <v>0</v>
      </c>
      <c r="H3499" s="4">
        <v>3484</v>
      </c>
      <c r="I3499" s="3">
        <v>0.66771291701405533</v>
      </c>
      <c r="J3499" s="128">
        <v>1.2504595999234798E-3</v>
      </c>
      <c r="K3499" s="128"/>
      <c r="L3499" s="128">
        <v>3.9600000000000003E-2</v>
      </c>
      <c r="O3499" s="2"/>
    </row>
    <row r="3500" spans="2:15" x14ac:dyDescent="0.2">
      <c r="B3500" s="1">
        <v>3485</v>
      </c>
      <c r="C3500" s="5">
        <f ca="1"/>
        <v>0.74835915133779773</v>
      </c>
      <c r="D3500" s="5">
        <f ca="1">S0*EXP((μ-0.5*σ*σ)*T+σ*SQRT(T)*$C3500)</f>
        <v>0.71538601794717549</v>
      </c>
      <c r="E3500" s="5">
        <f ca="1">MAX(0,CP*(D3500-K))</f>
        <v>0</v>
      </c>
      <c r="F3500" s="4">
        <f ca="1">(CP*(D3500-K)&gt;0)*1</f>
        <v>0</v>
      </c>
      <c r="H3500" s="4">
        <v>3485</v>
      </c>
      <c r="I3500" s="3">
        <v>0.6675971933260556</v>
      </c>
      <c r="J3500" s="128">
        <v>1.1363863367725435E-3</v>
      </c>
      <c r="K3500" s="128"/>
      <c r="L3500" s="128">
        <v>3.5799999999999998E-2</v>
      </c>
      <c r="O3500" s="2"/>
    </row>
    <row r="3501" spans="2:15" x14ac:dyDescent="0.2">
      <c r="B3501" s="1">
        <v>3486</v>
      </c>
      <c r="C3501" s="5">
        <f ca="1"/>
        <v>-0.94409905769105829</v>
      </c>
      <c r="D3501" s="5">
        <f ca="1">S0*EXP((μ-0.5*σ*σ)*T+σ*SQRT(T)*$C3501)</f>
        <v>0.60544704939204186</v>
      </c>
      <c r="E3501" s="5">
        <f ca="1">MAX(0,CP*(D3501-K))</f>
        <v>0</v>
      </c>
      <c r="F3501" s="4">
        <f ca="1">(CP*(D3501-K)&gt;0)*1</f>
        <v>0</v>
      </c>
      <c r="H3501" s="4">
        <v>3486</v>
      </c>
      <c r="I3501" s="3">
        <v>0.66761483553945811</v>
      </c>
      <c r="J3501" s="128">
        <v>1.1737758864404186E-3</v>
      </c>
      <c r="K3501" s="128"/>
      <c r="L3501" s="128">
        <v>3.5200000000000002E-2</v>
      </c>
      <c r="O3501" s="2"/>
    </row>
    <row r="3502" spans="2:15" x14ac:dyDescent="0.2">
      <c r="B3502" s="1">
        <v>3487</v>
      </c>
      <c r="C3502" s="5">
        <f ca="1"/>
        <v>0.87380626536415873</v>
      </c>
      <c r="D3502" s="5">
        <f ca="1">S0*EXP((μ-0.5*σ*σ)*T+σ*SQRT(T)*$C3502)</f>
        <v>0.72428850154364388</v>
      </c>
      <c r="E3502" s="5">
        <f ca="1">MAX(0,CP*(D3502-K))</f>
        <v>0</v>
      </c>
      <c r="F3502" s="4">
        <f ca="1">(CP*(D3502-K)&gt;0)*1</f>
        <v>0</v>
      </c>
      <c r="H3502" s="4">
        <v>3487</v>
      </c>
      <c r="I3502" s="3">
        <v>0.6677713971029563</v>
      </c>
      <c r="J3502" s="128">
        <v>1.3072922108177999E-3</v>
      </c>
      <c r="K3502" s="128"/>
      <c r="L3502" s="128">
        <v>4.2599999999999999E-2</v>
      </c>
      <c r="O3502" s="2"/>
    </row>
    <row r="3503" spans="2:15" x14ac:dyDescent="0.2">
      <c r="B3503" s="1">
        <v>3488</v>
      </c>
      <c r="C3503" s="5">
        <f ca="1"/>
        <v>0.57455528562386504</v>
      </c>
      <c r="D3503" s="5">
        <f ca="1">S0*EXP((μ-0.5*σ*σ)*T+σ*SQRT(T)*$C3503)</f>
        <v>0.70323238488195605</v>
      </c>
      <c r="E3503" s="5">
        <f ca="1">MAX(0,CP*(D3503-K))</f>
        <v>0</v>
      </c>
      <c r="F3503" s="4">
        <f ca="1">(CP*(D3503-K)&gt;0)*1</f>
        <v>0</v>
      </c>
      <c r="H3503" s="4">
        <v>3488</v>
      </c>
      <c r="I3503" s="3">
        <v>0.66776399794430907</v>
      </c>
      <c r="J3503" s="128">
        <v>1.4000824838584427E-3</v>
      </c>
      <c r="K3503" s="128"/>
      <c r="L3503" s="128">
        <v>4.3200000000000002E-2</v>
      </c>
      <c r="O3503" s="2"/>
    </row>
    <row r="3504" spans="2:15" x14ac:dyDescent="0.2">
      <c r="B3504" s="1">
        <v>3489</v>
      </c>
      <c r="C3504" s="5">
        <f ca="1"/>
        <v>-0.6005522779685426</v>
      </c>
      <c r="D3504" s="5">
        <f ca="1">S0*EXP((μ-0.5*σ*σ)*T+σ*SQRT(T)*$C3504)</f>
        <v>0.62630440164886891</v>
      </c>
      <c r="E3504" s="5">
        <f ca="1">MAX(0,CP*(D3504-K))</f>
        <v>0</v>
      </c>
      <c r="F3504" s="4">
        <f ca="1">(CP*(D3504-K)&gt;0)*1</f>
        <v>0</v>
      </c>
      <c r="H3504" s="4">
        <v>3489</v>
      </c>
      <c r="I3504" s="3">
        <v>0.66767218994353117</v>
      </c>
      <c r="J3504" s="128">
        <v>1.2339296671176883E-3</v>
      </c>
      <c r="K3504" s="128"/>
      <c r="L3504" s="128">
        <v>3.8800000000000001E-2</v>
      </c>
      <c r="O3504" s="2"/>
    </row>
    <row r="3505" spans="2:15" x14ac:dyDescent="0.2">
      <c r="B3505" s="1">
        <v>3490</v>
      </c>
      <c r="C3505" s="5">
        <f ca="1"/>
        <v>1.5852764514012605</v>
      </c>
      <c r="D3505" s="5">
        <f ca="1">S0*EXP((μ-0.5*σ*σ)*T+σ*SQRT(T)*$C3505)</f>
        <v>0.77691569298702945</v>
      </c>
      <c r="E3505" s="5">
        <f ca="1">MAX(0,CP*(D3505-K))</f>
        <v>0</v>
      </c>
      <c r="F3505" s="4">
        <f ca="1">(CP*(D3505-K)&gt;0)*1</f>
        <v>0</v>
      </c>
      <c r="H3505" s="4">
        <v>3490</v>
      </c>
      <c r="I3505" s="3">
        <v>0.667863042811214</v>
      </c>
      <c r="J3505" s="128">
        <v>1.5119686704161315E-3</v>
      </c>
      <c r="K3505" s="128"/>
      <c r="L3505" s="128">
        <v>4.5400000000000003E-2</v>
      </c>
      <c r="O3505" s="2"/>
    </row>
    <row r="3506" spans="2:15" x14ac:dyDescent="0.2">
      <c r="B3506" s="1">
        <v>3491</v>
      </c>
      <c r="C3506" s="5">
        <f ca="1"/>
        <v>0.80354483543605348</v>
      </c>
      <c r="D3506" s="5">
        <f ca="1">S0*EXP((μ-0.5*σ*σ)*T+σ*SQRT(T)*$C3506)</f>
        <v>0.71928876630285454</v>
      </c>
      <c r="E3506" s="5">
        <f ca="1">MAX(0,CP*(D3506-K))</f>
        <v>0</v>
      </c>
      <c r="F3506" s="4">
        <f ca="1">(CP*(D3506-K)&gt;0)*1</f>
        <v>0</v>
      </c>
      <c r="H3506" s="4">
        <v>3491</v>
      </c>
      <c r="I3506" s="3">
        <v>0.66772414633664534</v>
      </c>
      <c r="J3506" s="128">
        <v>1.3618600532312199E-3</v>
      </c>
      <c r="K3506" s="128"/>
      <c r="L3506" s="128">
        <v>4.2799999999999998E-2</v>
      </c>
      <c r="O3506" s="2"/>
    </row>
    <row r="3507" spans="2:15" x14ac:dyDescent="0.2">
      <c r="B3507" s="1">
        <v>3492</v>
      </c>
      <c r="C3507" s="5">
        <f ca="1"/>
        <v>2.5416429058212404E-2</v>
      </c>
      <c r="D3507" s="5">
        <f ca="1">S0*EXP((μ-0.5*σ*σ)*T+σ*SQRT(T)*$C3507)</f>
        <v>0.66617286138418641</v>
      </c>
      <c r="E3507" s="5">
        <f ca="1">MAX(0,CP*(D3507-K))</f>
        <v>0</v>
      </c>
      <c r="F3507" s="4">
        <f ca="1">(CP*(D3507-K)&gt;0)*1</f>
        <v>0</v>
      </c>
      <c r="H3507" s="4">
        <v>3492</v>
      </c>
      <c r="I3507" s="3">
        <v>0.66792905019245075</v>
      </c>
      <c r="J3507" s="128">
        <v>1.6537427094464533E-3</v>
      </c>
      <c r="K3507" s="128"/>
      <c r="L3507" s="128">
        <v>4.36E-2</v>
      </c>
      <c r="O3507" s="2"/>
    </row>
    <row r="3508" spans="2:15" x14ac:dyDescent="0.2">
      <c r="B3508" s="1">
        <v>3493</v>
      </c>
      <c r="C3508" s="5">
        <f ca="1"/>
        <v>0.33832498434424579</v>
      </c>
      <c r="D3508" s="5">
        <f ca="1">S0*EXP((μ-0.5*σ*σ)*T+σ*SQRT(T)*$C3508)</f>
        <v>0.68704380382586772</v>
      </c>
      <c r="E3508" s="5">
        <f ca="1">MAX(0,CP*(D3508-K))</f>
        <v>0</v>
      </c>
      <c r="F3508" s="4">
        <f ca="1">(CP*(D3508-K)&gt;0)*1</f>
        <v>0</v>
      </c>
      <c r="H3508" s="4">
        <v>3493</v>
      </c>
      <c r="I3508" s="3">
        <v>0.66781015056204718</v>
      </c>
      <c r="J3508" s="128">
        <v>1.4865266442882603E-3</v>
      </c>
      <c r="K3508" s="128"/>
      <c r="L3508" s="128">
        <v>4.1399999999999999E-2</v>
      </c>
      <c r="O3508" s="2"/>
    </row>
    <row r="3509" spans="2:15" x14ac:dyDescent="0.2">
      <c r="B3509" s="1">
        <v>3494</v>
      </c>
      <c r="C3509" s="5">
        <f ca="1"/>
        <v>2.0947007389225853</v>
      </c>
      <c r="D3509" s="5">
        <f ca="1">S0*EXP((μ-0.5*σ*σ)*T+σ*SQRT(T)*$C3509)</f>
        <v>0.81693104640966951</v>
      </c>
      <c r="E3509" s="5">
        <f ca="1">MAX(0,CP*(D3509-K))</f>
        <v>2.8731046409669503E-2</v>
      </c>
      <c r="F3509" s="4">
        <f ca="1">(CP*(D3509-K)&gt;0)*1</f>
        <v>1</v>
      </c>
      <c r="H3509" s="4">
        <v>3494</v>
      </c>
      <c r="I3509" s="3">
        <v>0.66784092327872946</v>
      </c>
      <c r="J3509" s="128">
        <v>1.6919418367471644E-3</v>
      </c>
      <c r="K3509" s="128"/>
      <c r="L3509" s="128">
        <v>4.5600000000000002E-2</v>
      </c>
      <c r="O3509" s="2"/>
    </row>
    <row r="3510" spans="2:15" x14ac:dyDescent="0.2">
      <c r="B3510" s="1">
        <v>3495</v>
      </c>
      <c r="C3510" s="5">
        <f ca="1"/>
        <v>0.26963931853930545</v>
      </c>
      <c r="D3510" s="5">
        <f ca="1">S0*EXP((μ-0.5*σ*σ)*T+σ*SQRT(T)*$C3510)</f>
        <v>0.6824071714068366</v>
      </c>
      <c r="E3510" s="5">
        <f ca="1">MAX(0,CP*(D3510-K))</f>
        <v>0</v>
      </c>
      <c r="F3510" s="4">
        <f ca="1">(CP*(D3510-K)&gt;0)*1</f>
        <v>0</v>
      </c>
      <c r="H3510" s="4">
        <v>3495</v>
      </c>
      <c r="I3510" s="3">
        <v>0.66771882712452302</v>
      </c>
      <c r="J3510" s="128">
        <v>1.3066351803816773E-3</v>
      </c>
      <c r="K3510" s="128"/>
      <c r="L3510" s="128">
        <v>4.2200000000000001E-2</v>
      </c>
      <c r="O3510" s="2"/>
    </row>
    <row r="3511" spans="2:15" x14ac:dyDescent="0.2">
      <c r="B3511" s="1">
        <v>3496</v>
      </c>
      <c r="C3511" s="5">
        <f ca="1"/>
        <v>-0.46161652750522186</v>
      </c>
      <c r="D3511" s="5">
        <f ca="1">S0*EXP((μ-0.5*σ*σ)*T+σ*SQRT(T)*$C3511)</f>
        <v>0.63494211777108567</v>
      </c>
      <c r="E3511" s="5">
        <f ca="1">MAX(0,CP*(D3511-K))</f>
        <v>0</v>
      </c>
      <c r="F3511" s="4">
        <f ca="1">(CP*(D3511-K)&gt;0)*1</f>
        <v>0</v>
      </c>
      <c r="H3511" s="4">
        <v>3496</v>
      </c>
      <c r="I3511" s="3">
        <v>0.66786658417872791</v>
      </c>
      <c r="J3511" s="128">
        <v>1.5800249461827079E-3</v>
      </c>
      <c r="K3511" s="128"/>
      <c r="L3511" s="128">
        <v>4.2999999999999997E-2</v>
      </c>
      <c r="O3511" s="2"/>
    </row>
    <row r="3512" spans="2:15" x14ac:dyDescent="0.2">
      <c r="B3512" s="1">
        <v>3497</v>
      </c>
      <c r="C3512" s="5">
        <f ca="1"/>
        <v>2.1999751141807624</v>
      </c>
      <c r="D3512" s="5">
        <f ca="1">S0*EXP((μ-0.5*σ*σ)*T+σ*SQRT(T)*$C3512)</f>
        <v>0.82545390842458721</v>
      </c>
      <c r="E3512" s="5">
        <f ca="1">MAX(0,CP*(D3512-K))</f>
        <v>3.7253908424587201E-2</v>
      </c>
      <c r="F3512" s="4">
        <f ca="1">(CP*(D3512-K)&gt;0)*1</f>
        <v>1</v>
      </c>
      <c r="H3512" s="4">
        <v>3497</v>
      </c>
      <c r="I3512" s="3">
        <v>0.66764026373365004</v>
      </c>
      <c r="J3512" s="128">
        <v>1.2629482962011893E-3</v>
      </c>
      <c r="K3512" s="128"/>
      <c r="L3512" s="128">
        <v>3.9199999999999999E-2</v>
      </c>
      <c r="O3512" s="2"/>
    </row>
    <row r="3513" spans="2:15" x14ac:dyDescent="0.2">
      <c r="B3513" s="1">
        <v>3498</v>
      </c>
      <c r="C3513" s="5">
        <f ca="1"/>
        <v>-0.19395870080477998</v>
      </c>
      <c r="D3513" s="5">
        <f ca="1">S0*EXP((μ-0.5*σ*σ)*T+σ*SQRT(T)*$C3513)</f>
        <v>0.65191980083906809</v>
      </c>
      <c r="E3513" s="5">
        <f ca="1">MAX(0,CP*(D3513-K))</f>
        <v>0</v>
      </c>
      <c r="F3513" s="4">
        <f ca="1">(CP*(D3513-K)&gt;0)*1</f>
        <v>0</v>
      </c>
      <c r="H3513" s="4">
        <v>3498</v>
      </c>
      <c r="I3513" s="3">
        <v>0.6676287701729765</v>
      </c>
      <c r="J3513" s="128">
        <v>1.1789984749975696E-3</v>
      </c>
      <c r="K3513" s="128"/>
      <c r="L3513" s="128">
        <v>3.5799999999999998E-2</v>
      </c>
      <c r="O3513" s="2"/>
    </row>
    <row r="3514" spans="2:15" x14ac:dyDescent="0.2">
      <c r="B3514" s="1">
        <v>3499</v>
      </c>
      <c r="C3514" s="5">
        <f ca="1"/>
        <v>0.20229876767116597</v>
      </c>
      <c r="D3514" s="5">
        <f ca="1">S0*EXP((μ-0.5*σ*σ)*T+σ*SQRT(T)*$C3514)</f>
        <v>0.67789172035604273</v>
      </c>
      <c r="E3514" s="5">
        <f ca="1">MAX(0,CP*(D3514-K))</f>
        <v>0</v>
      </c>
      <c r="F3514" s="4">
        <f ca="1">(CP*(D3514-K)&gt;0)*1</f>
        <v>0</v>
      </c>
      <c r="H3514" s="4">
        <v>3499</v>
      </c>
      <c r="I3514" s="3">
        <v>0.66765674352870763</v>
      </c>
      <c r="J3514" s="128">
        <v>1.3186427552139949E-3</v>
      </c>
      <c r="K3514" s="128"/>
      <c r="L3514" s="128">
        <v>0.04</v>
      </c>
      <c r="O3514" s="2"/>
    </row>
    <row r="3515" spans="2:15" x14ac:dyDescent="0.2">
      <c r="B3515" s="1">
        <v>3500</v>
      </c>
      <c r="C3515" s="5">
        <f ca="1"/>
        <v>0.16211654173900847</v>
      </c>
      <c r="D3515" s="5">
        <f ca="1">S0*EXP((μ-0.5*σ*σ)*T+σ*SQRT(T)*$C3515)</f>
        <v>0.67521158884848542</v>
      </c>
      <c r="E3515" s="5">
        <f ca="1">MAX(0,CP*(D3515-K))</f>
        <v>0</v>
      </c>
      <c r="F3515" s="4">
        <f ca="1">(CP*(D3515-K)&gt;0)*1</f>
        <v>0</v>
      </c>
      <c r="H3515" s="4">
        <v>3500</v>
      </c>
      <c r="I3515" s="3">
        <v>0.66777270215081774</v>
      </c>
      <c r="J3515" s="128">
        <v>1.3671160562110424E-3</v>
      </c>
      <c r="K3515" s="128"/>
      <c r="L3515" s="128">
        <v>4.1799999999999997E-2</v>
      </c>
      <c r="O3515" s="2"/>
    </row>
    <row r="3516" spans="2:15" x14ac:dyDescent="0.2">
      <c r="B3516" s="1">
        <v>3501</v>
      </c>
      <c r="C3516" s="5">
        <f ca="1"/>
        <v>-0.12096948242740987</v>
      </c>
      <c r="D3516" s="5">
        <f ca="1">S0*EXP((μ-0.5*σ*σ)*T+σ*SQRT(T)*$C3516)</f>
        <v>0.65662781863261688</v>
      </c>
      <c r="E3516" s="5">
        <f ca="1">MAX(0,CP*(D3516-K))</f>
        <v>0</v>
      </c>
      <c r="F3516" s="4">
        <f ca="1">(CP*(D3516-K)&gt;0)*1</f>
        <v>0</v>
      </c>
      <c r="H3516" s="4">
        <v>3501</v>
      </c>
      <c r="I3516" s="3">
        <v>0.66773420314828136</v>
      </c>
      <c r="J3516" s="128">
        <v>1.398365279035596E-3</v>
      </c>
      <c r="K3516" s="128"/>
      <c r="L3516" s="128">
        <v>4.2599999999999999E-2</v>
      </c>
      <c r="O3516" s="2"/>
    </row>
    <row r="3517" spans="2:15" x14ac:dyDescent="0.2">
      <c r="B3517" s="1">
        <v>3502</v>
      </c>
      <c r="C3517" s="5">
        <f ca="1"/>
        <v>0.64873673963948453</v>
      </c>
      <c r="D3517" s="5">
        <f ca="1">S0*EXP((μ-0.5*σ*σ)*T+σ*SQRT(T)*$C3517)</f>
        <v>0.70839422999322144</v>
      </c>
      <c r="E3517" s="5">
        <f ca="1">MAX(0,CP*(D3517-K))</f>
        <v>0</v>
      </c>
      <c r="F3517" s="4">
        <f ca="1">(CP*(D3517-K)&gt;0)*1</f>
        <v>0</v>
      </c>
      <c r="H3517" s="4">
        <v>3502</v>
      </c>
      <c r="I3517" s="3">
        <v>0.66783300652124555</v>
      </c>
      <c r="J3517" s="128">
        <v>1.3973097638266556E-3</v>
      </c>
      <c r="K3517" s="128"/>
      <c r="L3517" s="128">
        <v>4.3799999999999999E-2</v>
      </c>
      <c r="O3517" s="2"/>
    </row>
    <row r="3518" spans="2:15" x14ac:dyDescent="0.2">
      <c r="B3518" s="1">
        <v>3503</v>
      </c>
      <c r="C3518" s="5">
        <f ca="1"/>
        <v>-0.89234649045789116</v>
      </c>
      <c r="D3518" s="5">
        <f ca="1">S0*EXP((μ-0.5*σ*σ)*T+σ*SQRT(T)*$C3518)</f>
        <v>0.60854402778718986</v>
      </c>
      <c r="E3518" s="5">
        <f ca="1">MAX(0,CP*(D3518-K))</f>
        <v>0</v>
      </c>
      <c r="F3518" s="4">
        <f ca="1">(CP*(D3518-K)&gt;0)*1</f>
        <v>0</v>
      </c>
      <c r="H3518" s="4">
        <v>3503</v>
      </c>
      <c r="I3518" s="3">
        <v>0.66784513880369301</v>
      </c>
      <c r="J3518" s="128">
        <v>1.6427297354044651E-3</v>
      </c>
      <c r="K3518" s="128"/>
      <c r="L3518" s="128">
        <v>4.2799999999999998E-2</v>
      </c>
      <c r="O3518" s="2"/>
    </row>
    <row r="3519" spans="2:15" x14ac:dyDescent="0.2">
      <c r="B3519" s="1">
        <v>3504</v>
      </c>
      <c r="C3519" s="5">
        <f ca="1"/>
        <v>-0.17498658569382788</v>
      </c>
      <c r="D3519" s="5">
        <f ca="1">S0*EXP((μ-0.5*σ*σ)*T+σ*SQRT(T)*$C3519)</f>
        <v>0.65314030105888787</v>
      </c>
      <c r="E3519" s="5">
        <f ca="1">MAX(0,CP*(D3519-K))</f>
        <v>0</v>
      </c>
      <c r="F3519" s="4">
        <f ca="1">(CP*(D3519-K)&gt;0)*1</f>
        <v>0</v>
      </c>
      <c r="H3519" s="4">
        <v>3504</v>
      </c>
      <c r="I3519" s="3">
        <v>0.6677002004791579</v>
      </c>
      <c r="J3519" s="128">
        <v>1.3712570307748075E-3</v>
      </c>
      <c r="K3519" s="128"/>
      <c r="L3519" s="128">
        <v>4.1000000000000002E-2</v>
      </c>
      <c r="O3519" s="2"/>
    </row>
    <row r="3520" spans="2:15" x14ac:dyDescent="0.2">
      <c r="B3520" s="1">
        <v>3505</v>
      </c>
      <c r="C3520" s="5">
        <f ca="1"/>
        <v>-1.1904100020630624</v>
      </c>
      <c r="D3520" s="5">
        <f ca="1">S0*EXP((μ-0.5*σ*σ)*T+σ*SQRT(T)*$C3520)</f>
        <v>0.59092194563470457</v>
      </c>
      <c r="E3520" s="5">
        <f ca="1">MAX(0,CP*(D3520-K))</f>
        <v>0</v>
      </c>
      <c r="F3520" s="4">
        <f ca="1">(CP*(D3520-K)&gt;0)*1</f>
        <v>0</v>
      </c>
      <c r="H3520" s="4">
        <v>3505</v>
      </c>
      <c r="I3520" s="3">
        <v>0.66770707996264322</v>
      </c>
      <c r="J3520" s="128">
        <v>1.4271227414096234E-3</v>
      </c>
      <c r="K3520" s="128"/>
      <c r="L3520" s="128">
        <v>4.02E-2</v>
      </c>
      <c r="O3520" s="2"/>
    </row>
    <row r="3521" spans="2:15" x14ac:dyDescent="0.2">
      <c r="B3521" s="1">
        <v>3506</v>
      </c>
      <c r="C3521" s="5">
        <f ca="1"/>
        <v>3.4604196159689815</v>
      </c>
      <c r="D3521" s="5">
        <f ca="1">S0*EXP((μ-0.5*σ*σ)*T+σ*SQRT(T)*$C3521)</f>
        <v>0.93467367833859505</v>
      </c>
      <c r="E3521" s="5">
        <f ca="1">MAX(0,CP*(D3521-K))</f>
        <v>0.14647367833859504</v>
      </c>
      <c r="F3521" s="4">
        <f ca="1">(CP*(D3521-K)&gt;0)*1</f>
        <v>1</v>
      </c>
      <c r="H3521" s="4">
        <v>3506</v>
      </c>
      <c r="I3521" s="3">
        <v>0.66775940680477563</v>
      </c>
      <c r="J3521" s="128">
        <v>1.3171381870056174E-3</v>
      </c>
      <c r="K3521" s="128"/>
      <c r="L3521" s="128">
        <v>4.1200000000000001E-2</v>
      </c>
      <c r="O3521" s="2"/>
    </row>
    <row r="3522" spans="2:15" x14ac:dyDescent="0.2">
      <c r="B3522" s="1">
        <v>3507</v>
      </c>
      <c r="C3522" s="5">
        <f ca="1"/>
        <v>0.57686928514982694</v>
      </c>
      <c r="D3522" s="5">
        <f ca="1">S0*EXP((μ-0.5*σ*σ)*T+σ*SQRT(T)*$C3522)</f>
        <v>0.70339283254196072</v>
      </c>
      <c r="E3522" s="5">
        <f ca="1">MAX(0,CP*(D3522-K))</f>
        <v>0</v>
      </c>
      <c r="F3522" s="4">
        <f ca="1">(CP*(D3522-K)&gt;0)*1</f>
        <v>0</v>
      </c>
      <c r="H3522" s="4">
        <v>3507</v>
      </c>
      <c r="I3522" s="3">
        <v>0.6678008633903455</v>
      </c>
      <c r="J3522" s="128">
        <v>1.5650152561728365E-3</v>
      </c>
      <c r="K3522" s="128"/>
      <c r="L3522" s="128">
        <v>4.1200000000000001E-2</v>
      </c>
      <c r="O3522" s="2"/>
    </row>
    <row r="3523" spans="2:15" x14ac:dyDescent="0.2">
      <c r="B3523" s="1">
        <v>3508</v>
      </c>
      <c r="C3523" s="5">
        <f ca="1"/>
        <v>0.88165471152187025</v>
      </c>
      <c r="D3523" s="5">
        <f ca="1">S0*EXP((μ-0.5*σ*σ)*T+σ*SQRT(T)*$C3523)</f>
        <v>0.72484914276304524</v>
      </c>
      <c r="E3523" s="5">
        <f ca="1">MAX(0,CP*(D3523-K))</f>
        <v>0</v>
      </c>
      <c r="F3523" s="4">
        <f ca="1">(CP*(D3523-K)&gt;0)*1</f>
        <v>0</v>
      </c>
      <c r="H3523" s="4">
        <v>3508</v>
      </c>
      <c r="I3523" s="3">
        <v>0.66781830160420519</v>
      </c>
      <c r="J3523" s="128">
        <v>1.3625417164591352E-3</v>
      </c>
      <c r="K3523" s="128"/>
      <c r="L3523" s="128">
        <v>4.02E-2</v>
      </c>
      <c r="O3523" s="2"/>
    </row>
    <row r="3524" spans="2:15" x14ac:dyDescent="0.2">
      <c r="B3524" s="1">
        <v>3509</v>
      </c>
      <c r="C3524" s="5">
        <f ca="1"/>
        <v>0.98317107301156736</v>
      </c>
      <c r="D3524" s="5">
        <f ca="1">S0*EXP((μ-0.5*σ*σ)*T+σ*SQRT(T)*$C3524)</f>
        <v>0.73214003145847806</v>
      </c>
      <c r="E3524" s="5">
        <f ca="1">MAX(0,CP*(D3524-K))</f>
        <v>0</v>
      </c>
      <c r="F3524" s="4">
        <f ca="1">(CP*(D3524-K)&gt;0)*1</f>
        <v>0</v>
      </c>
      <c r="H3524" s="4">
        <v>3509</v>
      </c>
      <c r="I3524" s="3">
        <v>0.66783300320779027</v>
      </c>
      <c r="J3524" s="128">
        <v>1.6214593859062265E-3</v>
      </c>
      <c r="K3524" s="128"/>
      <c r="L3524" s="128">
        <v>4.6399999999999997E-2</v>
      </c>
      <c r="O3524" s="2"/>
    </row>
    <row r="3525" spans="2:15" x14ac:dyDescent="0.2">
      <c r="B3525" s="1">
        <v>3510</v>
      </c>
      <c r="C3525" s="5">
        <f ca="1"/>
        <v>-0.77354269192704972</v>
      </c>
      <c r="D3525" s="5">
        <f ca="1">S0*EXP((μ-0.5*σ*σ)*T+σ*SQRT(T)*$C3525)</f>
        <v>0.61571354456845451</v>
      </c>
      <c r="E3525" s="5">
        <f ca="1">MAX(0,CP*(D3525-K))</f>
        <v>0</v>
      </c>
      <c r="F3525" s="4">
        <f ca="1">(CP*(D3525-K)&gt;0)*1</f>
        <v>0</v>
      </c>
      <c r="H3525" s="4">
        <v>3510</v>
      </c>
      <c r="I3525" s="3">
        <v>0.66780651302077132</v>
      </c>
      <c r="J3525" s="128">
        <v>1.4933055253399717E-3</v>
      </c>
      <c r="K3525" s="128"/>
      <c r="L3525" s="128">
        <v>4.5199999999999997E-2</v>
      </c>
      <c r="O3525" s="2"/>
    </row>
    <row r="3526" spans="2:15" x14ac:dyDescent="0.2">
      <c r="B3526" s="1">
        <v>3511</v>
      </c>
      <c r="C3526" s="5">
        <f ca="1"/>
        <v>0.9642685513888215</v>
      </c>
      <c r="D3526" s="5">
        <f ca="1">S0*EXP((μ-0.5*σ*σ)*T+σ*SQRT(T)*$C3526)</f>
        <v>0.7307769211085533</v>
      </c>
      <c r="E3526" s="5">
        <f ca="1">MAX(0,CP*(D3526-K))</f>
        <v>0</v>
      </c>
      <c r="F3526" s="4">
        <f ca="1">(CP*(D3526-K)&gt;0)*1</f>
        <v>0</v>
      </c>
      <c r="H3526" s="4">
        <v>3511</v>
      </c>
      <c r="I3526" s="3">
        <v>0.66781631200919656</v>
      </c>
      <c r="J3526" s="128">
        <v>1.2989985718999074E-3</v>
      </c>
      <c r="K3526" s="128"/>
      <c r="L3526" s="128">
        <v>4.2200000000000001E-2</v>
      </c>
      <c r="O3526" s="2"/>
    </row>
    <row r="3527" spans="2:15" x14ac:dyDescent="0.2">
      <c r="B3527" s="1">
        <v>3512</v>
      </c>
      <c r="C3527" s="5">
        <f ca="1"/>
        <v>1.3558194650457887</v>
      </c>
      <c r="D3527" s="5">
        <f ca="1">S0*EXP((μ-0.5*σ*σ)*T+σ*SQRT(T)*$C3527)</f>
        <v>0.75953792696762246</v>
      </c>
      <c r="E3527" s="5">
        <f ca="1">MAX(0,CP*(D3527-K))</f>
        <v>0</v>
      </c>
      <c r="F3527" s="4">
        <f ca="1">(CP*(D3527-K)&gt;0)*1</f>
        <v>0</v>
      </c>
      <c r="H3527" s="4">
        <v>3512</v>
      </c>
      <c r="I3527" s="3">
        <v>0.66765823381816236</v>
      </c>
      <c r="J3527" s="128">
        <v>1.3505648988201184E-3</v>
      </c>
      <c r="K3527" s="128"/>
      <c r="L3527" s="128">
        <v>4.1399999999999999E-2</v>
      </c>
      <c r="O3527" s="2"/>
    </row>
    <row r="3528" spans="2:15" x14ac:dyDescent="0.2">
      <c r="B3528" s="1">
        <v>3513</v>
      </c>
      <c r="C3528" s="5">
        <f ca="1"/>
        <v>1.2490413312984896</v>
      </c>
      <c r="D3528" s="5">
        <f ca="1">S0*EXP((μ-0.5*σ*σ)*T+σ*SQRT(T)*$C3528)</f>
        <v>0.75158421955522603</v>
      </c>
      <c r="E3528" s="5">
        <f ca="1">MAX(0,CP*(D3528-K))</f>
        <v>0</v>
      </c>
      <c r="F3528" s="4">
        <f ca="1">(CP*(D3528-K)&gt;0)*1</f>
        <v>0</v>
      </c>
      <c r="H3528" s="4">
        <v>3513</v>
      </c>
      <c r="I3528" s="3">
        <v>0.66776381406944219</v>
      </c>
      <c r="J3528" s="128">
        <v>1.3426921875515454E-3</v>
      </c>
      <c r="K3528" s="128"/>
      <c r="L3528" s="128">
        <v>4.1000000000000002E-2</v>
      </c>
      <c r="O3528" s="2"/>
    </row>
    <row r="3529" spans="2:15" x14ac:dyDescent="0.2">
      <c r="B3529" s="1">
        <v>3514</v>
      </c>
      <c r="C3529" s="5">
        <f ca="1"/>
        <v>1.6073653455481662</v>
      </c>
      <c r="D3529" s="5">
        <f ca="1">S0*EXP((μ-0.5*σ*σ)*T+σ*SQRT(T)*$C3529)</f>
        <v>0.77860941664276295</v>
      </c>
      <c r="E3529" s="5">
        <f ca="1">MAX(0,CP*(D3529-K))</f>
        <v>0</v>
      </c>
      <c r="F3529" s="4">
        <f ca="1">(CP*(D3529-K)&gt;0)*1</f>
        <v>0</v>
      </c>
      <c r="H3529" s="4">
        <v>3514</v>
      </c>
      <c r="I3529" s="3">
        <v>0.66766651581727121</v>
      </c>
      <c r="J3529" s="128">
        <v>1.1866965426527802E-3</v>
      </c>
      <c r="K3529" s="128"/>
      <c r="L3529" s="128">
        <v>4.0599999999999997E-2</v>
      </c>
      <c r="O3529" s="2"/>
    </row>
    <row r="3530" spans="2:15" x14ac:dyDescent="0.2">
      <c r="B3530" s="1">
        <v>3515</v>
      </c>
      <c r="C3530" s="5">
        <f ca="1"/>
        <v>-0.52042800173662918</v>
      </c>
      <c r="D3530" s="5">
        <f ca="1">S0*EXP((μ-0.5*σ*σ)*T+σ*SQRT(T)*$C3530)</f>
        <v>0.63127132814883502</v>
      </c>
      <c r="E3530" s="5">
        <f ca="1">MAX(0,CP*(D3530-K))</f>
        <v>0</v>
      </c>
      <c r="F3530" s="4">
        <f ca="1">(CP*(D3530-K)&gt;0)*1</f>
        <v>0</v>
      </c>
      <c r="H3530" s="4">
        <v>3515</v>
      </c>
      <c r="I3530" s="3">
        <v>0.66754992878346053</v>
      </c>
      <c r="J3530" s="128">
        <v>1.1174441417127275E-3</v>
      </c>
      <c r="K3530" s="128"/>
      <c r="L3530" s="128">
        <v>3.7199999999999997E-2</v>
      </c>
      <c r="O3530" s="2"/>
    </row>
    <row r="3531" spans="2:15" x14ac:dyDescent="0.2">
      <c r="B3531" s="1">
        <v>3516</v>
      </c>
      <c r="C3531" s="5">
        <f ca="1"/>
        <v>-1.8988015840066998</v>
      </c>
      <c r="D3531" s="5">
        <f ca="1">S0*EXP((μ-0.5*σ*σ)*T+σ*SQRT(T)*$C3531)</f>
        <v>0.55106094077169909</v>
      </c>
      <c r="E3531" s="5">
        <f ca="1">MAX(0,CP*(D3531-K))</f>
        <v>0</v>
      </c>
      <c r="F3531" s="4">
        <f ca="1">(CP*(D3531-K)&gt;0)*1</f>
        <v>0</v>
      </c>
      <c r="H3531" s="4">
        <v>3516</v>
      </c>
      <c r="I3531" s="3">
        <v>0.66770731612059786</v>
      </c>
      <c r="J3531" s="128">
        <v>1.4155932285817578E-3</v>
      </c>
      <c r="K3531" s="128"/>
      <c r="L3531" s="128">
        <v>4.0800000000000003E-2</v>
      </c>
      <c r="O3531" s="2"/>
    </row>
    <row r="3532" spans="2:15" x14ac:dyDescent="0.2">
      <c r="B3532" s="1">
        <v>3517</v>
      </c>
      <c r="C3532" s="5">
        <f ca="1"/>
        <v>-1.8083406725878068</v>
      </c>
      <c r="D3532" s="5">
        <f ca="1">S0*EXP((μ-0.5*σ*σ)*T+σ*SQRT(T)*$C3532)</f>
        <v>0.55599745434070691</v>
      </c>
      <c r="E3532" s="5">
        <f ca="1">MAX(0,CP*(D3532-K))</f>
        <v>0</v>
      </c>
      <c r="F3532" s="4">
        <f ca="1">(CP*(D3532-K)&gt;0)*1</f>
        <v>0</v>
      </c>
      <c r="H3532" s="4">
        <v>3517</v>
      </c>
      <c r="I3532" s="3">
        <v>0.66772664702468654</v>
      </c>
      <c r="J3532" s="128">
        <v>1.521266642755977E-3</v>
      </c>
      <c r="K3532" s="128"/>
      <c r="L3532" s="128">
        <v>4.1399999999999999E-2</v>
      </c>
      <c r="O3532" s="2"/>
    </row>
    <row r="3533" spans="2:15" x14ac:dyDescent="0.2">
      <c r="B3533" s="1">
        <v>3518</v>
      </c>
      <c r="C3533" s="5">
        <f ca="1"/>
        <v>0.60324530344252436</v>
      </c>
      <c r="D3533" s="5">
        <f ca="1">S0*EXP((μ-0.5*σ*σ)*T+σ*SQRT(T)*$C3533)</f>
        <v>0.70522427667175402</v>
      </c>
      <c r="E3533" s="5">
        <f ca="1">MAX(0,CP*(D3533-K))</f>
        <v>0</v>
      </c>
      <c r="F3533" s="4">
        <f ca="1">(CP*(D3533-K)&gt;0)*1</f>
        <v>0</v>
      </c>
      <c r="H3533" s="4">
        <v>3518</v>
      </c>
      <c r="I3533" s="3">
        <v>0.66770155187483937</v>
      </c>
      <c r="J3533" s="128">
        <v>1.2878949671258542E-3</v>
      </c>
      <c r="K3533" s="128"/>
      <c r="L3533" s="128">
        <v>3.8800000000000001E-2</v>
      </c>
      <c r="O3533" s="2"/>
    </row>
    <row r="3534" spans="2:15" x14ac:dyDescent="0.2">
      <c r="B3534" s="1">
        <v>3519</v>
      </c>
      <c r="C3534" s="5">
        <f ca="1"/>
        <v>-0.548428847177588</v>
      </c>
      <c r="D3534" s="5">
        <f ca="1">S0*EXP((μ-0.5*σ*σ)*T+σ*SQRT(T)*$C3534)</f>
        <v>0.62953108623178478</v>
      </c>
      <c r="E3534" s="5">
        <f ca="1">MAX(0,CP*(D3534-K))</f>
        <v>0</v>
      </c>
      <c r="F3534" s="4">
        <f ca="1">(CP*(D3534-K)&gt;0)*1</f>
        <v>0</v>
      </c>
      <c r="H3534" s="4">
        <v>3519</v>
      </c>
      <c r="I3534" s="3">
        <v>0.66775697512757037</v>
      </c>
      <c r="J3534" s="128">
        <v>1.3743984995836112E-3</v>
      </c>
      <c r="K3534" s="128"/>
      <c r="L3534" s="128">
        <v>4.3999999999999997E-2</v>
      </c>
      <c r="O3534" s="2"/>
    </row>
    <row r="3535" spans="2:15" x14ac:dyDescent="0.2">
      <c r="B3535" s="1">
        <v>3520</v>
      </c>
      <c r="C3535" s="5">
        <f ca="1"/>
        <v>-0.13971032758746477</v>
      </c>
      <c r="D3535" s="5">
        <f ca="1">S0*EXP((μ-0.5*σ*σ)*T+σ*SQRT(T)*$C3535)</f>
        <v>0.65541574492973331</v>
      </c>
      <c r="E3535" s="5">
        <f ca="1">MAX(0,CP*(D3535-K))</f>
        <v>0</v>
      </c>
      <c r="F3535" s="4">
        <f ca="1">(CP*(D3535-K)&gt;0)*1</f>
        <v>0</v>
      </c>
      <c r="H3535" s="4">
        <v>3520</v>
      </c>
      <c r="I3535" s="3">
        <v>0.66775803371220921</v>
      </c>
      <c r="J3535" s="128">
        <v>1.3728223457035995E-3</v>
      </c>
      <c r="K3535" s="128"/>
      <c r="L3535" s="128">
        <v>4.2599999999999999E-2</v>
      </c>
      <c r="O3535" s="2"/>
    </row>
    <row r="3536" spans="2:15" x14ac:dyDescent="0.2">
      <c r="B3536" s="1">
        <v>3521</v>
      </c>
      <c r="C3536" s="5">
        <f ca="1"/>
        <v>0.839686685176942</v>
      </c>
      <c r="D3536" s="5">
        <f ca="1">S0*EXP((μ-0.5*σ*σ)*T+σ*SQRT(T)*$C3536)</f>
        <v>0.72185625965946076</v>
      </c>
      <c r="E3536" s="5">
        <f ca="1">MAX(0,CP*(D3536-K))</f>
        <v>0</v>
      </c>
      <c r="F3536" s="4">
        <f ca="1">(CP*(D3536-K)&gt;0)*1</f>
        <v>0</v>
      </c>
      <c r="H3536" s="4">
        <v>3521</v>
      </c>
      <c r="I3536" s="3">
        <v>0.66770037211918731</v>
      </c>
      <c r="J3536" s="128">
        <v>1.4336245493848671E-3</v>
      </c>
      <c r="K3536" s="128"/>
      <c r="L3536" s="128">
        <v>4.1200000000000001E-2</v>
      </c>
      <c r="O3536" s="2"/>
    </row>
    <row r="3537" spans="2:15" x14ac:dyDescent="0.2">
      <c r="B3537" s="1">
        <v>3522</v>
      </c>
      <c r="C3537" s="5">
        <f ca="1"/>
        <v>-0.67261842252255388</v>
      </c>
      <c r="D3537" s="5">
        <f ca="1">S0*EXP((μ-0.5*σ*σ)*T+σ*SQRT(T)*$C3537)</f>
        <v>0.62187039240092823</v>
      </c>
      <c r="E3537" s="5">
        <f ca="1">MAX(0,CP*(D3537-K))</f>
        <v>0</v>
      </c>
      <c r="F3537" s="4">
        <f ca="1">(CP*(D3537-K)&gt;0)*1</f>
        <v>0</v>
      </c>
      <c r="H3537" s="4">
        <v>3522</v>
      </c>
      <c r="I3537" s="3">
        <v>0.6677569393710826</v>
      </c>
      <c r="J3537" s="128">
        <v>1.3143312887621565E-3</v>
      </c>
      <c r="K3537" s="128"/>
      <c r="L3537" s="128">
        <v>3.9199999999999999E-2</v>
      </c>
      <c r="O3537" s="2"/>
    </row>
    <row r="3538" spans="2:15" x14ac:dyDescent="0.2">
      <c r="B3538" s="1">
        <v>3523</v>
      </c>
      <c r="C3538" s="5">
        <f ca="1"/>
        <v>0.43741366364023221</v>
      </c>
      <c r="D3538" s="5">
        <f ca="1">S0*EXP((μ-0.5*σ*σ)*T+σ*SQRT(T)*$C3538)</f>
        <v>0.69378835733823041</v>
      </c>
      <c r="E3538" s="5">
        <f ca="1">MAX(0,CP*(D3538-K))</f>
        <v>0</v>
      </c>
      <c r="F3538" s="4">
        <f ca="1">(CP*(D3538-K)&gt;0)*1</f>
        <v>0</v>
      </c>
      <c r="H3538" s="4">
        <v>3523</v>
      </c>
      <c r="I3538" s="3">
        <v>0.6676992135698242</v>
      </c>
      <c r="J3538" s="128">
        <v>1.34297750102916E-3</v>
      </c>
      <c r="K3538" s="128"/>
      <c r="L3538" s="128">
        <v>4.0399999999999998E-2</v>
      </c>
      <c r="O3538" s="2"/>
    </row>
    <row r="3539" spans="2:15" x14ac:dyDescent="0.2">
      <c r="B3539" s="1">
        <v>3524</v>
      </c>
      <c r="C3539" s="5">
        <f ca="1"/>
        <v>0.99418559514305849</v>
      </c>
      <c r="D3539" s="5">
        <f ca="1">S0*EXP((μ-0.5*σ*σ)*T+σ*SQRT(T)*$C3539)</f>
        <v>0.73293548964211286</v>
      </c>
      <c r="E3539" s="5">
        <f ca="1">MAX(0,CP*(D3539-K))</f>
        <v>0</v>
      </c>
      <c r="F3539" s="4">
        <f ca="1">(CP*(D3539-K)&gt;0)*1</f>
        <v>0</v>
      </c>
      <c r="H3539" s="4">
        <v>3524</v>
      </c>
      <c r="I3539" s="3">
        <v>0.66776351320824168</v>
      </c>
      <c r="J3539" s="128">
        <v>1.4106404103900259E-3</v>
      </c>
      <c r="K3539" s="128"/>
      <c r="L3539" s="128">
        <v>4.4999999999999998E-2</v>
      </c>
      <c r="O3539" s="2"/>
    </row>
    <row r="3540" spans="2:15" x14ac:dyDescent="0.2">
      <c r="B3540" s="1">
        <v>3525</v>
      </c>
      <c r="C3540" s="5">
        <f ca="1"/>
        <v>1.1636217547509311</v>
      </c>
      <c r="D3540" s="5">
        <f ca="1">S0*EXP((μ-0.5*σ*σ)*T+σ*SQRT(T)*$C3540)</f>
        <v>0.74528147930967426</v>
      </c>
      <c r="E3540" s="5">
        <f ca="1">MAX(0,CP*(D3540-K))</f>
        <v>0</v>
      </c>
      <c r="F3540" s="4">
        <f ca="1">(CP*(D3540-K)&gt;0)*1</f>
        <v>0</v>
      </c>
      <c r="H3540" s="4">
        <v>3525</v>
      </c>
      <c r="I3540" s="3">
        <v>0.66784743853289663</v>
      </c>
      <c r="J3540" s="128">
        <v>1.4531593606169854E-3</v>
      </c>
      <c r="K3540" s="128"/>
      <c r="L3540" s="128">
        <v>3.9600000000000003E-2</v>
      </c>
      <c r="O3540" s="2"/>
    </row>
    <row r="3541" spans="2:15" x14ac:dyDescent="0.2">
      <c r="B3541" s="1">
        <v>3526</v>
      </c>
      <c r="C3541" s="5">
        <f ca="1"/>
        <v>-0.97244371280130226</v>
      </c>
      <c r="D3541" s="5">
        <f ca="1">S0*EXP((μ-0.5*σ*σ)*T+σ*SQRT(T)*$C3541)</f>
        <v>0.60375753302401258</v>
      </c>
      <c r="E3541" s="5">
        <f ca="1">MAX(0,CP*(D3541-K))</f>
        <v>0</v>
      </c>
      <c r="F3541" s="4">
        <f ca="1">(CP*(D3541-K)&gt;0)*1</f>
        <v>0</v>
      </c>
      <c r="H3541" s="4">
        <v>3526</v>
      </c>
      <c r="I3541" s="3">
        <v>0.66776439379911323</v>
      </c>
      <c r="J3541" s="128">
        <v>1.3888137172841709E-3</v>
      </c>
      <c r="K3541" s="128"/>
      <c r="L3541" s="128">
        <v>4.24E-2</v>
      </c>
      <c r="O3541" s="2"/>
    </row>
    <row r="3542" spans="2:15" x14ac:dyDescent="0.2">
      <c r="B3542" s="1">
        <v>3527</v>
      </c>
      <c r="C3542" s="5">
        <f ca="1"/>
        <v>-0.84836290931462133</v>
      </c>
      <c r="D3542" s="5">
        <f ca="1">S0*EXP((μ-0.5*σ*σ)*T+σ*SQRT(T)*$C3542)</f>
        <v>0.61118854411344847</v>
      </c>
      <c r="E3542" s="5">
        <f ca="1">MAX(0,CP*(D3542-K))</f>
        <v>0</v>
      </c>
      <c r="F3542" s="4">
        <f ca="1">(CP*(D3542-K)&gt;0)*1</f>
        <v>0</v>
      </c>
      <c r="H3542" s="4">
        <v>3527</v>
      </c>
      <c r="I3542" s="3">
        <v>0.66774822517061916</v>
      </c>
      <c r="J3542" s="128">
        <v>1.4038381138491839E-3</v>
      </c>
      <c r="K3542" s="128"/>
      <c r="L3542" s="128">
        <v>4.3200000000000002E-2</v>
      </c>
      <c r="O3542" s="2"/>
    </row>
    <row r="3543" spans="2:15" x14ac:dyDescent="0.2">
      <c r="B3543" s="1">
        <v>3528</v>
      </c>
      <c r="C3543" s="5">
        <f ca="1"/>
        <v>0.38279617220885032</v>
      </c>
      <c r="D3543" s="5">
        <f ca="1">S0*EXP((μ-0.5*σ*σ)*T+σ*SQRT(T)*$C3543)</f>
        <v>0.69006262414628716</v>
      </c>
      <c r="E3543" s="5">
        <f ca="1">MAX(0,CP*(D3543-K))</f>
        <v>0</v>
      </c>
      <c r="F3543" s="4">
        <f ca="1">(CP*(D3543-K)&gt;0)*1</f>
        <v>0</v>
      </c>
      <c r="H3543" s="4">
        <v>3528</v>
      </c>
      <c r="I3543" s="3">
        <v>0.66777091897311724</v>
      </c>
      <c r="J3543" s="128">
        <v>1.3832689254837519E-3</v>
      </c>
      <c r="K3543" s="128"/>
      <c r="L3543" s="128">
        <v>4.48E-2</v>
      </c>
      <c r="O3543" s="2"/>
    </row>
    <row r="3544" spans="2:15" x14ac:dyDescent="0.2">
      <c r="B3544" s="1">
        <v>3529</v>
      </c>
      <c r="C3544" s="5">
        <f ca="1"/>
        <v>0.91789384856292555</v>
      </c>
      <c r="D3544" s="5">
        <f ca="1">S0*EXP((μ-0.5*σ*σ)*T+σ*SQRT(T)*$C3544)</f>
        <v>0.72744346092377732</v>
      </c>
      <c r="E3544" s="5">
        <f ca="1">MAX(0,CP*(D3544-K))</f>
        <v>0</v>
      </c>
      <c r="F3544" s="4">
        <f ca="1">(CP*(D3544-K)&gt;0)*1</f>
        <v>0</v>
      </c>
      <c r="H3544" s="4">
        <v>3529</v>
      </c>
      <c r="I3544" s="3">
        <v>0.66782446816600582</v>
      </c>
      <c r="J3544" s="128">
        <v>1.482337507529389E-3</v>
      </c>
      <c r="K3544" s="128"/>
      <c r="L3544" s="128">
        <v>0.04</v>
      </c>
      <c r="O3544" s="2"/>
    </row>
    <row r="3545" spans="2:15" x14ac:dyDescent="0.2">
      <c r="B3545" s="1">
        <v>3530</v>
      </c>
      <c r="C3545" s="5">
        <f ca="1"/>
        <v>-0.18004069208046275</v>
      </c>
      <c r="D3545" s="5">
        <f ca="1">S0*EXP((μ-0.5*σ*σ)*T+σ*SQRT(T)*$C3545)</f>
        <v>0.65281494088746517</v>
      </c>
      <c r="E3545" s="5">
        <f ca="1">MAX(0,CP*(D3545-K))</f>
        <v>0</v>
      </c>
      <c r="F3545" s="4">
        <f ca="1">(CP*(D3545-K)&gt;0)*1</f>
        <v>0</v>
      </c>
      <c r="H3545" s="4">
        <v>3530</v>
      </c>
      <c r="I3545" s="3">
        <v>0.66772188288033485</v>
      </c>
      <c r="J3545" s="128">
        <v>1.3816947722919385E-3</v>
      </c>
      <c r="K3545" s="128"/>
      <c r="L3545" s="128">
        <v>4.2799999999999998E-2</v>
      </c>
      <c r="O3545" s="2"/>
    </row>
    <row r="3546" spans="2:15" x14ac:dyDescent="0.2">
      <c r="B3546" s="1">
        <v>3531</v>
      </c>
      <c r="C3546" s="5">
        <f ca="1"/>
        <v>-0.4700473984857057</v>
      </c>
      <c r="D3546" s="5">
        <f ca="1">S0*EXP((μ-0.5*σ*σ)*T+σ*SQRT(T)*$C3546)</f>
        <v>0.63441458696703112</v>
      </c>
      <c r="E3546" s="5">
        <f ca="1">MAX(0,CP*(D3546-K))</f>
        <v>0</v>
      </c>
      <c r="F3546" s="4">
        <f ca="1">(CP*(D3546-K)&gt;0)*1</f>
        <v>0</v>
      </c>
      <c r="H3546" s="4">
        <v>3531</v>
      </c>
      <c r="I3546" s="3">
        <v>0.66775120255772524</v>
      </c>
      <c r="J3546" s="128">
        <v>1.4775227198902236E-3</v>
      </c>
      <c r="K3546" s="128"/>
      <c r="L3546" s="128">
        <v>0.04</v>
      </c>
      <c r="O3546" s="2"/>
    </row>
    <row r="3547" spans="2:15" x14ac:dyDescent="0.2">
      <c r="B3547" s="1">
        <v>3532</v>
      </c>
      <c r="C3547" s="5">
        <f ca="1"/>
        <v>0.24857077783501061</v>
      </c>
      <c r="D3547" s="5">
        <f ca="1">S0*EXP((μ-0.5*σ*σ)*T+σ*SQRT(T)*$C3547)</f>
        <v>0.68099121852697186</v>
      </c>
      <c r="E3547" s="5">
        <f ca="1">MAX(0,CP*(D3547-K))</f>
        <v>0</v>
      </c>
      <c r="F3547" s="4">
        <f ca="1">(CP*(D3547-K)&gt;0)*1</f>
        <v>0</v>
      </c>
      <c r="H3547" s="4">
        <v>3532</v>
      </c>
      <c r="I3547" s="3">
        <v>0.66783353630291908</v>
      </c>
      <c r="J3547" s="128">
        <v>1.54907925665615E-3</v>
      </c>
      <c r="K3547" s="128"/>
      <c r="L3547" s="128">
        <v>4.3400000000000001E-2</v>
      </c>
      <c r="O3547" s="2"/>
    </row>
    <row r="3548" spans="2:15" x14ac:dyDescent="0.2">
      <c r="B3548" s="1">
        <v>3533</v>
      </c>
      <c r="C3548" s="5">
        <f ca="1"/>
        <v>-1.2393779130928824</v>
      </c>
      <c r="D3548" s="5">
        <f ca="1">S0*EXP((μ-0.5*σ*σ)*T+σ*SQRT(T)*$C3548)</f>
        <v>0.58807607251314242</v>
      </c>
      <c r="E3548" s="5">
        <f ca="1">MAX(0,CP*(D3548-K))</f>
        <v>0</v>
      </c>
      <c r="F3548" s="4">
        <f ca="1">(CP*(D3548-K)&gt;0)*1</f>
        <v>0</v>
      </c>
      <c r="H3548" s="4">
        <v>3533</v>
      </c>
      <c r="I3548" s="3">
        <v>0.66782192500227</v>
      </c>
      <c r="J3548" s="128">
        <v>1.4498021974594607E-3</v>
      </c>
      <c r="K3548" s="128"/>
      <c r="L3548" s="128">
        <v>4.7800000000000002E-2</v>
      </c>
      <c r="O3548" s="2"/>
    </row>
    <row r="3549" spans="2:15" x14ac:dyDescent="0.2">
      <c r="B3549" s="1">
        <v>3534</v>
      </c>
      <c r="C3549" s="5">
        <f ca="1"/>
        <v>-0.17933617605089278</v>
      </c>
      <c r="D3549" s="5">
        <f ca="1">S0*EXP((μ-0.5*σ*σ)*T+σ*SQRT(T)*$C3549)</f>
        <v>0.65286028467225155</v>
      </c>
      <c r="E3549" s="5">
        <f ca="1">MAX(0,CP*(D3549-K))</f>
        <v>0</v>
      </c>
      <c r="F3549" s="4">
        <f ca="1">(CP*(D3549-K)&gt;0)*1</f>
        <v>0</v>
      </c>
      <c r="H3549" s="4">
        <v>3534</v>
      </c>
      <c r="I3549" s="3">
        <v>0.66765467346652208</v>
      </c>
      <c r="J3549" s="128">
        <v>1.2512766425199977E-3</v>
      </c>
      <c r="K3549" s="128"/>
      <c r="L3549" s="128">
        <v>4.0800000000000003E-2</v>
      </c>
      <c r="O3549" s="2"/>
    </row>
    <row r="3550" spans="2:15" x14ac:dyDescent="0.2">
      <c r="B3550" s="1">
        <v>3535</v>
      </c>
      <c r="C3550" s="5">
        <f ca="1"/>
        <v>9.2684596134629246E-2</v>
      </c>
      <c r="D3550" s="5">
        <f ca="1">S0*EXP((μ-0.5*σ*σ)*T+σ*SQRT(T)*$C3550)</f>
        <v>0.67060546731999682</v>
      </c>
      <c r="E3550" s="5">
        <f ca="1">MAX(0,CP*(D3550-K))</f>
        <v>0</v>
      </c>
      <c r="F3550" s="4">
        <f ca="1">(CP*(D3550-K)&gt;0)*1</f>
        <v>0</v>
      </c>
      <c r="H3550" s="4">
        <v>3535</v>
      </c>
      <c r="I3550" s="3">
        <v>0.66761956062627026</v>
      </c>
      <c r="J3550" s="128">
        <v>1.1919539790224095E-3</v>
      </c>
      <c r="K3550" s="128"/>
      <c r="L3550" s="128">
        <v>3.8399999999999997E-2</v>
      </c>
      <c r="O3550" s="2"/>
    </row>
    <row r="3551" spans="2:15" x14ac:dyDescent="0.2">
      <c r="B3551" s="1">
        <v>3536</v>
      </c>
      <c r="C3551" s="5">
        <f ca="1"/>
        <v>-0.33367012943467228</v>
      </c>
      <c r="D3551" s="5">
        <f ca="1">S0*EXP((μ-0.5*σ*σ)*T+σ*SQRT(T)*$C3551)</f>
        <v>0.64300194767082863</v>
      </c>
      <c r="E3551" s="5">
        <f ca="1">MAX(0,CP*(D3551-K))</f>
        <v>0</v>
      </c>
      <c r="F3551" s="4">
        <f ca="1">(CP*(D3551-K)&gt;0)*1</f>
        <v>0</v>
      </c>
      <c r="H3551" s="4">
        <v>3536</v>
      </c>
      <c r="I3551" s="3">
        <v>0.66784926391798305</v>
      </c>
      <c r="J3551" s="128">
        <v>1.4945027195475277E-3</v>
      </c>
      <c r="K3551" s="128"/>
      <c r="L3551" s="128">
        <v>4.5199999999999997E-2</v>
      </c>
      <c r="O3551" s="2"/>
    </row>
    <row r="3552" spans="2:15" x14ac:dyDescent="0.2">
      <c r="B3552" s="1">
        <v>3537</v>
      </c>
      <c r="C3552" s="5">
        <f ca="1"/>
        <v>-1.2538981316387348</v>
      </c>
      <c r="D3552" s="5">
        <f ca="1">S0*EXP((μ-0.5*σ*σ)*T+σ*SQRT(T)*$C3552)</f>
        <v>0.58723483705262514</v>
      </c>
      <c r="E3552" s="5">
        <f ca="1">MAX(0,CP*(D3552-K))</f>
        <v>0</v>
      </c>
      <c r="F3552" s="4">
        <f ca="1">(CP*(D3552-K)&gt;0)*1</f>
        <v>0</v>
      </c>
      <c r="H3552" s="4">
        <v>3537</v>
      </c>
      <c r="I3552" s="3">
        <v>0.66767412257710068</v>
      </c>
      <c r="J3552" s="128">
        <v>1.1724120781819677E-3</v>
      </c>
      <c r="K3552" s="128"/>
      <c r="L3552" s="128">
        <v>3.9800000000000002E-2</v>
      </c>
      <c r="O3552" s="2"/>
    </row>
    <row r="3553" spans="2:15" x14ac:dyDescent="0.2">
      <c r="B3553" s="1">
        <v>3538</v>
      </c>
      <c r="C3553" s="5">
        <f ca="1"/>
        <v>1.2974377860776536</v>
      </c>
      <c r="D3553" s="5">
        <f ca="1">S0*EXP((μ-0.5*σ*σ)*T+σ*SQRT(T)*$C3553)</f>
        <v>0.75517880991908304</v>
      </c>
      <c r="E3553" s="5">
        <f ca="1">MAX(0,CP*(D3553-K))</f>
        <v>0</v>
      </c>
      <c r="F3553" s="4">
        <f ca="1">(CP*(D3553-K)&gt;0)*1</f>
        <v>0</v>
      </c>
      <c r="H3553" s="4">
        <v>3538</v>
      </c>
      <c r="I3553" s="3">
        <v>0.66779079433871991</v>
      </c>
      <c r="J3553" s="128">
        <v>1.48140210774978E-3</v>
      </c>
      <c r="K3553" s="128"/>
      <c r="L3553" s="128">
        <v>4.2799999999999998E-2</v>
      </c>
      <c r="O3553" s="2"/>
    </row>
    <row r="3554" spans="2:15" x14ac:dyDescent="0.2">
      <c r="B3554" s="1">
        <v>3539</v>
      </c>
      <c r="C3554" s="5">
        <f ca="1"/>
        <v>0.27626550922243576</v>
      </c>
      <c r="D3554" s="5">
        <f ca="1">S0*EXP((μ-0.5*σ*σ)*T+σ*SQRT(T)*$C3554)</f>
        <v>0.68285310592768522</v>
      </c>
      <c r="E3554" s="5">
        <f ca="1">MAX(0,CP*(D3554-K))</f>
        <v>0</v>
      </c>
      <c r="F3554" s="4">
        <f ca="1">(CP*(D3554-K)&gt;0)*1</f>
        <v>0</v>
      </c>
      <c r="H3554" s="4">
        <v>3539</v>
      </c>
      <c r="I3554" s="3">
        <v>0.66778810188432369</v>
      </c>
      <c r="J3554" s="128">
        <v>1.3913265569944397E-3</v>
      </c>
      <c r="K3554" s="128"/>
      <c r="L3554" s="128">
        <v>4.5400000000000003E-2</v>
      </c>
      <c r="O3554" s="2"/>
    </row>
    <row r="3555" spans="2:15" x14ac:dyDescent="0.2">
      <c r="B3555" s="1">
        <v>3540</v>
      </c>
      <c r="C3555" s="5">
        <f ca="1"/>
        <v>0.77540896683814065</v>
      </c>
      <c r="D3555" s="5">
        <f ca="1">S0*EXP((μ-0.5*σ*σ)*T+σ*SQRT(T)*$C3555)</f>
        <v>0.71729633602948983</v>
      </c>
      <c r="E3555" s="5">
        <f ca="1">MAX(0,CP*(D3555-K))</f>
        <v>0</v>
      </c>
      <c r="F3555" s="4">
        <f ca="1">(CP*(D3555-K)&gt;0)*1</f>
        <v>0</v>
      </c>
      <c r="H3555" s="4">
        <v>3540</v>
      </c>
      <c r="I3555" s="3">
        <v>0.6677213536805614</v>
      </c>
      <c r="J3555" s="128">
        <v>1.3921556132625856E-3</v>
      </c>
      <c r="K3555" s="128"/>
      <c r="L3555" s="128">
        <v>4.1200000000000001E-2</v>
      </c>
      <c r="O3555" s="2"/>
    </row>
    <row r="3556" spans="2:15" x14ac:dyDescent="0.2">
      <c r="B3556" s="1">
        <v>3541</v>
      </c>
      <c r="C3556" s="5">
        <f ca="1"/>
        <v>-1.3383307619510882</v>
      </c>
      <c r="D3556" s="5">
        <f ca="1">S0*EXP((μ-0.5*σ*σ)*T+σ*SQRT(T)*$C3556)</f>
        <v>0.58236698274490817</v>
      </c>
      <c r="E3556" s="5">
        <f ca="1">MAX(0,CP*(D3556-K))</f>
        <v>0</v>
      </c>
      <c r="F3556" s="4">
        <f ca="1">(CP*(D3556-K)&gt;0)*1</f>
        <v>0</v>
      </c>
      <c r="H3556" s="4">
        <v>3541</v>
      </c>
      <c r="I3556" s="3">
        <v>0.66788588843043761</v>
      </c>
      <c r="J3556" s="128">
        <v>1.5852853047640728E-3</v>
      </c>
      <c r="K3556" s="128"/>
      <c r="L3556" s="128">
        <v>4.4600000000000001E-2</v>
      </c>
      <c r="O3556" s="2"/>
    </row>
    <row r="3557" spans="2:15" x14ac:dyDescent="0.2">
      <c r="B3557" s="1">
        <v>3542</v>
      </c>
      <c r="C3557" s="5">
        <f ca="1"/>
        <v>-0.65927933391092286</v>
      </c>
      <c r="D3557" s="5">
        <f ca="1">S0*EXP((μ-0.5*σ*σ)*T+σ*SQRT(T)*$C3557)</f>
        <v>0.62268873159657567</v>
      </c>
      <c r="E3557" s="5">
        <f ca="1">MAX(0,CP*(D3557-K))</f>
        <v>0</v>
      </c>
      <c r="F3557" s="4">
        <f ca="1">(CP*(D3557-K)&gt;0)*1</f>
        <v>0</v>
      </c>
      <c r="H3557" s="4">
        <v>3542</v>
      </c>
      <c r="I3557" s="3">
        <v>0.66780166455406487</v>
      </c>
      <c r="J3557" s="128">
        <v>1.4783384555486045E-3</v>
      </c>
      <c r="K3557" s="128"/>
      <c r="L3557" s="128">
        <v>4.1799999999999997E-2</v>
      </c>
      <c r="O3557" s="2"/>
    </row>
    <row r="3558" spans="2:15" x14ac:dyDescent="0.2">
      <c r="B3558" s="1">
        <v>3543</v>
      </c>
      <c r="C3558" s="5">
        <f ca="1"/>
        <v>1.6118234428498734</v>
      </c>
      <c r="D3558" s="5">
        <f ca="1">S0*EXP((μ-0.5*σ*σ)*T+σ*SQRT(T)*$C3558)</f>
        <v>0.77895170045306927</v>
      </c>
      <c r="E3558" s="5">
        <f ca="1">MAX(0,CP*(D3558-K))</f>
        <v>0</v>
      </c>
      <c r="F3558" s="4">
        <f ca="1">(CP*(D3558-K)&gt;0)*1</f>
        <v>0</v>
      </c>
      <c r="H3558" s="4">
        <v>3543</v>
      </c>
      <c r="I3558" s="3">
        <v>0.66764122623390787</v>
      </c>
      <c r="J3558" s="128">
        <v>1.3753553486845508E-3</v>
      </c>
      <c r="K3558" s="128"/>
      <c r="L3558" s="128">
        <v>3.8800000000000001E-2</v>
      </c>
      <c r="O3558" s="2"/>
    </row>
    <row r="3559" spans="2:15" x14ac:dyDescent="0.2">
      <c r="B3559" s="1">
        <v>3544</v>
      </c>
      <c r="C3559" s="5">
        <f ca="1"/>
        <v>-0.17515410687474811</v>
      </c>
      <c r="D3559" s="5">
        <f ca="1">S0*EXP((μ-0.5*σ*σ)*T+σ*SQRT(T)*$C3559)</f>
        <v>0.65312951421627352</v>
      </c>
      <c r="E3559" s="5">
        <f ca="1">MAX(0,CP*(D3559-K))</f>
        <v>0</v>
      </c>
      <c r="F3559" s="4">
        <f ca="1">(CP*(D3559-K)&gt;0)*1</f>
        <v>0</v>
      </c>
      <c r="H3559" s="4">
        <v>3544</v>
      </c>
      <c r="I3559" s="3">
        <v>0.66786105955018737</v>
      </c>
      <c r="J3559" s="128">
        <v>1.5502140769363035E-3</v>
      </c>
      <c r="K3559" s="128"/>
      <c r="L3559" s="128">
        <v>4.5400000000000003E-2</v>
      </c>
      <c r="O3559" s="2"/>
    </row>
    <row r="3560" spans="2:15" x14ac:dyDescent="0.2">
      <c r="B3560" s="1">
        <v>3545</v>
      </c>
      <c r="C3560" s="5">
        <f ca="1"/>
        <v>-1.5699659538026021</v>
      </c>
      <c r="D3560" s="5">
        <f ca="1">S0*EXP((μ-0.5*σ*σ)*T+σ*SQRT(T)*$C3560)</f>
        <v>0.56921856184418718</v>
      </c>
      <c r="E3560" s="5">
        <f ca="1">MAX(0,CP*(D3560-K))</f>
        <v>0</v>
      </c>
      <c r="F3560" s="4">
        <f ca="1">(CP*(D3560-K)&gt;0)*1</f>
        <v>0</v>
      </c>
      <c r="H3560" s="4">
        <v>3545</v>
      </c>
      <c r="I3560" s="3">
        <v>0.66756950741669174</v>
      </c>
      <c r="J3560" s="128">
        <v>1.1825199790195108E-3</v>
      </c>
      <c r="K3560" s="128"/>
      <c r="L3560" s="128">
        <v>3.5000000000000003E-2</v>
      </c>
      <c r="O3560" s="2"/>
    </row>
    <row r="3561" spans="2:15" x14ac:dyDescent="0.2">
      <c r="B3561" s="1">
        <v>3546</v>
      </c>
      <c r="C3561" s="5">
        <f ca="1"/>
        <v>-0.53754756271981519</v>
      </c>
      <c r="D3561" s="5">
        <f ca="1">S0*EXP((μ-0.5*σ*σ)*T+σ*SQRT(T)*$C3561)</f>
        <v>0.63020678329607904</v>
      </c>
      <c r="E3561" s="5">
        <f ca="1">MAX(0,CP*(D3561-K))</f>
        <v>0</v>
      </c>
      <c r="F3561" s="4">
        <f ca="1">(CP*(D3561-K)&gt;0)*1</f>
        <v>0</v>
      </c>
      <c r="H3561" s="4">
        <v>3546</v>
      </c>
      <c r="I3561" s="3">
        <v>0.66760362103514703</v>
      </c>
      <c r="J3561" s="128">
        <v>1.2273660058911412E-3</v>
      </c>
      <c r="K3561" s="128"/>
      <c r="L3561" s="128">
        <v>3.7600000000000001E-2</v>
      </c>
      <c r="O3561" s="2"/>
    </row>
    <row r="3562" spans="2:15" x14ac:dyDescent="0.2">
      <c r="B3562" s="1">
        <v>3547</v>
      </c>
      <c r="C3562" s="5">
        <f ca="1"/>
        <v>0.27098731627106259</v>
      </c>
      <c r="D3562" s="5">
        <f ca="1">S0*EXP((μ-0.5*σ*σ)*T+σ*SQRT(T)*$C3562)</f>
        <v>0.68249786640208765</v>
      </c>
      <c r="E3562" s="5">
        <f ca="1">MAX(0,CP*(D3562-K))</f>
        <v>0</v>
      </c>
      <c r="F3562" s="4">
        <f ca="1">(CP*(D3562-K)&gt;0)*1</f>
        <v>0</v>
      </c>
      <c r="H3562" s="4">
        <v>3547</v>
      </c>
      <c r="I3562" s="3">
        <v>0.6677441640482108</v>
      </c>
      <c r="J3562" s="128">
        <v>1.2229588503474887E-3</v>
      </c>
      <c r="K3562" s="128"/>
      <c r="L3562" s="128">
        <v>3.9600000000000003E-2</v>
      </c>
      <c r="O3562" s="2"/>
    </row>
    <row r="3563" spans="2:15" x14ac:dyDescent="0.2">
      <c r="B3563" s="1">
        <v>3548</v>
      </c>
      <c r="C3563" s="5">
        <f ca="1"/>
        <v>-6.9680924051999396E-2</v>
      </c>
      <c r="D3563" s="5">
        <f ca="1">S0*EXP((μ-0.5*σ*σ)*T+σ*SQRT(T)*$C3563)</f>
        <v>0.65995640583130988</v>
      </c>
      <c r="E3563" s="5">
        <f ca="1">MAX(0,CP*(D3563-K))</f>
        <v>0</v>
      </c>
      <c r="F3563" s="4">
        <f ca="1">(CP*(D3563-K)&gt;0)*1</f>
        <v>0</v>
      </c>
      <c r="H3563" s="4">
        <v>3548</v>
      </c>
      <c r="I3563" s="3">
        <v>0.66778089095240589</v>
      </c>
      <c r="J3563" s="128">
        <v>1.3926054933383969E-3</v>
      </c>
      <c r="K3563" s="128"/>
      <c r="L3563" s="128">
        <v>4.2999999999999997E-2</v>
      </c>
      <c r="O3563" s="2"/>
    </row>
    <row r="3564" spans="2:15" x14ac:dyDescent="0.2">
      <c r="B3564" s="1">
        <v>3549</v>
      </c>
      <c r="C3564" s="5">
        <f ca="1"/>
        <v>1.0841427308253631</v>
      </c>
      <c r="D3564" s="5">
        <f ca="1">S0*EXP((μ-0.5*σ*σ)*T+σ*SQRT(T)*$C3564)</f>
        <v>0.73946454447332943</v>
      </c>
      <c r="E3564" s="5">
        <f ca="1">MAX(0,CP*(D3564-K))</f>
        <v>0</v>
      </c>
      <c r="F3564" s="4">
        <f ca="1">(CP*(D3564-K)&gt;0)*1</f>
        <v>0</v>
      </c>
      <c r="H3564" s="4">
        <v>3549</v>
      </c>
      <c r="I3564" s="3">
        <v>0.66775986676563714</v>
      </c>
      <c r="J3564" s="128">
        <v>1.3103211986214762E-3</v>
      </c>
      <c r="K3564" s="128"/>
      <c r="L3564" s="128">
        <v>4.3999999999999997E-2</v>
      </c>
      <c r="O3564" s="2"/>
    </row>
    <row r="3565" spans="2:15" x14ac:dyDescent="0.2">
      <c r="B3565" s="1">
        <v>3550</v>
      </c>
      <c r="C3565" s="5">
        <f ca="1"/>
        <v>1.3592637487293222</v>
      </c>
      <c r="D3565" s="5">
        <f ca="1">S0*EXP((μ-0.5*σ*σ)*T+σ*SQRT(T)*$C3565)</f>
        <v>0.75979588190035485</v>
      </c>
      <c r="E3565" s="5">
        <f ca="1">MAX(0,CP*(D3565-K))</f>
        <v>0</v>
      </c>
      <c r="F3565" s="4">
        <f ca="1">(CP*(D3565-K)&gt;0)*1</f>
        <v>0</v>
      </c>
      <c r="H3565" s="4">
        <v>3550</v>
      </c>
      <c r="I3565" s="3">
        <v>0.66772120941937951</v>
      </c>
      <c r="J3565" s="128">
        <v>1.4594880738921763E-3</v>
      </c>
      <c r="K3565" s="128"/>
      <c r="L3565" s="128">
        <v>3.9199999999999999E-2</v>
      </c>
      <c r="O3565" s="2"/>
    </row>
    <row r="3566" spans="2:15" x14ac:dyDescent="0.2">
      <c r="B3566" s="1">
        <v>3551</v>
      </c>
      <c r="C3566" s="5">
        <f ca="1"/>
        <v>-0.45770091311444772</v>
      </c>
      <c r="D3566" s="5">
        <f ca="1">S0*EXP((μ-0.5*σ*σ)*T+σ*SQRT(T)*$C3566)</f>
        <v>0.63518727211946424</v>
      </c>
      <c r="E3566" s="5">
        <f ca="1">MAX(0,CP*(D3566-K))</f>
        <v>0</v>
      </c>
      <c r="F3566" s="4">
        <f ca="1">(CP*(D3566-K)&gt;0)*1</f>
        <v>0</v>
      </c>
      <c r="H3566" s="4">
        <v>3551</v>
      </c>
      <c r="I3566" s="3">
        <v>0.66778441114664366</v>
      </c>
      <c r="J3566" s="128">
        <v>1.3003652597299703E-3</v>
      </c>
      <c r="K3566" s="128"/>
      <c r="L3566" s="128">
        <v>4.24E-2</v>
      </c>
      <c r="O3566" s="2"/>
    </row>
    <row r="3567" spans="2:15" x14ac:dyDescent="0.2">
      <c r="B3567" s="1">
        <v>3552</v>
      </c>
      <c r="C3567" s="5">
        <f ca="1"/>
        <v>-8.7063641000733716E-2</v>
      </c>
      <c r="D3567" s="5">
        <f ca="1">S0*EXP((μ-0.5*σ*σ)*T+σ*SQRT(T)*$C3567)</f>
        <v>0.65882639514224017</v>
      </c>
      <c r="E3567" s="5">
        <f ca="1">MAX(0,CP*(D3567-K))</f>
        <v>0</v>
      </c>
      <c r="F3567" s="4">
        <f ca="1">(CP*(D3567-K)&gt;0)*1</f>
        <v>0</v>
      </c>
      <c r="H3567" s="4">
        <v>3552</v>
      </c>
      <c r="I3567" s="3">
        <v>0.66755911727787731</v>
      </c>
      <c r="J3567" s="128">
        <v>1.1375957841157421E-3</v>
      </c>
      <c r="K3567" s="128"/>
      <c r="L3567" s="128">
        <v>3.7400000000000003E-2</v>
      </c>
      <c r="O3567" s="2"/>
    </row>
    <row r="3568" spans="2:15" x14ac:dyDescent="0.2">
      <c r="B3568" s="1">
        <v>3553</v>
      </c>
      <c r="C3568" s="5">
        <f ca="1"/>
        <v>-0.14779195924389604</v>
      </c>
      <c r="D3568" s="5">
        <f ca="1">S0*EXP((μ-0.5*σ*σ)*T+σ*SQRT(T)*$C3568)</f>
        <v>0.65489375197314403</v>
      </c>
      <c r="E3568" s="5">
        <f ca="1">MAX(0,CP*(D3568-K))</f>
        <v>0</v>
      </c>
      <c r="F3568" s="4">
        <f ca="1">(CP*(D3568-K)&gt;0)*1</f>
        <v>0</v>
      </c>
      <c r="H3568" s="4">
        <v>3553</v>
      </c>
      <c r="I3568" s="3">
        <v>0.66783142910709015</v>
      </c>
      <c r="J3568" s="128">
        <v>1.3716189847529394E-3</v>
      </c>
      <c r="K3568" s="128"/>
      <c r="L3568" s="128">
        <v>4.3999999999999997E-2</v>
      </c>
      <c r="O3568" s="2"/>
    </row>
    <row r="3569" spans="2:15" x14ac:dyDescent="0.2">
      <c r="B3569" s="1">
        <v>3554</v>
      </c>
      <c r="C3569" s="5">
        <f ca="1"/>
        <v>0.76857965991491684</v>
      </c>
      <c r="D3569" s="5">
        <f ca="1">S0*EXP((μ-0.5*σ*σ)*T+σ*SQRT(T)*$C3569)</f>
        <v>0.71681355436171623</v>
      </c>
      <c r="E3569" s="5">
        <f ca="1">MAX(0,CP*(D3569-K))</f>
        <v>0</v>
      </c>
      <c r="F3569" s="4">
        <f ca="1">(CP*(D3569-K)&gt;0)*1</f>
        <v>0</v>
      </c>
      <c r="H3569" s="4">
        <v>3554</v>
      </c>
      <c r="I3569" s="3">
        <v>0.66780538972012493</v>
      </c>
      <c r="J3569" s="128">
        <v>1.487110727439784E-3</v>
      </c>
      <c r="K3569" s="128"/>
      <c r="L3569" s="128">
        <v>4.1200000000000001E-2</v>
      </c>
      <c r="O3569" s="2"/>
    </row>
    <row r="3570" spans="2:15" x14ac:dyDescent="0.2">
      <c r="B3570" s="1">
        <v>3555</v>
      </c>
      <c r="C3570" s="5">
        <f ca="1"/>
        <v>0.88320029820099977</v>
      </c>
      <c r="D3570" s="5">
        <f ca="1">S0*EXP((μ-0.5*σ*σ)*T+σ*SQRT(T)*$C3570)</f>
        <v>0.72495960041438023</v>
      </c>
      <c r="E3570" s="5">
        <f ca="1">MAX(0,CP*(D3570-K))</f>
        <v>0</v>
      </c>
      <c r="F3570" s="4">
        <f ca="1">(CP*(D3570-K)&gt;0)*1</f>
        <v>0</v>
      </c>
      <c r="H3570" s="4">
        <v>3555</v>
      </c>
      <c r="I3570" s="3">
        <v>0.66777055908362659</v>
      </c>
      <c r="J3570" s="128">
        <v>1.469463659093408E-3</v>
      </c>
      <c r="K3570" s="128"/>
      <c r="L3570" s="128">
        <v>4.02E-2</v>
      </c>
      <c r="O3570" s="2"/>
    </row>
    <row r="3571" spans="2:15" x14ac:dyDescent="0.2">
      <c r="B3571" s="1">
        <v>3556</v>
      </c>
      <c r="C3571" s="5">
        <f ca="1"/>
        <v>-0.68564575347787693</v>
      </c>
      <c r="D3571" s="5">
        <f ca="1">S0*EXP((μ-0.5*σ*σ)*T+σ*SQRT(T)*$C3571)</f>
        <v>0.62107221727759043</v>
      </c>
      <c r="E3571" s="5">
        <f ca="1">MAX(0,CP*(D3571-K))</f>
        <v>0</v>
      </c>
      <c r="F3571" s="4">
        <f ca="1">(CP*(D3571-K)&gt;0)*1</f>
        <v>0</v>
      </c>
      <c r="H3571" s="4">
        <v>3556</v>
      </c>
      <c r="I3571" s="3">
        <v>0.66781710176812736</v>
      </c>
      <c r="J3571" s="128">
        <v>1.4959959118207064E-3</v>
      </c>
      <c r="K3571" s="128"/>
      <c r="L3571" s="128">
        <v>4.4200000000000003E-2</v>
      </c>
      <c r="O3571" s="2"/>
    </row>
    <row r="3572" spans="2:15" x14ac:dyDescent="0.2">
      <c r="B3572" s="1">
        <v>3557</v>
      </c>
      <c r="C3572" s="5">
        <f ca="1"/>
        <v>-0.49573911510324792</v>
      </c>
      <c r="D3572" s="5">
        <f ca="1">S0*EXP((μ-0.5*σ*σ)*T+σ*SQRT(T)*$C3572)</f>
        <v>0.63280972342371145</v>
      </c>
      <c r="E3572" s="5">
        <f ca="1">MAX(0,CP*(D3572-K))</f>
        <v>0</v>
      </c>
      <c r="F3572" s="4">
        <f ca="1">(CP*(D3572-K)&gt;0)*1</f>
        <v>0</v>
      </c>
      <c r="H3572" s="4">
        <v>3557</v>
      </c>
      <c r="I3572" s="3">
        <v>0.66763254331625599</v>
      </c>
      <c r="J3572" s="128">
        <v>1.3220973110527423E-3</v>
      </c>
      <c r="K3572" s="128"/>
      <c r="L3572" s="128">
        <v>3.9800000000000002E-2</v>
      </c>
      <c r="O3572" s="2"/>
    </row>
    <row r="3573" spans="2:15" x14ac:dyDescent="0.2">
      <c r="B3573" s="1">
        <v>3558</v>
      </c>
      <c r="C3573" s="5">
        <f ca="1"/>
        <v>0.42245424248810654</v>
      </c>
      <c r="D3573" s="5">
        <f ca="1">S0*EXP((μ-0.5*σ*σ)*T+σ*SQRT(T)*$C3573)</f>
        <v>0.69276590445194697</v>
      </c>
      <c r="E3573" s="5">
        <f ca="1">MAX(0,CP*(D3573-K))</f>
        <v>0</v>
      </c>
      <c r="F3573" s="4">
        <f ca="1">(CP*(D3573-K)&gt;0)*1</f>
        <v>0</v>
      </c>
      <c r="H3573" s="4">
        <v>3558</v>
      </c>
      <c r="I3573" s="3">
        <v>0.66769807972159612</v>
      </c>
      <c r="J3573" s="128">
        <v>1.1083579273627776E-3</v>
      </c>
      <c r="K3573" s="128"/>
      <c r="L3573" s="128">
        <v>3.7600000000000001E-2</v>
      </c>
      <c r="O3573" s="2"/>
    </row>
    <row r="3574" spans="2:15" x14ac:dyDescent="0.2">
      <c r="B3574" s="1">
        <v>3559</v>
      </c>
      <c r="C3574" s="5">
        <f ca="1"/>
        <v>-0.46294533744387445</v>
      </c>
      <c r="D3574" s="5">
        <f ca="1">S0*EXP((μ-0.5*σ*σ)*T+σ*SQRT(T)*$C3574)</f>
        <v>0.63485894325599679</v>
      </c>
      <c r="E3574" s="5">
        <f ca="1">MAX(0,CP*(D3574-K))</f>
        <v>0</v>
      </c>
      <c r="F3574" s="4">
        <f ca="1">(CP*(D3574-K)&gt;0)*1</f>
        <v>0</v>
      </c>
      <c r="H3574" s="4">
        <v>3559</v>
      </c>
      <c r="I3574" s="3">
        <v>0.66783910187849571</v>
      </c>
      <c r="J3574" s="128">
        <v>1.4777871235176696E-3</v>
      </c>
      <c r="K3574" s="128"/>
      <c r="L3574" s="128">
        <v>4.8000000000000001E-2</v>
      </c>
      <c r="O3574" s="2"/>
    </row>
    <row r="3575" spans="2:15" x14ac:dyDescent="0.2">
      <c r="B3575" s="1">
        <v>3560</v>
      </c>
      <c r="C3575" s="5">
        <f ca="1"/>
        <v>2.4164058517649807E-2</v>
      </c>
      <c r="D3575" s="5">
        <f ca="1">S0*EXP((μ-0.5*σ*σ)*T+σ*SQRT(T)*$C3575)</f>
        <v>0.66609061540232128</v>
      </c>
      <c r="E3575" s="5">
        <f ca="1">MAX(0,CP*(D3575-K))</f>
        <v>0</v>
      </c>
      <c r="F3575" s="4">
        <f ca="1">(CP*(D3575-K)&gt;0)*1</f>
        <v>0</v>
      </c>
      <c r="H3575" s="4">
        <v>3560</v>
      </c>
      <c r="I3575" s="3">
        <v>0.66767334165660963</v>
      </c>
      <c r="J3575" s="128">
        <v>1.2474783258646909E-3</v>
      </c>
      <c r="K3575" s="128"/>
      <c r="L3575" s="128">
        <v>4.2000000000000003E-2</v>
      </c>
      <c r="O3575" s="2"/>
    </row>
    <row r="3576" spans="2:15" x14ac:dyDescent="0.2">
      <c r="B3576" s="1">
        <v>3561</v>
      </c>
      <c r="C3576" s="5">
        <f ca="1"/>
        <v>3.3941078621440406</v>
      </c>
      <c r="D3576" s="5">
        <f ca="1">S0*EXP((μ-0.5*σ*σ)*T+σ*SQRT(T)*$C3576)</f>
        <v>0.92858317172656579</v>
      </c>
      <c r="E3576" s="5">
        <f ca="1">MAX(0,CP*(D3576-K))</f>
        <v>0.14038317172656578</v>
      </c>
      <c r="F3576" s="4">
        <f ca="1">(CP*(D3576-K)&gt;0)*1</f>
        <v>1</v>
      </c>
      <c r="H3576" s="4">
        <v>3561</v>
      </c>
      <c r="I3576" s="3">
        <v>0.66797525786638823</v>
      </c>
      <c r="J3576" s="128">
        <v>1.7505883592264333E-3</v>
      </c>
      <c r="K3576" s="128"/>
      <c r="L3576" s="128">
        <v>4.7600000000000003E-2</v>
      </c>
      <c r="O3576" s="2"/>
    </row>
    <row r="3577" spans="2:15" x14ac:dyDescent="0.2">
      <c r="B3577" s="1">
        <v>3562</v>
      </c>
      <c r="C3577" s="5">
        <f ca="1"/>
        <v>0.50229992652529509</v>
      </c>
      <c r="D3577" s="5">
        <f ca="1">S0*EXP((μ-0.5*σ*σ)*T+σ*SQRT(T)*$C3577)</f>
        <v>0.69824072802966275</v>
      </c>
      <c r="E3577" s="5">
        <f ca="1">MAX(0,CP*(D3577-K))</f>
        <v>0</v>
      </c>
      <c r="F3577" s="4">
        <f ca="1">(CP*(D3577-K)&gt;0)*1</f>
        <v>0</v>
      </c>
      <c r="H3577" s="4">
        <v>3562</v>
      </c>
      <c r="I3577" s="3">
        <v>0.66777915649592912</v>
      </c>
      <c r="J3577" s="128">
        <v>1.3570756057044494E-3</v>
      </c>
      <c r="K3577" s="128"/>
      <c r="L3577" s="128">
        <v>4.0800000000000003E-2</v>
      </c>
      <c r="O3577" s="2"/>
    </row>
    <row r="3578" spans="2:15" x14ac:dyDescent="0.2">
      <c r="B3578" s="1">
        <v>3563</v>
      </c>
      <c r="C3578" s="5">
        <f ca="1"/>
        <v>-2.1515191072516853</v>
      </c>
      <c r="D3578" s="5">
        <f ca="1">S0*EXP((μ-0.5*σ*σ)*T+σ*SQRT(T)*$C3578)</f>
        <v>0.53750100091758846</v>
      </c>
      <c r="E3578" s="5">
        <f ca="1">MAX(0,CP*(D3578-K))</f>
        <v>0</v>
      </c>
      <c r="F3578" s="4">
        <f ca="1">(CP*(D3578-K)&gt;0)*1</f>
        <v>0</v>
      </c>
      <c r="H3578" s="4">
        <v>3563</v>
      </c>
      <c r="I3578" s="3">
        <v>0.66799098770821019</v>
      </c>
      <c r="J3578" s="128">
        <v>1.6408782355527276E-3</v>
      </c>
      <c r="K3578" s="128"/>
      <c r="L3578" s="128">
        <v>4.6199999999999998E-2</v>
      </c>
      <c r="O3578" s="2"/>
    </row>
    <row r="3579" spans="2:15" x14ac:dyDescent="0.2">
      <c r="B3579" s="1">
        <v>3564</v>
      </c>
      <c r="C3579" s="5">
        <f ca="1"/>
        <v>0.4595964016366702</v>
      </c>
      <c r="D3579" s="5">
        <f ca="1">S0*EXP((μ-0.5*σ*σ)*T+σ*SQRT(T)*$C3579)</f>
        <v>0.69530729115927581</v>
      </c>
      <c r="E3579" s="5">
        <f ca="1">MAX(0,CP*(D3579-K))</f>
        <v>0</v>
      </c>
      <c r="F3579" s="4">
        <f ca="1">(CP*(D3579-K)&gt;0)*1</f>
        <v>0</v>
      </c>
      <c r="H3579" s="4">
        <v>3564</v>
      </c>
      <c r="I3579" s="3">
        <v>0.66780481288520244</v>
      </c>
      <c r="J3579" s="128">
        <v>1.5134767948134901E-3</v>
      </c>
      <c r="K3579" s="128"/>
      <c r="L3579" s="128">
        <v>3.9600000000000003E-2</v>
      </c>
      <c r="O3579" s="2"/>
    </row>
    <row r="3580" spans="2:15" x14ac:dyDescent="0.2">
      <c r="B3580" s="1">
        <v>3565</v>
      </c>
      <c r="C3580" s="5">
        <f ca="1"/>
        <v>2.2335377651717687</v>
      </c>
      <c r="D3580" s="5">
        <f ca="1">S0*EXP((μ-0.5*σ*σ)*T+σ*SQRT(T)*$C3580)</f>
        <v>0.82818974097782827</v>
      </c>
      <c r="E3580" s="5">
        <f ca="1">MAX(0,CP*(D3580-K))</f>
        <v>3.9989740977828259E-2</v>
      </c>
      <c r="F3580" s="4">
        <f ca="1">(CP*(D3580-K)&gt;0)*1</f>
        <v>1</v>
      </c>
      <c r="H3580" s="4">
        <v>3565</v>
      </c>
      <c r="I3580" s="3">
        <v>0.66765853744971404</v>
      </c>
      <c r="J3580" s="128">
        <v>1.3044265406727351E-3</v>
      </c>
      <c r="K3580" s="128"/>
      <c r="L3580" s="128">
        <v>3.8800000000000001E-2</v>
      </c>
      <c r="O3580" s="2"/>
    </row>
    <row r="3581" spans="2:15" x14ac:dyDescent="0.2">
      <c r="B3581" s="1">
        <v>3566</v>
      </c>
      <c r="C3581" s="5">
        <f ca="1"/>
        <v>2.0140142440824689</v>
      </c>
      <c r="D3581" s="5">
        <f ca="1">S0*EXP((μ-0.5*σ*σ)*T+σ*SQRT(T)*$C3581)</f>
        <v>0.81045840153454907</v>
      </c>
      <c r="E3581" s="5">
        <f ca="1">MAX(0,CP*(D3581-K))</f>
        <v>2.2258401534549055E-2</v>
      </c>
      <c r="F3581" s="4">
        <f ca="1">(CP*(D3581-K)&gt;0)*1</f>
        <v>1</v>
      </c>
      <c r="H3581" s="4">
        <v>3566</v>
      </c>
      <c r="I3581" s="3">
        <v>0.6678572848315375</v>
      </c>
      <c r="J3581" s="128">
        <v>1.5141082307808633E-3</v>
      </c>
      <c r="K3581" s="128"/>
      <c r="L3581" s="128">
        <v>4.3200000000000002E-2</v>
      </c>
      <c r="O3581" s="2"/>
    </row>
    <row r="3582" spans="2:15" x14ac:dyDescent="0.2">
      <c r="B3582" s="1">
        <v>3567</v>
      </c>
      <c r="C3582" s="5">
        <f ca="1"/>
        <v>-0.75499875571041519</v>
      </c>
      <c r="D3582" s="5">
        <f ca="1">S0*EXP((μ-0.5*σ*σ)*T+σ*SQRT(T)*$C3582)</f>
        <v>0.61684022149855244</v>
      </c>
      <c r="E3582" s="5">
        <f ca="1">MAX(0,CP*(D3582-K))</f>
        <v>0</v>
      </c>
      <c r="F3582" s="4">
        <f ca="1">(CP*(D3582-K)&gt;0)*1</f>
        <v>0</v>
      </c>
      <c r="H3582" s="4">
        <v>3567</v>
      </c>
      <c r="I3582" s="3">
        <v>0.66773194033937566</v>
      </c>
      <c r="J3582" s="128">
        <v>1.3516467152655206E-3</v>
      </c>
      <c r="K3582" s="128"/>
      <c r="L3582" s="128">
        <v>4.2999999999999997E-2</v>
      </c>
      <c r="O3582" s="2"/>
    </row>
    <row r="3583" spans="2:15" x14ac:dyDescent="0.2">
      <c r="B3583" s="1">
        <v>3568</v>
      </c>
      <c r="C3583" s="5">
        <f ca="1"/>
        <v>0.5059811672911555</v>
      </c>
      <c r="D3583" s="5">
        <f ca="1">S0*EXP((μ-0.5*σ*σ)*T+σ*SQRT(T)*$C3583)</f>
        <v>0.69849418248570017</v>
      </c>
      <c r="E3583" s="5">
        <f ca="1">MAX(0,CP*(D3583-K))</f>
        <v>0</v>
      </c>
      <c r="F3583" s="4">
        <f ca="1">(CP*(D3583-K)&gt;0)*1</f>
        <v>0</v>
      </c>
      <c r="H3583" s="4">
        <v>3568</v>
      </c>
      <c r="I3583" s="3">
        <v>0.66776530583917248</v>
      </c>
      <c r="J3583" s="128">
        <v>1.3582613704394904E-3</v>
      </c>
      <c r="K3583" s="128"/>
      <c r="L3583" s="128">
        <v>4.1000000000000002E-2</v>
      </c>
      <c r="O3583" s="2"/>
    </row>
    <row r="3584" spans="2:15" x14ac:dyDescent="0.2">
      <c r="B3584" s="1">
        <v>3569</v>
      </c>
      <c r="C3584" s="5">
        <f ca="1"/>
        <v>-0.84834935891333796</v>
      </c>
      <c r="D3584" s="5">
        <f ca="1">S0*EXP((μ-0.5*σ*σ)*T+σ*SQRT(T)*$C3584)</f>
        <v>0.61118936060063334</v>
      </c>
      <c r="E3584" s="5">
        <f ca="1">MAX(0,CP*(D3584-K))</f>
        <v>0</v>
      </c>
      <c r="F3584" s="4">
        <f ca="1">(CP*(D3584-K)&gt;0)*1</f>
        <v>0</v>
      </c>
      <c r="H3584" s="4">
        <v>3569</v>
      </c>
      <c r="I3584" s="3">
        <v>0.66778974130552382</v>
      </c>
      <c r="J3584" s="128">
        <v>1.3457656992786969E-3</v>
      </c>
      <c r="K3584" s="128"/>
      <c r="L3584" s="128">
        <v>4.1000000000000002E-2</v>
      </c>
      <c r="O3584" s="2"/>
    </row>
    <row r="3585" spans="2:15" x14ac:dyDescent="0.2">
      <c r="B3585" s="1">
        <v>3570</v>
      </c>
      <c r="C3585" s="5">
        <f ca="1"/>
        <v>-0.22645262793710877</v>
      </c>
      <c r="D3585" s="5">
        <f ca="1">S0*EXP((μ-0.5*σ*σ)*T+σ*SQRT(T)*$C3585)</f>
        <v>0.6498347211840938</v>
      </c>
      <c r="E3585" s="5">
        <f ca="1">MAX(0,CP*(D3585-K))</f>
        <v>0</v>
      </c>
      <c r="F3585" s="4">
        <f ca="1">(CP*(D3585-K)&gt;0)*1</f>
        <v>0</v>
      </c>
      <c r="H3585" s="4">
        <v>3570</v>
      </c>
      <c r="I3585" s="3">
        <v>0.66756837848881312</v>
      </c>
      <c r="J3585" s="128">
        <v>1.1080854643903575E-3</v>
      </c>
      <c r="K3585" s="128"/>
      <c r="L3585" s="128">
        <v>3.9399999999999998E-2</v>
      </c>
      <c r="O3585" s="2"/>
    </row>
    <row r="3586" spans="2:15" x14ac:dyDescent="0.2">
      <c r="B3586" s="1">
        <v>3571</v>
      </c>
      <c r="C3586" s="5">
        <f ca="1"/>
        <v>0.59071265537568163</v>
      </c>
      <c r="D3586" s="5">
        <f ca="1">S0*EXP((μ-0.5*σ*σ)*T+σ*SQRT(T)*$C3586)</f>
        <v>0.7043534663910902</v>
      </c>
      <c r="E3586" s="5">
        <f ca="1">MAX(0,CP*(D3586-K))</f>
        <v>0</v>
      </c>
      <c r="F3586" s="4">
        <f ca="1">(CP*(D3586-K)&gt;0)*1</f>
        <v>0</v>
      </c>
      <c r="H3586" s="4">
        <v>3571</v>
      </c>
      <c r="I3586" s="3">
        <v>0.66775482951878162</v>
      </c>
      <c r="J3586" s="128">
        <v>1.197960648108329E-3</v>
      </c>
      <c r="K3586" s="128"/>
      <c r="L3586" s="128">
        <v>3.9E-2</v>
      </c>
      <c r="O3586" s="2"/>
    </row>
    <row r="3587" spans="2:15" x14ac:dyDescent="0.2">
      <c r="B3587" s="1">
        <v>3572</v>
      </c>
      <c r="C3587" s="5">
        <f ca="1"/>
        <v>-0.5570220259816443</v>
      </c>
      <c r="D3587" s="5">
        <f ca="1">S0*EXP((μ-0.5*σ*σ)*T+σ*SQRT(T)*$C3587)</f>
        <v>0.62899798608788093</v>
      </c>
      <c r="E3587" s="5">
        <f ca="1">MAX(0,CP*(D3587-K))</f>
        <v>0</v>
      </c>
      <c r="F3587" s="4">
        <f ca="1">(CP*(D3587-K)&gt;0)*1</f>
        <v>0</v>
      </c>
      <c r="H3587" s="4">
        <v>3572</v>
      </c>
      <c r="I3587" s="3">
        <v>0.66768283718650634</v>
      </c>
      <c r="J3587" s="128">
        <v>1.3321467311768573E-3</v>
      </c>
      <c r="K3587" s="128"/>
      <c r="L3587" s="128">
        <v>4.2599999999999999E-2</v>
      </c>
      <c r="O3587" s="2"/>
    </row>
    <row r="3588" spans="2:15" x14ac:dyDescent="0.2">
      <c r="B3588" s="1">
        <v>3573</v>
      </c>
      <c r="C3588" s="5">
        <f ca="1"/>
        <v>-1.6456196953551381</v>
      </c>
      <c r="D3588" s="5">
        <f ca="1">S0*EXP((μ-0.5*σ*σ)*T+σ*SQRT(T)*$C3588)</f>
        <v>0.56498883231427821</v>
      </c>
      <c r="E3588" s="5">
        <f ca="1">MAX(0,CP*(D3588-K))</f>
        <v>0</v>
      </c>
      <c r="F3588" s="4">
        <f ca="1">(CP*(D3588-K)&gt;0)*1</f>
        <v>0</v>
      </c>
      <c r="H3588" s="4">
        <v>3573</v>
      </c>
      <c r="I3588" s="3">
        <v>0.66777943109926174</v>
      </c>
      <c r="J3588" s="128">
        <v>1.317185178808609E-3</v>
      </c>
      <c r="K3588" s="128"/>
      <c r="L3588" s="128">
        <v>4.3799999999999999E-2</v>
      </c>
      <c r="O3588" s="2"/>
    </row>
    <row r="3589" spans="2:15" x14ac:dyDescent="0.2">
      <c r="B3589" s="1">
        <v>3574</v>
      </c>
      <c r="C3589" s="5">
        <f ca="1"/>
        <v>0.4279477428350692</v>
      </c>
      <c r="D3589" s="5">
        <f ca="1">S0*EXP((μ-0.5*σ*σ)*T+σ*SQRT(T)*$C3589)</f>
        <v>0.6931412013648518</v>
      </c>
      <c r="E3589" s="5">
        <f ca="1">MAX(0,CP*(D3589-K))</f>
        <v>0</v>
      </c>
      <c r="F3589" s="4">
        <f ca="1">(CP*(D3589-K)&gt;0)*1</f>
        <v>0</v>
      </c>
      <c r="H3589" s="4">
        <v>3574</v>
      </c>
      <c r="I3589" s="3">
        <v>0.66777469754339136</v>
      </c>
      <c r="J3589" s="128">
        <v>1.4609645890514677E-3</v>
      </c>
      <c r="K3589" s="128"/>
      <c r="L3589" s="128">
        <v>4.6199999999999998E-2</v>
      </c>
      <c r="O3589" s="2"/>
    </row>
    <row r="3590" spans="2:15" x14ac:dyDescent="0.2">
      <c r="B3590" s="1">
        <v>3575</v>
      </c>
      <c r="C3590" s="5">
        <f ca="1"/>
        <v>0.94071586385012007</v>
      </c>
      <c r="D3590" s="5">
        <f ca="1">S0*EXP((μ-0.5*σ*σ)*T+σ*SQRT(T)*$C3590)</f>
        <v>0.72908202572763248</v>
      </c>
      <c r="E3590" s="5">
        <f ca="1">MAX(0,CP*(D3590-K))</f>
        <v>0</v>
      </c>
      <c r="F3590" s="4">
        <f ca="1">(CP*(D3590-K)&gt;0)*1</f>
        <v>0</v>
      </c>
      <c r="H3590" s="4">
        <v>3575</v>
      </c>
      <c r="I3590" s="3">
        <v>0.66772420850664016</v>
      </c>
      <c r="J3590" s="128">
        <v>1.2921785759870796E-3</v>
      </c>
      <c r="K3590" s="128"/>
      <c r="L3590" s="128">
        <v>4.36E-2</v>
      </c>
      <c r="O3590" s="2"/>
    </row>
    <row r="3591" spans="2:15" x14ac:dyDescent="0.2">
      <c r="B3591" s="1">
        <v>3576</v>
      </c>
      <c r="C3591" s="5">
        <f ca="1"/>
        <v>1.0487668949914848</v>
      </c>
      <c r="D3591" s="5">
        <f ca="1">S0*EXP((μ-0.5*σ*σ)*T+σ*SQRT(T)*$C3591)</f>
        <v>0.73689006946563751</v>
      </c>
      <c r="E3591" s="5">
        <f ca="1">MAX(0,CP*(D3591-K))</f>
        <v>0</v>
      </c>
      <c r="F3591" s="4">
        <f ca="1">(CP*(D3591-K)&gt;0)*1</f>
        <v>0</v>
      </c>
      <c r="H3591" s="4">
        <v>3576</v>
      </c>
      <c r="I3591" s="3">
        <v>0.66766452145964772</v>
      </c>
      <c r="J3591" s="128">
        <v>1.3171656189717447E-3</v>
      </c>
      <c r="K3591" s="128"/>
      <c r="L3591" s="128">
        <v>4.0599999999999997E-2</v>
      </c>
      <c r="O3591" s="2"/>
    </row>
    <row r="3592" spans="2:15" x14ac:dyDescent="0.2">
      <c r="B3592" s="1">
        <v>3577</v>
      </c>
      <c r="C3592" s="5">
        <f ca="1"/>
        <v>1.6515666249881533</v>
      </c>
      <c r="D3592" s="5">
        <f ca="1">S0*EXP((μ-0.5*σ*σ)*T+σ*SQRT(T)*$C3592)</f>
        <v>0.78200976034679004</v>
      </c>
      <c r="E3592" s="5">
        <f ca="1">MAX(0,CP*(D3592-K))</f>
        <v>0</v>
      </c>
      <c r="F3592" s="4">
        <f ca="1">(CP*(D3592-K)&gt;0)*1</f>
        <v>0</v>
      </c>
      <c r="H3592" s="4">
        <v>3577</v>
      </c>
      <c r="I3592" s="3">
        <v>0.66776984192196587</v>
      </c>
      <c r="J3592" s="128">
        <v>1.4808695195079923E-3</v>
      </c>
      <c r="K3592" s="128"/>
      <c r="L3592" s="128">
        <v>4.2200000000000001E-2</v>
      </c>
      <c r="O3592" s="2"/>
    </row>
    <row r="3593" spans="2:15" x14ac:dyDescent="0.2">
      <c r="B3593" s="1">
        <v>3578</v>
      </c>
      <c r="C3593" s="5">
        <f ca="1"/>
        <v>-0.49026561745403546</v>
      </c>
      <c r="D3593" s="5">
        <f ca="1">S0*EXP((μ-0.5*σ*σ)*T+σ*SQRT(T)*$C3593)</f>
        <v>0.63315129127052705</v>
      </c>
      <c r="E3593" s="5">
        <f ca="1">MAX(0,CP*(D3593-K))</f>
        <v>0</v>
      </c>
      <c r="F3593" s="4">
        <f ca="1">(CP*(D3593-K)&gt;0)*1</f>
        <v>0</v>
      </c>
      <c r="H3593" s="4">
        <v>3578</v>
      </c>
      <c r="I3593" s="3">
        <v>0.66770810922247248</v>
      </c>
      <c r="J3593" s="128">
        <v>1.310697800613696E-3</v>
      </c>
      <c r="K3593" s="128"/>
      <c r="L3593" s="128">
        <v>3.9800000000000002E-2</v>
      </c>
      <c r="O3593" s="2"/>
    </row>
    <row r="3594" spans="2:15" x14ac:dyDescent="0.2">
      <c r="B3594" s="1">
        <v>3579</v>
      </c>
      <c r="C3594" s="5">
        <f ca="1"/>
        <v>0.402875585219448</v>
      </c>
      <c r="D3594" s="5">
        <f ca="1">S0*EXP((μ-0.5*σ*σ)*T+σ*SQRT(T)*$C3594)</f>
        <v>0.69143001027389284</v>
      </c>
      <c r="E3594" s="5">
        <f ca="1">MAX(0,CP*(D3594-K))</f>
        <v>0</v>
      </c>
      <c r="F3594" s="4">
        <f ca="1">(CP*(D3594-K)&gt;0)*1</f>
        <v>0</v>
      </c>
      <c r="H3594" s="4">
        <v>3579</v>
      </c>
      <c r="I3594" s="3">
        <v>0.66757359153931084</v>
      </c>
      <c r="J3594" s="128">
        <v>1.1041771844215852E-3</v>
      </c>
      <c r="K3594" s="128"/>
      <c r="L3594" s="128">
        <v>3.6400000000000002E-2</v>
      </c>
      <c r="O3594" s="2"/>
    </row>
    <row r="3595" spans="2:15" x14ac:dyDescent="0.2">
      <c r="B3595" s="1">
        <v>3580</v>
      </c>
      <c r="C3595" s="5">
        <f ca="1"/>
        <v>0.23462218540807023</v>
      </c>
      <c r="D3595" s="5">
        <f ca="1">S0*EXP((μ-0.5*σ*σ)*T+σ*SQRT(T)*$C3595)</f>
        <v>0.68005539267236814</v>
      </c>
      <c r="E3595" s="5">
        <f ca="1">MAX(0,CP*(D3595-K))</f>
        <v>0</v>
      </c>
      <c r="F3595" s="4">
        <f ca="1">(CP*(D3595-K)&gt;0)*1</f>
        <v>0</v>
      </c>
      <c r="H3595" s="4">
        <v>3580</v>
      </c>
      <c r="I3595" s="3">
        <v>0.66763120748100302</v>
      </c>
      <c r="J3595" s="128">
        <v>1.1457714643292108E-3</v>
      </c>
      <c r="K3595" s="128"/>
      <c r="L3595" s="128">
        <v>3.6799999999999999E-2</v>
      </c>
      <c r="O3595" s="2"/>
    </row>
    <row r="3596" spans="2:15" x14ac:dyDescent="0.2">
      <c r="B3596" s="1">
        <v>3581</v>
      </c>
      <c r="C3596" s="5">
        <f ca="1"/>
        <v>0.25353730765208382</v>
      </c>
      <c r="D3596" s="5">
        <f ca="1">S0*EXP((μ-0.5*σ*σ)*T+σ*SQRT(T)*$C3596)</f>
        <v>0.68132473908376712</v>
      </c>
      <c r="E3596" s="5">
        <f ca="1">MAX(0,CP*(D3596-K))</f>
        <v>0</v>
      </c>
      <c r="F3596" s="4">
        <f ca="1">(CP*(D3596-K)&gt;0)*1</f>
        <v>0</v>
      </c>
      <c r="H3596" s="4">
        <v>3581</v>
      </c>
      <c r="I3596" s="3">
        <v>0.66763887429188196</v>
      </c>
      <c r="J3596" s="128">
        <v>1.2374868490853167E-3</v>
      </c>
      <c r="K3596" s="128"/>
      <c r="L3596" s="128">
        <v>4.02E-2</v>
      </c>
      <c r="O3596" s="2"/>
    </row>
    <row r="3597" spans="2:15" x14ac:dyDescent="0.2">
      <c r="B3597" s="1">
        <v>3582</v>
      </c>
      <c r="C3597" s="5">
        <f ca="1"/>
        <v>0.95920181188520059</v>
      </c>
      <c r="D3597" s="5">
        <f ca="1">S0*EXP((μ-0.5*σ*σ)*T+σ*SQRT(T)*$C3597)</f>
        <v>0.73041197674869862</v>
      </c>
      <c r="E3597" s="5">
        <f ca="1">MAX(0,CP*(D3597-K))</f>
        <v>0</v>
      </c>
      <c r="F3597" s="4">
        <f ca="1">(CP*(D3597-K)&gt;0)*1</f>
        <v>0</v>
      </c>
      <c r="H3597" s="4">
        <v>3582</v>
      </c>
      <c r="I3597" s="3">
        <v>0.66764593059258692</v>
      </c>
      <c r="J3597" s="128">
        <v>1.3810305548834067E-3</v>
      </c>
      <c r="K3597" s="128"/>
      <c r="L3597" s="128">
        <v>3.8399999999999997E-2</v>
      </c>
      <c r="O3597" s="2"/>
    </row>
    <row r="3598" spans="2:15" x14ac:dyDescent="0.2">
      <c r="B3598" s="1">
        <v>3583</v>
      </c>
      <c r="C3598" s="5">
        <f ca="1"/>
        <v>-0.77502469763547222</v>
      </c>
      <c r="D3598" s="5">
        <f ca="1">S0*EXP((μ-0.5*σ*σ)*T+σ*SQRT(T)*$C3598)</f>
        <v>0.61562359096239827</v>
      </c>
      <c r="E3598" s="5">
        <f ca="1">MAX(0,CP*(D3598-K))</f>
        <v>0</v>
      </c>
      <c r="F3598" s="4">
        <f ca="1">(CP*(D3598-K)&gt;0)*1</f>
        <v>0</v>
      </c>
      <c r="H3598" s="4">
        <v>3583</v>
      </c>
      <c r="I3598" s="3">
        <v>0.66784867505413181</v>
      </c>
      <c r="J3598" s="128">
        <v>1.543934459169271E-3</v>
      </c>
      <c r="K3598" s="128"/>
      <c r="L3598" s="128">
        <v>4.2000000000000003E-2</v>
      </c>
      <c r="O3598" s="2"/>
    </row>
    <row r="3599" spans="2:15" x14ac:dyDescent="0.2">
      <c r="B3599" s="1">
        <v>3584</v>
      </c>
      <c r="C3599" s="5">
        <f ca="1"/>
        <v>0.71840738618692546</v>
      </c>
      <c r="D3599" s="5">
        <f ca="1">S0*EXP((μ-0.5*σ*σ)*T+σ*SQRT(T)*$C3599)</f>
        <v>0.71327669275024175</v>
      </c>
      <c r="E3599" s="5">
        <f ca="1">MAX(0,CP*(D3599-K))</f>
        <v>0</v>
      </c>
      <c r="F3599" s="4">
        <f ca="1">(CP*(D3599-K)&gt;0)*1</f>
        <v>0</v>
      </c>
      <c r="H3599" s="4">
        <v>3584</v>
      </c>
      <c r="I3599" s="3">
        <v>0.66782617192616678</v>
      </c>
      <c r="J3599" s="128">
        <v>1.4550990952731722E-3</v>
      </c>
      <c r="K3599" s="128"/>
      <c r="L3599" s="128">
        <v>4.6199999999999998E-2</v>
      </c>
      <c r="O3599" s="2"/>
    </row>
    <row r="3600" spans="2:15" x14ac:dyDescent="0.2">
      <c r="B3600" s="1">
        <v>3585</v>
      </c>
      <c r="C3600" s="5">
        <f ca="1"/>
        <v>0.39254404248162306</v>
      </c>
      <c r="D3600" s="5">
        <f ca="1">S0*EXP((μ-0.5*σ*σ)*T+σ*SQRT(T)*$C3600)</f>
        <v>0.69072610541406976</v>
      </c>
      <c r="E3600" s="5">
        <f ca="1">MAX(0,CP*(D3600-K))</f>
        <v>0</v>
      </c>
      <c r="F3600" s="4">
        <f ca="1">(CP*(D3600-K)&gt;0)*1</f>
        <v>0</v>
      </c>
      <c r="H3600" s="4">
        <v>3585</v>
      </c>
      <c r="I3600" s="3">
        <v>0.66775716437136168</v>
      </c>
      <c r="J3600" s="128">
        <v>1.3485136358099587E-3</v>
      </c>
      <c r="K3600" s="128"/>
      <c r="L3600" s="128">
        <v>4.3799999999999999E-2</v>
      </c>
      <c r="O3600" s="2"/>
    </row>
    <row r="3601" spans="2:15" x14ac:dyDescent="0.2">
      <c r="B3601" s="1">
        <v>3586</v>
      </c>
      <c r="C3601" s="5">
        <f ca="1"/>
        <v>0.10380136632287351</v>
      </c>
      <c r="D3601" s="5">
        <f ca="1">S0*EXP((μ-0.5*σ*σ)*T+σ*SQRT(T)*$C3601)</f>
        <v>0.67134083653970367</v>
      </c>
      <c r="E3601" s="5">
        <f ca="1">MAX(0,CP*(D3601-K))</f>
        <v>0</v>
      </c>
      <c r="F3601" s="4">
        <f ca="1">(CP*(D3601-K)&gt;0)*1</f>
        <v>0</v>
      </c>
      <c r="H3601" s="4">
        <v>3586</v>
      </c>
      <c r="I3601" s="3">
        <v>0.66790116564655366</v>
      </c>
      <c r="J3601" s="128">
        <v>1.5627660601246532E-3</v>
      </c>
      <c r="K3601" s="128"/>
      <c r="L3601" s="128">
        <v>4.8000000000000001E-2</v>
      </c>
      <c r="O3601" s="2"/>
    </row>
    <row r="3602" spans="2:15" x14ac:dyDescent="0.2">
      <c r="B3602" s="1">
        <v>3587</v>
      </c>
      <c r="C3602" s="5">
        <f ca="1"/>
        <v>0.77320211775080339</v>
      </c>
      <c r="D3602" s="5">
        <f ca="1">S0*EXP((μ-0.5*σ*σ)*T+σ*SQRT(T)*$C3602)</f>
        <v>0.71714029251429134</v>
      </c>
      <c r="E3602" s="5">
        <f ca="1">MAX(0,CP*(D3602-K))</f>
        <v>0</v>
      </c>
      <c r="F3602" s="4">
        <f ca="1">(CP*(D3602-K)&gt;0)*1</f>
        <v>0</v>
      </c>
      <c r="H3602" s="4">
        <v>3587</v>
      </c>
      <c r="I3602" s="3">
        <v>0.66781049626207867</v>
      </c>
      <c r="J3602" s="128">
        <v>1.5917495849390149E-3</v>
      </c>
      <c r="K3602" s="128"/>
      <c r="L3602" s="128">
        <v>4.7199999999999999E-2</v>
      </c>
      <c r="O3602" s="2"/>
    </row>
    <row r="3603" spans="2:15" x14ac:dyDescent="0.2">
      <c r="B3603" s="1">
        <v>3588</v>
      </c>
      <c r="C3603" s="5">
        <f ca="1"/>
        <v>0.24704035275848119</v>
      </c>
      <c r="D3603" s="5">
        <f ca="1">S0*EXP((μ-0.5*σ*σ)*T+σ*SQRT(T)*$C3603)</f>
        <v>0.68088847782175277</v>
      </c>
      <c r="E3603" s="5">
        <f ca="1">MAX(0,CP*(D3603-K))</f>
        <v>0</v>
      </c>
      <c r="F3603" s="4">
        <f ca="1">(CP*(D3603-K)&gt;0)*1</f>
        <v>0</v>
      </c>
      <c r="H3603" s="4">
        <v>3588</v>
      </c>
      <c r="I3603" s="3">
        <v>0.66769918692378449</v>
      </c>
      <c r="J3603" s="128">
        <v>1.2637373940064837E-3</v>
      </c>
      <c r="K3603" s="128"/>
      <c r="L3603" s="128">
        <v>4.0599999999999997E-2</v>
      </c>
      <c r="O3603" s="2"/>
    </row>
    <row r="3604" spans="2:15" x14ac:dyDescent="0.2">
      <c r="B3604" s="1">
        <v>3589</v>
      </c>
      <c r="C3604" s="5">
        <f ca="1"/>
        <v>0.45422462636854016</v>
      </c>
      <c r="D3604" s="5">
        <f ca="1">S0*EXP((μ-0.5*σ*σ)*T+σ*SQRT(T)*$C3604)</f>
        <v>0.69493916104506104</v>
      </c>
      <c r="E3604" s="5">
        <f ca="1">MAX(0,CP*(D3604-K))</f>
        <v>0</v>
      </c>
      <c r="F3604" s="4">
        <f ca="1">(CP*(D3604-K)&gt;0)*1</f>
        <v>0</v>
      </c>
      <c r="H3604" s="4">
        <v>3589</v>
      </c>
      <c r="I3604" s="3">
        <v>0.66769893906707356</v>
      </c>
      <c r="J3604" s="128">
        <v>1.197914009606303E-3</v>
      </c>
      <c r="K3604" s="128"/>
      <c r="L3604" s="128">
        <v>3.9800000000000002E-2</v>
      </c>
      <c r="O3604" s="2"/>
    </row>
    <row r="3605" spans="2:15" x14ac:dyDescent="0.2">
      <c r="B3605" s="1">
        <v>3590</v>
      </c>
      <c r="C3605" s="5">
        <f ca="1"/>
        <v>1.9968767230936992</v>
      </c>
      <c r="D3605" s="5">
        <f ca="1">S0*EXP((μ-0.5*σ*σ)*T+σ*SQRT(T)*$C3605)</f>
        <v>0.80909025183131245</v>
      </c>
      <c r="E3605" s="5">
        <f ca="1">MAX(0,CP*(D3605-K))</f>
        <v>2.0890251831312434E-2</v>
      </c>
      <c r="F3605" s="4">
        <f ca="1">(CP*(D3605-K)&gt;0)*1</f>
        <v>1</v>
      </c>
      <c r="H3605" s="4">
        <v>3590</v>
      </c>
      <c r="I3605" s="3">
        <v>0.66776077863894234</v>
      </c>
      <c r="J3605" s="128">
        <v>1.3952603365628218E-3</v>
      </c>
      <c r="K3605" s="128"/>
      <c r="L3605" s="128">
        <v>4.0800000000000003E-2</v>
      </c>
      <c r="O3605" s="2"/>
    </row>
    <row r="3606" spans="2:15" x14ac:dyDescent="0.2">
      <c r="B3606" s="1">
        <v>3591</v>
      </c>
      <c r="C3606" s="5">
        <f ca="1"/>
        <v>-0.23919193574493519</v>
      </c>
      <c r="D3606" s="5">
        <f ca="1">S0*EXP((μ-0.5*σ*σ)*T+σ*SQRT(T)*$C3606)</f>
        <v>0.64901908258594998</v>
      </c>
      <c r="E3606" s="5">
        <f ca="1">MAX(0,CP*(D3606-K))</f>
        <v>0</v>
      </c>
      <c r="F3606" s="4">
        <f ca="1">(CP*(D3606-K)&gt;0)*1</f>
        <v>0</v>
      </c>
      <c r="H3606" s="4">
        <v>3591</v>
      </c>
      <c r="I3606" s="3">
        <v>0.66780921899676271</v>
      </c>
      <c r="J3606" s="128">
        <v>1.4540395539978498E-3</v>
      </c>
      <c r="K3606" s="128"/>
      <c r="L3606" s="128">
        <v>4.4999999999999998E-2</v>
      </c>
      <c r="O3606" s="2"/>
    </row>
    <row r="3607" spans="2:15" x14ac:dyDescent="0.2">
      <c r="B3607" s="1">
        <v>3592</v>
      </c>
      <c r="C3607" s="5">
        <f ca="1"/>
        <v>-0.68467158864462963</v>
      </c>
      <c r="D3607" s="5">
        <f ca="1">S0*EXP((μ-0.5*σ*σ)*T+σ*SQRT(T)*$C3607)</f>
        <v>0.62113186819475441</v>
      </c>
      <c r="E3607" s="5">
        <f ca="1">MAX(0,CP*(D3607-K))</f>
        <v>0</v>
      </c>
      <c r="F3607" s="4">
        <f ca="1">(CP*(D3607-K)&gt;0)*1</f>
        <v>0</v>
      </c>
      <c r="H3607" s="4">
        <v>3592</v>
      </c>
      <c r="I3607" s="3">
        <v>0.66779229616942137</v>
      </c>
      <c r="J3607" s="128">
        <v>1.3784621141347073E-3</v>
      </c>
      <c r="K3607" s="128"/>
      <c r="L3607" s="128">
        <v>4.2000000000000003E-2</v>
      </c>
      <c r="O3607" s="2"/>
    </row>
    <row r="3608" spans="2:15" x14ac:dyDescent="0.2">
      <c r="B3608" s="1">
        <v>3593</v>
      </c>
      <c r="C3608" s="5">
        <f ca="1"/>
        <v>0.4133452190982147</v>
      </c>
      <c r="D3608" s="5">
        <f ca="1">S0*EXP((μ-0.5*σ*σ)*T+σ*SQRT(T)*$C3608)</f>
        <v>0.69214405529268641</v>
      </c>
      <c r="E3608" s="5">
        <f ca="1">MAX(0,CP*(D3608-K))</f>
        <v>0</v>
      </c>
      <c r="F3608" s="4">
        <f ca="1">(CP*(D3608-K)&gt;0)*1</f>
        <v>0</v>
      </c>
      <c r="H3608" s="4">
        <v>3593</v>
      </c>
      <c r="I3608" s="3">
        <v>0.667729134904816</v>
      </c>
      <c r="J3608" s="128">
        <v>1.2945401884722214E-3</v>
      </c>
      <c r="K3608" s="128"/>
      <c r="L3608" s="128">
        <v>4.2999999999999997E-2</v>
      </c>
      <c r="O3608" s="2"/>
    </row>
    <row r="3609" spans="2:15" x14ac:dyDescent="0.2">
      <c r="B3609" s="1">
        <v>3594</v>
      </c>
      <c r="C3609" s="5">
        <f ca="1"/>
        <v>-0.10847182596643477</v>
      </c>
      <c r="D3609" s="5">
        <f ca="1">S0*EXP((μ-0.5*σ*σ)*T+σ*SQRT(T)*$C3609)</f>
        <v>0.65743735648136414</v>
      </c>
      <c r="E3609" s="5">
        <f ca="1">MAX(0,CP*(D3609-K))</f>
        <v>0</v>
      </c>
      <c r="F3609" s="4">
        <f ca="1">(CP*(D3609-K)&gt;0)*1</f>
        <v>0</v>
      </c>
      <c r="H3609" s="4">
        <v>3594</v>
      </c>
      <c r="I3609" s="3">
        <v>0.66774353539442211</v>
      </c>
      <c r="J3609" s="128">
        <v>1.4376233736806546E-3</v>
      </c>
      <c r="K3609" s="128"/>
      <c r="L3609" s="128">
        <v>4.3999999999999997E-2</v>
      </c>
      <c r="O3609" s="2"/>
    </row>
    <row r="3610" spans="2:15" x14ac:dyDescent="0.2">
      <c r="B3610" s="1">
        <v>3595</v>
      </c>
      <c r="C3610" s="5">
        <f ca="1"/>
        <v>-0.74062060083729075</v>
      </c>
      <c r="D3610" s="5">
        <f ca="1">S0*EXP((μ-0.5*σ*σ)*T+σ*SQRT(T)*$C3610)</f>
        <v>0.61771521616567837</v>
      </c>
      <c r="E3610" s="5">
        <f ca="1">MAX(0,CP*(D3610-K))</f>
        <v>0</v>
      </c>
      <c r="F3610" s="4">
        <f ca="1">(CP*(D3610-K)&gt;0)*1</f>
        <v>0</v>
      </c>
      <c r="H3610" s="4">
        <v>3595</v>
      </c>
      <c r="I3610" s="3">
        <v>0.66779840122213774</v>
      </c>
      <c r="J3610" s="128">
        <v>1.4284491506173422E-3</v>
      </c>
      <c r="K3610" s="128"/>
      <c r="L3610" s="128">
        <v>4.2000000000000003E-2</v>
      </c>
      <c r="O3610" s="2"/>
    </row>
    <row r="3611" spans="2:15" x14ac:dyDescent="0.2">
      <c r="B3611" s="1">
        <v>3596</v>
      </c>
      <c r="C3611" s="5">
        <f ca="1"/>
        <v>0.17131936112887913</v>
      </c>
      <c r="D3611" s="5">
        <f ca="1">S0*EXP((μ-0.5*σ*σ)*T+σ*SQRT(T)*$C3611)</f>
        <v>0.67582447461541095</v>
      </c>
      <c r="E3611" s="5">
        <f ca="1">MAX(0,CP*(D3611-K))</f>
        <v>0</v>
      </c>
      <c r="F3611" s="4">
        <f ca="1">(CP*(D3611-K)&gt;0)*1</f>
        <v>0</v>
      </c>
      <c r="H3611" s="4">
        <v>3596</v>
      </c>
      <c r="I3611" s="3">
        <v>0.66772776356369146</v>
      </c>
      <c r="J3611" s="128">
        <v>1.2481877735094815E-3</v>
      </c>
      <c r="K3611" s="128"/>
      <c r="L3611" s="128">
        <v>4.36E-2</v>
      </c>
      <c r="O3611" s="2"/>
    </row>
    <row r="3612" spans="2:15" x14ac:dyDescent="0.2">
      <c r="B3612" s="1">
        <v>3597</v>
      </c>
      <c r="C3612" s="5">
        <f ca="1"/>
        <v>2.0676862348271183</v>
      </c>
      <c r="D3612" s="5">
        <f ca="1">S0*EXP((μ-0.5*σ*σ)*T+σ*SQRT(T)*$C3612)</f>
        <v>0.81475821553725192</v>
      </c>
      <c r="E3612" s="5">
        <f ca="1">MAX(0,CP*(D3612-K))</f>
        <v>2.6558215537251906E-2</v>
      </c>
      <c r="F3612" s="4">
        <f ca="1">(CP*(D3612-K)&gt;0)*1</f>
        <v>1</v>
      </c>
      <c r="H3612" s="4">
        <v>3597</v>
      </c>
      <c r="I3612" s="3">
        <v>0.6678472995382464</v>
      </c>
      <c r="J3612" s="128">
        <v>1.3910355468245794E-3</v>
      </c>
      <c r="K3612" s="128"/>
      <c r="L3612" s="128">
        <v>4.5600000000000002E-2</v>
      </c>
      <c r="O3612" s="2"/>
    </row>
    <row r="3613" spans="2:15" x14ac:dyDescent="0.2">
      <c r="B3613" s="1">
        <v>3598</v>
      </c>
      <c r="C3613" s="5">
        <f ca="1"/>
        <v>0.69422629273755321</v>
      </c>
      <c r="D3613" s="5">
        <f ca="1">S0*EXP((μ-0.5*σ*σ)*T+σ*SQRT(T)*$C3613)</f>
        <v>0.71157830001641764</v>
      </c>
      <c r="E3613" s="5">
        <f ca="1">MAX(0,CP*(D3613-K))</f>
        <v>0</v>
      </c>
      <c r="F3613" s="4">
        <f ca="1">(CP*(D3613-K)&gt;0)*1</f>
        <v>0</v>
      </c>
      <c r="H3613" s="4">
        <v>3598</v>
      </c>
      <c r="I3613" s="3">
        <v>0.66779569575536313</v>
      </c>
      <c r="J3613" s="128">
        <v>1.4381684342147172E-3</v>
      </c>
      <c r="K3613" s="128"/>
      <c r="L3613" s="128">
        <v>4.2799999999999998E-2</v>
      </c>
      <c r="O3613" s="2"/>
    </row>
    <row r="3614" spans="2:15" x14ac:dyDescent="0.2">
      <c r="B3614" s="1">
        <v>3599</v>
      </c>
      <c r="C3614" s="5">
        <f ca="1"/>
        <v>-1.4252511750291448</v>
      </c>
      <c r="D3614" s="5">
        <f ca="1">S0*EXP((μ-0.5*σ*σ)*T+σ*SQRT(T)*$C3614)</f>
        <v>0.57739784788221371</v>
      </c>
      <c r="E3614" s="5">
        <f ca="1">MAX(0,CP*(D3614-K))</f>
        <v>0</v>
      </c>
      <c r="F3614" s="4">
        <f ca="1">(CP*(D3614-K)&gt;0)*1</f>
        <v>0</v>
      </c>
      <c r="H3614" s="4">
        <v>3599</v>
      </c>
      <c r="I3614" s="3">
        <v>0.66770464792995809</v>
      </c>
      <c r="J3614" s="128">
        <v>1.3302543278114617E-3</v>
      </c>
      <c r="K3614" s="128"/>
      <c r="L3614" s="128">
        <v>4.3400000000000001E-2</v>
      </c>
      <c r="O3614" s="2"/>
    </row>
    <row r="3615" spans="2:15" x14ac:dyDescent="0.2">
      <c r="B3615" s="1">
        <v>3600</v>
      </c>
      <c r="C3615" s="5">
        <f ca="1"/>
        <v>-1.0017312002098051</v>
      </c>
      <c r="D3615" s="5">
        <f ca="1">S0*EXP((μ-0.5*σ*σ)*T+σ*SQRT(T)*$C3615)</f>
        <v>0.60201677036418599</v>
      </c>
      <c r="E3615" s="5">
        <f ca="1">MAX(0,CP*(D3615-K))</f>
        <v>0</v>
      </c>
      <c r="F3615" s="4">
        <f ca="1">(CP*(D3615-K)&gt;0)*1</f>
        <v>0</v>
      </c>
      <c r="H3615" s="4">
        <v>3600</v>
      </c>
      <c r="I3615" s="3">
        <v>0.667800689493527</v>
      </c>
      <c r="J3615" s="128">
        <v>1.3889850606567656E-3</v>
      </c>
      <c r="K3615" s="128"/>
      <c r="L3615" s="128">
        <v>4.6199999999999998E-2</v>
      </c>
      <c r="O3615" s="2"/>
    </row>
    <row r="3616" spans="2:15" x14ac:dyDescent="0.2">
      <c r="B3616" s="1">
        <v>3601</v>
      </c>
      <c r="C3616" s="5">
        <f ca="1"/>
        <v>-0.32728644575939569</v>
      </c>
      <c r="D3616" s="5">
        <f ca="1">S0*EXP((μ-0.5*σ*σ)*T+σ*SQRT(T)*$C3616)</f>
        <v>0.64340674909959494</v>
      </c>
      <c r="E3616" s="5">
        <f ca="1">MAX(0,CP*(D3616-K))</f>
        <v>0</v>
      </c>
      <c r="F3616" s="4">
        <f ca="1">(CP*(D3616-K)&gt;0)*1</f>
        <v>0</v>
      </c>
      <c r="H3616" s="4">
        <v>3601</v>
      </c>
      <c r="I3616" s="3">
        <v>0.66757693076497804</v>
      </c>
      <c r="J3616" s="128">
        <v>1.212104765813444E-3</v>
      </c>
      <c r="K3616" s="128"/>
      <c r="L3616" s="128">
        <v>3.5200000000000002E-2</v>
      </c>
      <c r="O3616" s="2"/>
    </row>
    <row r="3617" spans="2:15" x14ac:dyDescent="0.2">
      <c r="B3617" s="1">
        <v>3602</v>
      </c>
      <c r="C3617" s="5">
        <f ca="1"/>
        <v>0.19278149536040129</v>
      </c>
      <c r="D3617" s="5">
        <f ca="1">S0*EXP((μ-0.5*σ*σ)*T+σ*SQRT(T)*$C3617)</f>
        <v>0.67725596384606646</v>
      </c>
      <c r="E3617" s="5">
        <f ca="1">MAX(0,CP*(D3617-K))</f>
        <v>0</v>
      </c>
      <c r="F3617" s="4">
        <f ca="1">(CP*(D3617-K)&gt;0)*1</f>
        <v>0</v>
      </c>
      <c r="H3617" s="4">
        <v>3602</v>
      </c>
      <c r="I3617" s="3">
        <v>0.66782839972816521</v>
      </c>
      <c r="J3617" s="128">
        <v>1.4112231917566174E-3</v>
      </c>
      <c r="K3617" s="128"/>
      <c r="L3617" s="128">
        <v>4.5199999999999997E-2</v>
      </c>
      <c r="O3617" s="2"/>
    </row>
    <row r="3618" spans="2:15" x14ac:dyDescent="0.2">
      <c r="B3618" s="1">
        <v>3603</v>
      </c>
      <c r="C3618" s="5">
        <f ca="1"/>
        <v>3.9771160026757547E-2</v>
      </c>
      <c r="D3618" s="5">
        <f ca="1">S0*EXP((μ-0.5*σ*σ)*T+σ*SQRT(T)*$C3618)</f>
        <v>0.66711629437010178</v>
      </c>
      <c r="E3618" s="5">
        <f ca="1">MAX(0,CP*(D3618-K))</f>
        <v>0</v>
      </c>
      <c r="F3618" s="4">
        <f ca="1">(CP*(D3618-K)&gt;0)*1</f>
        <v>0</v>
      </c>
      <c r="H3618" s="4">
        <v>3603</v>
      </c>
      <c r="I3618" s="3">
        <v>0.66772417107059745</v>
      </c>
      <c r="J3618" s="128">
        <v>1.3538912583927261E-3</v>
      </c>
      <c r="K3618" s="128"/>
      <c r="L3618" s="128">
        <v>4.3200000000000002E-2</v>
      </c>
      <c r="O3618" s="2"/>
    </row>
    <row r="3619" spans="2:15" x14ac:dyDescent="0.2">
      <c r="B3619" s="1">
        <v>3604</v>
      </c>
      <c r="C3619" s="5">
        <f ca="1"/>
        <v>-0.77166211908096782</v>
      </c>
      <c r="D3619" s="5">
        <f ca="1">S0*EXP((μ-0.5*σ*σ)*T+σ*SQRT(T)*$C3619)</f>
        <v>0.6158277090079578</v>
      </c>
      <c r="E3619" s="5">
        <f ca="1">MAX(0,CP*(D3619-K))</f>
        <v>0</v>
      </c>
      <c r="F3619" s="4">
        <f ca="1">(CP*(D3619-K)&gt;0)*1</f>
        <v>0</v>
      </c>
      <c r="H3619" s="4">
        <v>3604</v>
      </c>
      <c r="I3619" s="3">
        <v>0.66772674384153352</v>
      </c>
      <c r="J3619" s="128">
        <v>1.4184664650059228E-3</v>
      </c>
      <c r="K3619" s="128"/>
      <c r="L3619" s="128">
        <v>3.8600000000000002E-2</v>
      </c>
      <c r="O3619" s="2"/>
    </row>
    <row r="3620" spans="2:15" x14ac:dyDescent="0.2">
      <c r="B3620" s="1">
        <v>3605</v>
      </c>
      <c r="C3620" s="5">
        <f ca="1"/>
        <v>-1.7760424444697371</v>
      </c>
      <c r="D3620" s="5">
        <f ca="1">S0*EXP((μ-0.5*σ*σ)*T+σ*SQRT(T)*$C3620)</f>
        <v>0.55777068342166858</v>
      </c>
      <c r="E3620" s="5">
        <f ca="1">MAX(0,CP*(D3620-K))</f>
        <v>0</v>
      </c>
      <c r="F3620" s="4">
        <f ca="1">(CP*(D3620-K)&gt;0)*1</f>
        <v>0</v>
      </c>
      <c r="H3620" s="4">
        <v>3605</v>
      </c>
      <c r="I3620" s="3">
        <v>0.66766623172841244</v>
      </c>
      <c r="J3620" s="128">
        <v>1.2795816860256359E-3</v>
      </c>
      <c r="K3620" s="128"/>
      <c r="L3620" s="128">
        <v>4.0800000000000003E-2</v>
      </c>
      <c r="O3620" s="2"/>
    </row>
    <row r="3621" spans="2:15" x14ac:dyDescent="0.2">
      <c r="B3621" s="1">
        <v>3606</v>
      </c>
      <c r="C3621" s="5">
        <f ca="1"/>
        <v>2.0560867621683996</v>
      </c>
      <c r="D3621" s="5">
        <f ca="1">S0*EXP((μ-0.5*σ*σ)*T+σ*SQRT(T)*$C3621)</f>
        <v>0.8138270210063453</v>
      </c>
      <c r="E3621" s="5">
        <f ca="1">MAX(0,CP*(D3621-K))</f>
        <v>2.5627021006345285E-2</v>
      </c>
      <c r="F3621" s="4">
        <f ca="1">(CP*(D3621-K)&gt;0)*1</f>
        <v>1</v>
      </c>
      <c r="H3621" s="4">
        <v>3606</v>
      </c>
      <c r="I3621" s="3">
        <v>0.66791204013797045</v>
      </c>
      <c r="J3621" s="128">
        <v>1.4431408416187646E-3</v>
      </c>
      <c r="K3621" s="128"/>
      <c r="L3621" s="128">
        <v>4.4600000000000001E-2</v>
      </c>
      <c r="O3621" s="2"/>
    </row>
    <row r="3622" spans="2:15" x14ac:dyDescent="0.2">
      <c r="B3622" s="1">
        <v>3607</v>
      </c>
      <c r="C3622" s="5">
        <f ca="1"/>
        <v>0.52951833407524918</v>
      </c>
      <c r="D3622" s="5">
        <f ca="1">S0*EXP((μ-0.5*σ*σ)*T+σ*SQRT(T)*$C3622)</f>
        <v>0.70011689908870189</v>
      </c>
      <c r="E3622" s="5">
        <f ca="1">MAX(0,CP*(D3622-K))</f>
        <v>0</v>
      </c>
      <c r="F3622" s="4">
        <f ca="1">(CP*(D3622-K)&gt;0)*1</f>
        <v>0</v>
      </c>
      <c r="H3622" s="4">
        <v>3607</v>
      </c>
      <c r="I3622" s="3">
        <v>0.66767628579564908</v>
      </c>
      <c r="J3622" s="128">
        <v>1.2973215850923601E-3</v>
      </c>
      <c r="K3622" s="128"/>
      <c r="L3622" s="128">
        <v>3.9800000000000002E-2</v>
      </c>
      <c r="O3622" s="2"/>
    </row>
    <row r="3623" spans="2:15" x14ac:dyDescent="0.2">
      <c r="B3623" s="1">
        <v>3608</v>
      </c>
      <c r="C3623" s="5">
        <f ca="1"/>
        <v>-0.48167674066020427</v>
      </c>
      <c r="D3623" s="5">
        <f ca="1">S0*EXP((μ-0.5*σ*σ)*T+σ*SQRT(T)*$C3623)</f>
        <v>0.63368764273897538</v>
      </c>
      <c r="E3623" s="5">
        <f ca="1">MAX(0,CP*(D3623-K))</f>
        <v>0</v>
      </c>
      <c r="F3623" s="4">
        <f ca="1">(CP*(D3623-K)&gt;0)*1</f>
        <v>0</v>
      </c>
      <c r="H3623" s="4">
        <v>3608</v>
      </c>
      <c r="I3623" s="3">
        <v>0.66795831639591219</v>
      </c>
      <c r="J3623" s="128">
        <v>1.6281989885340309E-3</v>
      </c>
      <c r="K3623" s="128"/>
      <c r="L3623" s="128">
        <v>4.7800000000000002E-2</v>
      </c>
      <c r="O3623" s="2"/>
    </row>
    <row r="3624" spans="2:15" x14ac:dyDescent="0.2">
      <c r="B3624" s="1">
        <v>3609</v>
      </c>
      <c r="C3624" s="5">
        <f ca="1"/>
        <v>-1.1255872201219339</v>
      </c>
      <c r="D3624" s="5">
        <f ca="1">S0*EXP((μ-0.5*σ*σ)*T+σ*SQRT(T)*$C3624)</f>
        <v>0.59471045155213687</v>
      </c>
      <c r="E3624" s="5">
        <f ca="1">MAX(0,CP*(D3624-K))</f>
        <v>0</v>
      </c>
      <c r="F3624" s="4">
        <f ca="1">(CP*(D3624-K)&gt;0)*1</f>
        <v>0</v>
      </c>
      <c r="H3624" s="4">
        <v>3609</v>
      </c>
      <c r="I3624" s="3">
        <v>0.66774695794376604</v>
      </c>
      <c r="J3624" s="128">
        <v>1.5292805721514023E-3</v>
      </c>
      <c r="K3624" s="128"/>
      <c r="L3624" s="128">
        <v>4.1799999999999997E-2</v>
      </c>
      <c r="O3624" s="2"/>
    </row>
    <row r="3625" spans="2:15" x14ac:dyDescent="0.2">
      <c r="B3625" s="1">
        <v>3610</v>
      </c>
      <c r="C3625" s="5">
        <f ca="1"/>
        <v>2.8418125687262454E-2</v>
      </c>
      <c r="D3625" s="5">
        <f ca="1">S0*EXP((μ-0.5*σ*σ)*T+σ*SQRT(T)*$C3625)</f>
        <v>0.66637003087565816</v>
      </c>
      <c r="E3625" s="5">
        <f ca="1">MAX(0,CP*(D3625-K))</f>
        <v>0</v>
      </c>
      <c r="F3625" s="4">
        <f ca="1">(CP*(D3625-K)&gt;0)*1</f>
        <v>0</v>
      </c>
      <c r="H3625" s="4">
        <v>3610</v>
      </c>
      <c r="I3625" s="3">
        <v>0.66782670369027319</v>
      </c>
      <c r="J3625" s="128">
        <v>1.4537147697878635E-3</v>
      </c>
      <c r="K3625" s="128"/>
      <c r="L3625" s="128">
        <v>4.0800000000000003E-2</v>
      </c>
      <c r="O3625" s="2"/>
    </row>
    <row r="3626" spans="2:15" x14ac:dyDescent="0.2">
      <c r="B3626" s="1">
        <v>3611</v>
      </c>
      <c r="C3626" s="5">
        <f ca="1"/>
        <v>-0.61118538079112306</v>
      </c>
      <c r="D3626" s="5">
        <f ca="1">S0*EXP((μ-0.5*σ*σ)*T+σ*SQRT(T)*$C3626)</f>
        <v>0.62564819657443305</v>
      </c>
      <c r="E3626" s="5">
        <f ca="1">MAX(0,CP*(D3626-K))</f>
        <v>0</v>
      </c>
      <c r="F3626" s="4">
        <f ca="1">(CP*(D3626-K)&gt;0)*1</f>
        <v>0</v>
      </c>
      <c r="H3626" s="4">
        <v>3611</v>
      </c>
      <c r="I3626" s="3">
        <v>0.66771091772524682</v>
      </c>
      <c r="J3626" s="128">
        <v>1.3438777313167889E-3</v>
      </c>
      <c r="K3626" s="128"/>
      <c r="L3626" s="128">
        <v>3.7600000000000001E-2</v>
      </c>
      <c r="O3626" s="2"/>
    </row>
    <row r="3627" spans="2:15" x14ac:dyDescent="0.2">
      <c r="B3627" s="1">
        <v>3612</v>
      </c>
      <c r="C3627" s="5">
        <f ca="1"/>
        <v>0.14192774391251423</v>
      </c>
      <c r="D3627" s="5">
        <f ca="1">S0*EXP((μ-0.5*σ*σ)*T+σ*SQRT(T)*$C3627)</f>
        <v>0.67386900957887896</v>
      </c>
      <c r="E3627" s="5">
        <f ca="1">MAX(0,CP*(D3627-K))</f>
        <v>0</v>
      </c>
      <c r="F3627" s="4">
        <f ca="1">(CP*(D3627-K)&gt;0)*1</f>
        <v>0</v>
      </c>
      <c r="H3627" s="4">
        <v>3612</v>
      </c>
      <c r="I3627" s="3">
        <v>0.66793604556010489</v>
      </c>
      <c r="J3627" s="128">
        <v>1.5940097552044632E-3</v>
      </c>
      <c r="K3627" s="128"/>
      <c r="L3627" s="128">
        <v>4.58E-2</v>
      </c>
      <c r="O3627" s="2"/>
    </row>
    <row r="3628" spans="2:15" x14ac:dyDescent="0.2">
      <c r="B3628" s="1">
        <v>3613</v>
      </c>
      <c r="C3628" s="5">
        <f ca="1"/>
        <v>-7.7783499015445789E-2</v>
      </c>
      <c r="D3628" s="5">
        <f ca="1">S0*EXP((μ-0.5*σ*σ)*T+σ*SQRT(T)*$C3628)</f>
        <v>0.65942943499802908</v>
      </c>
      <c r="E3628" s="5">
        <f ca="1">MAX(0,CP*(D3628-K))</f>
        <v>0</v>
      </c>
      <c r="F3628" s="4">
        <f ca="1">(CP*(D3628-K)&gt;0)*1</f>
        <v>0</v>
      </c>
      <c r="H3628" s="4">
        <v>3613</v>
      </c>
      <c r="I3628" s="3">
        <v>0.66768213946536947</v>
      </c>
      <c r="J3628" s="128">
        <v>1.3393237740142361E-3</v>
      </c>
      <c r="K3628" s="128"/>
      <c r="L3628" s="128">
        <v>4.1399999999999999E-2</v>
      </c>
      <c r="O3628" s="2"/>
    </row>
    <row r="3629" spans="2:15" x14ac:dyDescent="0.2">
      <c r="B3629" s="1">
        <v>3614</v>
      </c>
      <c r="C3629" s="5">
        <f ca="1"/>
        <v>0.97081139673279704</v>
      </c>
      <c r="D3629" s="5">
        <f ca="1">S0*EXP((μ-0.5*σ*σ)*T+σ*SQRT(T)*$C3629)</f>
        <v>0.73124845539342176</v>
      </c>
      <c r="E3629" s="5">
        <f ca="1">MAX(0,CP*(D3629-K))</f>
        <v>0</v>
      </c>
      <c r="F3629" s="4">
        <f ca="1">(CP*(D3629-K)&gt;0)*1</f>
        <v>0</v>
      </c>
      <c r="H3629" s="4">
        <v>3614</v>
      </c>
      <c r="I3629" s="3">
        <v>0.66767876763009382</v>
      </c>
      <c r="J3629" s="128">
        <v>1.304184821195913E-3</v>
      </c>
      <c r="K3629" s="128"/>
      <c r="L3629" s="128">
        <v>4.3200000000000002E-2</v>
      </c>
      <c r="O3629" s="2"/>
    </row>
    <row r="3630" spans="2:15" x14ac:dyDescent="0.2">
      <c r="B3630" s="1">
        <v>3615</v>
      </c>
      <c r="C3630" s="5">
        <f ca="1"/>
        <v>0.94983227010352078</v>
      </c>
      <c r="D3630" s="5">
        <f ca="1">S0*EXP((μ-0.5*σ*σ)*T+σ*SQRT(T)*$C3630)</f>
        <v>0.72973759254227977</v>
      </c>
      <c r="E3630" s="5">
        <f ca="1">MAX(0,CP*(D3630-K))</f>
        <v>0</v>
      </c>
      <c r="F3630" s="4">
        <f ca="1">(CP*(D3630-K)&gt;0)*1</f>
        <v>0</v>
      </c>
      <c r="H3630" s="4">
        <v>3615</v>
      </c>
      <c r="I3630" s="3">
        <v>0.66763563568347084</v>
      </c>
      <c r="J3630" s="128">
        <v>1.2379742304135823E-3</v>
      </c>
      <c r="K3630" s="128"/>
      <c r="L3630" s="128">
        <v>3.8399999999999997E-2</v>
      </c>
      <c r="O3630" s="2"/>
    </row>
    <row r="3631" spans="2:15" x14ac:dyDescent="0.2">
      <c r="B3631" s="1">
        <v>3616</v>
      </c>
      <c r="C3631" s="5">
        <f ca="1"/>
        <v>-1.461821279641371</v>
      </c>
      <c r="D3631" s="5">
        <f ca="1">S0*EXP((μ-0.5*σ*σ)*T+σ*SQRT(T)*$C3631)</f>
        <v>0.57531987236409199</v>
      </c>
      <c r="E3631" s="5">
        <f ca="1">MAX(0,CP*(D3631-K))</f>
        <v>0</v>
      </c>
      <c r="F3631" s="4">
        <f ca="1">(CP*(D3631-K)&gt;0)*1</f>
        <v>0</v>
      </c>
      <c r="H3631" s="4">
        <v>3616</v>
      </c>
      <c r="I3631" s="3">
        <v>0.66753067734721538</v>
      </c>
      <c r="J3631" s="128">
        <v>1.1040336219399463E-3</v>
      </c>
      <c r="K3631" s="128"/>
      <c r="L3631" s="128">
        <v>3.6799999999999999E-2</v>
      </c>
      <c r="O3631" s="2"/>
    </row>
    <row r="3632" spans="2:15" x14ac:dyDescent="0.2">
      <c r="B3632" s="1">
        <v>3617</v>
      </c>
      <c r="C3632" s="5">
        <f ca="1"/>
        <v>8.2685887949057027E-2</v>
      </c>
      <c r="D3632" s="5">
        <f ca="1">S0*EXP((μ-0.5*σ*σ)*T+σ*SQRT(T)*$C3632)</f>
        <v>0.66994474546982341</v>
      </c>
      <c r="E3632" s="5">
        <f ca="1">MAX(0,CP*(D3632-K))</f>
        <v>0</v>
      </c>
      <c r="F3632" s="4">
        <f ca="1">(CP*(D3632-K)&gt;0)*1</f>
        <v>0</v>
      </c>
      <c r="H3632" s="4">
        <v>3617</v>
      </c>
      <c r="I3632" s="3">
        <v>0.66774966862367247</v>
      </c>
      <c r="J3632" s="128">
        <v>1.2341414784548307E-3</v>
      </c>
      <c r="K3632" s="128"/>
      <c r="L3632" s="128">
        <v>4.1200000000000001E-2</v>
      </c>
      <c r="O3632" s="2"/>
    </row>
    <row r="3633" spans="2:15" x14ac:dyDescent="0.2">
      <c r="B3633" s="1">
        <v>3618</v>
      </c>
      <c r="C3633" s="5">
        <f ca="1"/>
        <v>0.20405106586437935</v>
      </c>
      <c r="D3633" s="5">
        <f ca="1">S0*EXP((μ-0.5*σ*σ)*T+σ*SQRT(T)*$C3633)</f>
        <v>0.67800883941575119</v>
      </c>
      <c r="E3633" s="5">
        <f ca="1">MAX(0,CP*(D3633-K))</f>
        <v>0</v>
      </c>
      <c r="F3633" s="4">
        <f ca="1">(CP*(D3633-K)&gt;0)*1</f>
        <v>0</v>
      </c>
      <c r="H3633" s="4">
        <v>3618</v>
      </c>
      <c r="I3633" s="3">
        <v>0.66763730068438332</v>
      </c>
      <c r="J3633" s="128">
        <v>1.2765014714205135E-3</v>
      </c>
      <c r="K3633" s="128"/>
      <c r="L3633" s="128">
        <v>0.04</v>
      </c>
      <c r="O3633" s="2"/>
    </row>
    <row r="3634" spans="2:15" x14ac:dyDescent="0.2">
      <c r="B3634" s="1">
        <v>3619</v>
      </c>
      <c r="C3634" s="5">
        <f ca="1"/>
        <v>0.13894558883211289</v>
      </c>
      <c r="D3634" s="5">
        <f ca="1">S0*EXP((μ-0.5*σ*σ)*T+σ*SQRT(T)*$C3634)</f>
        <v>0.673670919106095</v>
      </c>
      <c r="E3634" s="5">
        <f ca="1">MAX(0,CP*(D3634-K))</f>
        <v>0</v>
      </c>
      <c r="F3634" s="4">
        <f ca="1">(CP*(D3634-K)&gt;0)*1</f>
        <v>0</v>
      </c>
      <c r="H3634" s="4">
        <v>3619</v>
      </c>
      <c r="I3634" s="3">
        <v>0.6676453707195743</v>
      </c>
      <c r="J3634" s="128">
        <v>1.2644693703750061E-3</v>
      </c>
      <c r="K3634" s="128"/>
      <c r="L3634" s="128">
        <v>3.9E-2</v>
      </c>
      <c r="O3634" s="2"/>
    </row>
    <row r="3635" spans="2:15" x14ac:dyDescent="0.2">
      <c r="B3635" s="1">
        <v>3620</v>
      </c>
      <c r="C3635" s="5">
        <f ca="1"/>
        <v>0.80903315856471936</v>
      </c>
      <c r="D3635" s="5">
        <f ca="1">S0*EXP((μ-0.5*σ*σ)*T+σ*SQRT(T)*$C3635)</f>
        <v>0.71967806430084347</v>
      </c>
      <c r="E3635" s="5">
        <f ca="1">MAX(0,CP*(D3635-K))</f>
        <v>0</v>
      </c>
      <c r="F3635" s="4">
        <f ca="1">(CP*(D3635-K)&gt;0)*1</f>
        <v>0</v>
      </c>
      <c r="H3635" s="4">
        <v>3620</v>
      </c>
      <c r="I3635" s="3">
        <v>0.66767445474137455</v>
      </c>
      <c r="J3635" s="128">
        <v>1.2391164927615926E-3</v>
      </c>
      <c r="K3635" s="128"/>
      <c r="L3635" s="128">
        <v>4.0800000000000003E-2</v>
      </c>
      <c r="O3635" s="2"/>
    </row>
    <row r="3636" spans="2:15" x14ac:dyDescent="0.2">
      <c r="B3636" s="1">
        <v>3621</v>
      </c>
      <c r="C3636" s="5">
        <f ca="1"/>
        <v>1.0782606853097212</v>
      </c>
      <c r="D3636" s="5">
        <f ca="1">S0*EXP((μ-0.5*σ*σ)*T+σ*SQRT(T)*$C3636)</f>
        <v>0.73903585626275625</v>
      </c>
      <c r="E3636" s="5">
        <f ca="1">MAX(0,CP*(D3636-K))</f>
        <v>0</v>
      </c>
      <c r="F3636" s="4">
        <f ca="1">(CP*(D3636-K)&gt;0)*1</f>
        <v>0</v>
      </c>
      <c r="H3636" s="4">
        <v>3621</v>
      </c>
      <c r="I3636" s="3">
        <v>0.66769753970488399</v>
      </c>
      <c r="J3636" s="128">
        <v>1.2289065452813963E-3</v>
      </c>
      <c r="K3636" s="128"/>
      <c r="L3636" s="128">
        <v>4.2999999999999997E-2</v>
      </c>
      <c r="O3636" s="2"/>
    </row>
    <row r="3637" spans="2:15" x14ac:dyDescent="0.2">
      <c r="B3637" s="1">
        <v>3622</v>
      </c>
      <c r="C3637" s="5">
        <f ca="1"/>
        <v>4.4960721053466803E-2</v>
      </c>
      <c r="D3637" s="5">
        <f ca="1">S0*EXP((μ-0.5*σ*σ)*T+σ*SQRT(T)*$C3637)</f>
        <v>0.66745769553234158</v>
      </c>
      <c r="E3637" s="5">
        <f ca="1">MAX(0,CP*(D3637-K))</f>
        <v>0</v>
      </c>
      <c r="F3637" s="4">
        <f ca="1">(CP*(D3637-K)&gt;0)*1</f>
        <v>0</v>
      </c>
      <c r="H3637" s="4">
        <v>3622</v>
      </c>
      <c r="I3637" s="3">
        <v>0.66781371755263585</v>
      </c>
      <c r="J3637" s="128">
        <v>1.4251544291462095E-3</v>
      </c>
      <c r="K3637" s="128"/>
      <c r="L3637" s="128">
        <v>4.1799999999999997E-2</v>
      </c>
      <c r="O3637" s="2"/>
    </row>
    <row r="3638" spans="2:15" x14ac:dyDescent="0.2">
      <c r="B3638" s="1">
        <v>3623</v>
      </c>
      <c r="C3638" s="5">
        <f ca="1"/>
        <v>-0.78941093582834898</v>
      </c>
      <c r="D3638" s="5">
        <f ca="1">S0*EXP((μ-0.5*σ*σ)*T+σ*SQRT(T)*$C3638)</f>
        <v>0.61475106918201938</v>
      </c>
      <c r="E3638" s="5">
        <f ca="1">MAX(0,CP*(D3638-K))</f>
        <v>0</v>
      </c>
      <c r="F3638" s="4">
        <f ca="1">(CP*(D3638-K)&gt;0)*1</f>
        <v>0</v>
      </c>
      <c r="H3638" s="4">
        <v>3623</v>
      </c>
      <c r="I3638" s="3">
        <v>0.66772218918322779</v>
      </c>
      <c r="J3638" s="128">
        <v>1.4652879890531183E-3</v>
      </c>
      <c r="K3638" s="128"/>
      <c r="L3638" s="128">
        <v>4.3799999999999999E-2</v>
      </c>
      <c r="O3638" s="2"/>
    </row>
    <row r="3639" spans="2:15" x14ac:dyDescent="0.2">
      <c r="B3639" s="1">
        <v>3624</v>
      </c>
      <c r="C3639" s="5">
        <f ca="1"/>
        <v>0.74950048212712295</v>
      </c>
      <c r="D3639" s="5">
        <f ca="1">S0*EXP((μ-0.5*σ*σ)*T+σ*SQRT(T)*$C3639)</f>
        <v>0.71546651836515474</v>
      </c>
      <c r="E3639" s="5">
        <f ca="1">MAX(0,CP*(D3639-K))</f>
        <v>0</v>
      </c>
      <c r="F3639" s="4">
        <f ca="1">(CP*(D3639-K)&gt;0)*1</f>
        <v>0</v>
      </c>
      <c r="H3639" s="4">
        <v>3624</v>
      </c>
      <c r="I3639" s="3">
        <v>0.66769839930324759</v>
      </c>
      <c r="J3639" s="128">
        <v>1.3256688026247771E-3</v>
      </c>
      <c r="K3639" s="128"/>
      <c r="L3639" s="128">
        <v>4.1399999999999999E-2</v>
      </c>
      <c r="O3639" s="2"/>
    </row>
    <row r="3640" spans="2:15" x14ac:dyDescent="0.2">
      <c r="B3640" s="1">
        <v>3625</v>
      </c>
      <c r="C3640" s="5">
        <f ca="1"/>
        <v>-0.4760281953867605</v>
      </c>
      <c r="D3640" s="5">
        <f ca="1">S0*EXP((μ-0.5*σ*σ)*T+σ*SQRT(T)*$C3640)</f>
        <v>0.63404062631813651</v>
      </c>
      <c r="E3640" s="5">
        <f ca="1">MAX(0,CP*(D3640-K))</f>
        <v>0</v>
      </c>
      <c r="F3640" s="4">
        <f ca="1">(CP*(D3640-K)&gt;0)*1</f>
        <v>0</v>
      </c>
      <c r="H3640" s="4">
        <v>3625</v>
      </c>
      <c r="I3640" s="3">
        <v>0.66786349596889649</v>
      </c>
      <c r="J3640" s="128">
        <v>1.4497561834130102E-3</v>
      </c>
      <c r="K3640" s="128"/>
      <c r="L3640" s="128">
        <v>4.5199999999999997E-2</v>
      </c>
      <c r="O3640" s="2"/>
    </row>
    <row r="3641" spans="2:15" x14ac:dyDescent="0.2">
      <c r="B3641" s="1">
        <v>3626</v>
      </c>
      <c r="C3641" s="5">
        <f ca="1"/>
        <v>-9.4476873244685143E-3</v>
      </c>
      <c r="D3641" s="5">
        <f ca="1">S0*EXP((μ-0.5*σ*σ)*T+σ*SQRT(T)*$C3641)</f>
        <v>0.6638870459412799</v>
      </c>
      <c r="E3641" s="5">
        <f ca="1">MAX(0,CP*(D3641-K))</f>
        <v>0</v>
      </c>
      <c r="F3641" s="4">
        <f ca="1">(CP*(D3641-K)&gt;0)*1</f>
        <v>0</v>
      </c>
      <c r="H3641" s="4">
        <v>3626</v>
      </c>
      <c r="I3641" s="3">
        <v>0.6677419897495257</v>
      </c>
      <c r="J3641" s="128">
        <v>1.3504792012578241E-3</v>
      </c>
      <c r="K3641" s="128"/>
      <c r="L3641" s="128">
        <v>4.3200000000000002E-2</v>
      </c>
      <c r="O3641" s="2"/>
    </row>
    <row r="3642" spans="2:15" x14ac:dyDescent="0.2">
      <c r="B3642" s="1">
        <v>3627</v>
      </c>
      <c r="C3642" s="5">
        <f ca="1"/>
        <v>1.4901789543730213</v>
      </c>
      <c r="D3642" s="5">
        <f ca="1">S0*EXP((μ-0.5*σ*σ)*T+σ*SQRT(T)*$C3642)</f>
        <v>0.76966581922508337</v>
      </c>
      <c r="E3642" s="5">
        <f ca="1">MAX(0,CP*(D3642-K))</f>
        <v>0</v>
      </c>
      <c r="F3642" s="4">
        <f ca="1">(CP*(D3642-K)&gt;0)*1</f>
        <v>0</v>
      </c>
      <c r="H3642" s="4">
        <v>3627</v>
      </c>
      <c r="I3642" s="3">
        <v>0.66761485256352415</v>
      </c>
      <c r="J3642" s="128">
        <v>1.2125616258318221E-3</v>
      </c>
      <c r="K3642" s="128"/>
      <c r="L3642" s="128">
        <v>4.0599999999999997E-2</v>
      </c>
      <c r="O3642" s="2"/>
    </row>
    <row r="3643" spans="2:15" x14ac:dyDescent="0.2">
      <c r="B3643" s="1">
        <v>3628</v>
      </c>
      <c r="C3643" s="5">
        <f ca="1"/>
        <v>-0.82922483649985868</v>
      </c>
      <c r="D3643" s="5">
        <f ca="1">S0*EXP((μ-0.5*σ*σ)*T+σ*SQRT(T)*$C3643)</f>
        <v>0.61234280744897329</v>
      </c>
      <c r="E3643" s="5">
        <f ca="1">MAX(0,CP*(D3643-K))</f>
        <v>0</v>
      </c>
      <c r="F3643" s="4">
        <f ca="1">(CP*(D3643-K)&gt;0)*1</f>
        <v>0</v>
      </c>
      <c r="H3643" s="4">
        <v>3628</v>
      </c>
      <c r="I3643" s="3">
        <v>0.66775862089947924</v>
      </c>
      <c r="J3643" s="128">
        <v>1.2399820549725987E-3</v>
      </c>
      <c r="K3643" s="128"/>
      <c r="L3643" s="128">
        <v>3.9199999999999999E-2</v>
      </c>
      <c r="O3643" s="2"/>
    </row>
    <row r="3644" spans="2:15" x14ac:dyDescent="0.2">
      <c r="B3644" s="1">
        <v>3629</v>
      </c>
      <c r="C3644" s="5">
        <f ca="1"/>
        <v>-1.0880715616946801</v>
      </c>
      <c r="D3644" s="5">
        <f ca="1">S0*EXP((μ-0.5*σ*σ)*T+σ*SQRT(T)*$C3644)</f>
        <v>0.59691410474563589</v>
      </c>
      <c r="E3644" s="5">
        <f ca="1">MAX(0,CP*(D3644-K))</f>
        <v>0</v>
      </c>
      <c r="F3644" s="4">
        <f ca="1">(CP*(D3644-K)&gt;0)*1</f>
        <v>0</v>
      </c>
      <c r="H3644" s="4">
        <v>3629</v>
      </c>
      <c r="I3644" s="3">
        <v>0.66763606381952834</v>
      </c>
      <c r="J3644" s="128">
        <v>1.2762899990333473E-3</v>
      </c>
      <c r="K3644" s="128"/>
      <c r="L3644" s="128">
        <v>4.1000000000000002E-2</v>
      </c>
      <c r="O3644" s="2"/>
    </row>
    <row r="3645" spans="2:15" x14ac:dyDescent="0.2">
      <c r="B3645" s="1">
        <v>3630</v>
      </c>
      <c r="C3645" s="5">
        <f ca="1"/>
        <v>0.42887571303938532</v>
      </c>
      <c r="D3645" s="5">
        <f ca="1">S0*EXP((μ-0.5*σ*σ)*T+σ*SQRT(T)*$C3645)</f>
        <v>0.69320461714409121</v>
      </c>
      <c r="E3645" s="5">
        <f ca="1">MAX(0,CP*(D3645-K))</f>
        <v>0</v>
      </c>
      <c r="F3645" s="4">
        <f ca="1">(CP*(D3645-K)&gt;0)*1</f>
        <v>0</v>
      </c>
      <c r="H3645" s="4">
        <v>3630</v>
      </c>
      <c r="I3645" s="3">
        <v>0.6676496345765307</v>
      </c>
      <c r="J3645" s="128">
        <v>1.1648449570727379E-3</v>
      </c>
      <c r="K3645" s="128"/>
      <c r="L3645" s="128">
        <v>4.0599999999999997E-2</v>
      </c>
      <c r="O3645" s="2"/>
    </row>
    <row r="3646" spans="2:15" x14ac:dyDescent="0.2">
      <c r="B3646" s="1">
        <v>3631</v>
      </c>
      <c r="C3646" s="5">
        <f ca="1"/>
        <v>0.75445989504557864</v>
      </c>
      <c r="D3646" s="5">
        <f ca="1">S0*EXP((μ-0.5*σ*σ)*T+σ*SQRT(T)*$C3646)</f>
        <v>0.71581642121513311</v>
      </c>
      <c r="E3646" s="5">
        <f ca="1">MAX(0,CP*(D3646-K))</f>
        <v>0</v>
      </c>
      <c r="F3646" s="4">
        <f ca="1">(CP*(D3646-K)&gt;0)*1</f>
        <v>0</v>
      </c>
      <c r="H3646" s="4">
        <v>3631</v>
      </c>
      <c r="I3646" s="3">
        <v>0.66765971624333242</v>
      </c>
      <c r="J3646" s="128">
        <v>1.3154365763127349E-3</v>
      </c>
      <c r="K3646" s="128"/>
      <c r="L3646" s="128">
        <v>4.2000000000000003E-2</v>
      </c>
      <c r="O3646" s="2"/>
    </row>
    <row r="3647" spans="2:15" x14ac:dyDescent="0.2">
      <c r="B3647" s="1">
        <v>3632</v>
      </c>
      <c r="C3647" s="5">
        <f ca="1"/>
        <v>0.36894374893067849</v>
      </c>
      <c r="D3647" s="5">
        <f ca="1">S0*EXP((μ-0.5*σ*σ)*T+σ*SQRT(T)*$C3647)</f>
        <v>0.68912086583750909</v>
      </c>
      <c r="E3647" s="5">
        <f ca="1">MAX(0,CP*(D3647-K))</f>
        <v>0</v>
      </c>
      <c r="F3647" s="4">
        <f ca="1">(CP*(D3647-K)&gt;0)*1</f>
        <v>0</v>
      </c>
      <c r="H3647" s="4">
        <v>3632</v>
      </c>
      <c r="I3647" s="3">
        <v>0.66780970007177598</v>
      </c>
      <c r="J3647" s="128">
        <v>1.3693798017238735E-3</v>
      </c>
      <c r="K3647" s="128"/>
      <c r="L3647" s="128">
        <v>4.3400000000000001E-2</v>
      </c>
      <c r="O3647" s="2"/>
    </row>
    <row r="3648" spans="2:15" x14ac:dyDescent="0.2">
      <c r="B3648" s="1">
        <v>3633</v>
      </c>
      <c r="C3648" s="5">
        <f ca="1"/>
        <v>-0.1219636357931574</v>
      </c>
      <c r="D3648" s="5">
        <f ca="1">S0*EXP((μ-0.5*σ*σ)*T+σ*SQRT(T)*$C3648)</f>
        <v>0.65656346499462825</v>
      </c>
      <c r="E3648" s="5">
        <f ca="1">MAX(0,CP*(D3648-K))</f>
        <v>0</v>
      </c>
      <c r="F3648" s="4">
        <f ca="1">(CP*(D3648-K)&gt;0)*1</f>
        <v>0</v>
      </c>
      <c r="H3648" s="4">
        <v>3633</v>
      </c>
      <c r="I3648" s="3">
        <v>0.66775803647660836</v>
      </c>
      <c r="J3648" s="128">
        <v>1.4040899417127506E-3</v>
      </c>
      <c r="K3648" s="128"/>
      <c r="L3648" s="128">
        <v>3.9600000000000003E-2</v>
      </c>
      <c r="O3648" s="2"/>
    </row>
    <row r="3649" spans="2:15" x14ac:dyDescent="0.2">
      <c r="B3649" s="1">
        <v>3634</v>
      </c>
      <c r="C3649" s="5">
        <f ca="1"/>
        <v>0.18880476161475773</v>
      </c>
      <c r="D3649" s="5">
        <f ca="1">S0*EXP((μ-0.5*σ*σ)*T+σ*SQRT(T)*$C3649)</f>
        <v>0.67699049354513574</v>
      </c>
      <c r="E3649" s="5">
        <f ca="1">MAX(0,CP*(D3649-K))</f>
        <v>0</v>
      </c>
      <c r="F3649" s="4">
        <f ca="1">(CP*(D3649-K)&gt;0)*1</f>
        <v>0</v>
      </c>
      <c r="H3649" s="4">
        <v>3634</v>
      </c>
      <c r="I3649" s="3">
        <v>0.66766051892237466</v>
      </c>
      <c r="J3649" s="128">
        <v>1.23316221678321E-3</v>
      </c>
      <c r="K3649" s="128"/>
      <c r="L3649" s="128">
        <v>3.9E-2</v>
      </c>
      <c r="O3649" s="2"/>
    </row>
    <row r="3650" spans="2:15" x14ac:dyDescent="0.2">
      <c r="B3650" s="1">
        <v>3635</v>
      </c>
      <c r="C3650" s="5">
        <f ca="1"/>
        <v>-0.55289034986728369</v>
      </c>
      <c r="D3650" s="5">
        <f ca="1">S0*EXP((μ-0.5*σ*σ)*T+σ*SQRT(T)*$C3650)</f>
        <v>0.62925424896564897</v>
      </c>
      <c r="E3650" s="5">
        <f ca="1">MAX(0,CP*(D3650-K))</f>
        <v>0</v>
      </c>
      <c r="F3650" s="4">
        <f ca="1">(CP*(D3650-K)&gt;0)*1</f>
        <v>0</v>
      </c>
      <c r="H3650" s="4">
        <v>3635</v>
      </c>
      <c r="I3650" s="3">
        <v>0.66772223854837598</v>
      </c>
      <c r="J3650" s="128">
        <v>1.3578060525901627E-3</v>
      </c>
      <c r="K3650" s="128"/>
      <c r="L3650" s="128">
        <v>3.7600000000000001E-2</v>
      </c>
      <c r="O3650" s="2"/>
    </row>
    <row r="3651" spans="2:15" x14ac:dyDescent="0.2">
      <c r="B3651" s="1">
        <v>3636</v>
      </c>
      <c r="C3651" s="5">
        <f ca="1"/>
        <v>0.47464432095510378</v>
      </c>
      <c r="D3651" s="5">
        <f ca="1">S0*EXP((μ-0.5*σ*σ)*T+σ*SQRT(T)*$C3651)</f>
        <v>0.69633957028120264</v>
      </c>
      <c r="E3651" s="5">
        <f ca="1">MAX(0,CP*(D3651-K))</f>
        <v>0</v>
      </c>
      <c r="F3651" s="4">
        <f ca="1">(CP*(D3651-K)&gt;0)*1</f>
        <v>0</v>
      </c>
      <c r="H3651" s="4">
        <v>3636</v>
      </c>
      <c r="I3651" s="3">
        <v>0.66772414834985183</v>
      </c>
      <c r="J3651" s="128">
        <v>1.3854253275528933E-3</v>
      </c>
      <c r="K3651" s="128"/>
      <c r="L3651" s="128">
        <v>4.0399999999999998E-2</v>
      </c>
      <c r="O3651" s="2"/>
    </row>
    <row r="3652" spans="2:15" x14ac:dyDescent="0.2">
      <c r="B3652" s="1">
        <v>3637</v>
      </c>
      <c r="C3652" s="5">
        <f ca="1"/>
        <v>0.25318787452415598</v>
      </c>
      <c r="D3652" s="5">
        <f ca="1">S0*EXP((μ-0.5*σ*σ)*T+σ*SQRT(T)*$C3652)</f>
        <v>0.68130126803616398</v>
      </c>
      <c r="E3652" s="5">
        <f ca="1">MAX(0,CP*(D3652-K))</f>
        <v>0</v>
      </c>
      <c r="F3652" s="4">
        <f ca="1">(CP*(D3652-K)&gt;0)*1</f>
        <v>0</v>
      </c>
      <c r="H3652" s="4">
        <v>3637</v>
      </c>
      <c r="I3652" s="3">
        <v>0.66765795726986776</v>
      </c>
      <c r="J3652" s="128">
        <v>1.2442917069672302E-3</v>
      </c>
      <c r="K3652" s="128"/>
      <c r="L3652" s="128">
        <v>3.9800000000000002E-2</v>
      </c>
      <c r="O3652" s="2"/>
    </row>
    <row r="3653" spans="2:15" x14ac:dyDescent="0.2">
      <c r="B3653" s="1">
        <v>3638</v>
      </c>
      <c r="C3653" s="5">
        <f ca="1"/>
        <v>0.70596188296455442</v>
      </c>
      <c r="D3653" s="5">
        <f ca="1">S0*EXP((μ-0.5*σ*σ)*T+σ*SQRT(T)*$C3653)</f>
        <v>0.71240205985113636</v>
      </c>
      <c r="E3653" s="5">
        <f ca="1">MAX(0,CP*(D3653-K))</f>
        <v>0</v>
      </c>
      <c r="F3653" s="4">
        <f ca="1">(CP*(D3653-K)&gt;0)*1</f>
        <v>0</v>
      </c>
      <c r="H3653" s="4">
        <v>3638</v>
      </c>
      <c r="I3653" s="3">
        <v>0.66769729502416375</v>
      </c>
      <c r="J3653" s="128">
        <v>1.3837410301214869E-3</v>
      </c>
      <c r="K3653" s="128"/>
      <c r="L3653" s="128">
        <v>4.0399999999999998E-2</v>
      </c>
      <c r="O3653" s="2"/>
    </row>
    <row r="3654" spans="2:15" x14ac:dyDescent="0.2">
      <c r="B3654" s="1">
        <v>3639</v>
      </c>
      <c r="C3654" s="5">
        <f ca="1"/>
        <v>-0.45670128655224013</v>
      </c>
      <c r="D3654" s="5">
        <f ca="1">S0*EXP((μ-0.5*σ*σ)*T+σ*SQRT(T)*$C3654)</f>
        <v>0.63524987332484262</v>
      </c>
      <c r="E3654" s="5">
        <f ca="1">MAX(0,CP*(D3654-K))</f>
        <v>0</v>
      </c>
      <c r="F3654" s="4">
        <f ca="1">(CP*(D3654-K)&gt;0)*1</f>
        <v>0</v>
      </c>
      <c r="H3654" s="4">
        <v>3639</v>
      </c>
      <c r="I3654" s="3">
        <v>0.66769792677359552</v>
      </c>
      <c r="J3654" s="128">
        <v>1.2787202714606683E-3</v>
      </c>
      <c r="K3654" s="128"/>
      <c r="L3654" s="128">
        <v>3.9800000000000002E-2</v>
      </c>
      <c r="O3654" s="2"/>
    </row>
    <row r="3655" spans="2:15" x14ac:dyDescent="0.2">
      <c r="B3655" s="1">
        <v>3640</v>
      </c>
      <c r="C3655" s="5">
        <f ca="1"/>
        <v>0.78862527615227929</v>
      </c>
      <c r="D3655" s="5">
        <f ca="1">S0*EXP((μ-0.5*σ*σ)*T+σ*SQRT(T)*$C3655)</f>
        <v>0.71823155539843508</v>
      </c>
      <c r="E3655" s="5">
        <f ca="1">MAX(0,CP*(D3655-K))</f>
        <v>0</v>
      </c>
      <c r="F3655" s="4">
        <f ca="1">(CP*(D3655-K)&gt;0)*1</f>
        <v>0</v>
      </c>
      <c r="H3655" s="4">
        <v>3640</v>
      </c>
      <c r="I3655" s="3">
        <v>0.6676437517533611</v>
      </c>
      <c r="J3655" s="128">
        <v>1.2220489666157977E-3</v>
      </c>
      <c r="K3655" s="128"/>
      <c r="L3655" s="128">
        <v>4.02E-2</v>
      </c>
      <c r="O3655" s="2"/>
    </row>
    <row r="3656" spans="2:15" x14ac:dyDescent="0.2">
      <c r="B3656" s="1">
        <v>3641</v>
      </c>
      <c r="C3656" s="5">
        <f ca="1"/>
        <v>-1.104682519505662</v>
      </c>
      <c r="D3656" s="5">
        <f ca="1">S0*EXP((μ-0.5*σ*σ)*T+σ*SQRT(T)*$C3656)</f>
        <v>0.5959373789042044</v>
      </c>
      <c r="E3656" s="5">
        <f ca="1">MAX(0,CP*(D3656-K))</f>
        <v>0</v>
      </c>
      <c r="F3656" s="4">
        <f ca="1">(CP*(D3656-K)&gt;0)*1</f>
        <v>0</v>
      </c>
      <c r="H3656" s="4">
        <v>3641</v>
      </c>
      <c r="I3656" s="3">
        <v>0.66764053564228509</v>
      </c>
      <c r="J3656" s="128">
        <v>1.1620291661822327E-3</v>
      </c>
      <c r="K3656" s="128"/>
      <c r="L3656" s="128">
        <v>3.9600000000000003E-2</v>
      </c>
      <c r="O3656" s="2"/>
    </row>
    <row r="3657" spans="2:15" x14ac:dyDescent="0.2">
      <c r="B3657" s="1">
        <v>3642</v>
      </c>
      <c r="C3657" s="5">
        <f ca="1"/>
        <v>0.48968831660943912</v>
      </c>
      <c r="D3657" s="5">
        <f ca="1">S0*EXP((μ-0.5*σ*σ)*T+σ*SQRT(T)*$C3657)</f>
        <v>0.6973731122024025</v>
      </c>
      <c r="E3657" s="5">
        <f ca="1">MAX(0,CP*(D3657-K))</f>
        <v>0</v>
      </c>
      <c r="F3657" s="4">
        <f ca="1">(CP*(D3657-K)&gt;0)*1</f>
        <v>0</v>
      </c>
      <c r="H3657" s="4">
        <v>3642</v>
      </c>
      <c r="I3657" s="3">
        <v>0.66763468623309163</v>
      </c>
      <c r="J3657" s="128">
        <v>1.1885240202070858E-3</v>
      </c>
      <c r="K3657" s="128"/>
      <c r="L3657" s="128">
        <v>3.8199999999999998E-2</v>
      </c>
      <c r="O3657" s="2"/>
    </row>
    <row r="3658" spans="2:15" x14ac:dyDescent="0.2">
      <c r="B3658" s="1">
        <v>3643</v>
      </c>
      <c r="C3658" s="5">
        <f ca="1"/>
        <v>-0.20973438036744291</v>
      </c>
      <c r="D3658" s="5">
        <f ca="1">S0*EXP((μ-0.5*σ*σ)*T+σ*SQRT(T)*$C3658)</f>
        <v>0.65090666824623733</v>
      </c>
      <c r="E3658" s="5">
        <f ca="1">MAX(0,CP*(D3658-K))</f>
        <v>0</v>
      </c>
      <c r="F3658" s="4">
        <f ca="1">(CP*(D3658-K)&gt;0)*1</f>
        <v>0</v>
      </c>
      <c r="H3658" s="4">
        <v>3643</v>
      </c>
      <c r="I3658" s="3">
        <v>0.66770857336038381</v>
      </c>
      <c r="J3658" s="128">
        <v>1.3816883882846558E-3</v>
      </c>
      <c r="K3658" s="128"/>
      <c r="L3658" s="128">
        <v>4.2599999999999999E-2</v>
      </c>
      <c r="O3658" s="2"/>
    </row>
    <row r="3659" spans="2:15" x14ac:dyDescent="0.2">
      <c r="B3659" s="1">
        <v>3644</v>
      </c>
      <c r="C3659" s="5">
        <f ca="1"/>
        <v>-1.2810528767837839</v>
      </c>
      <c r="D3659" s="5">
        <f ca="1">S0*EXP((μ-0.5*σ*σ)*T+σ*SQRT(T)*$C3659)</f>
        <v>0.58566484279331321</v>
      </c>
      <c r="E3659" s="5">
        <f ca="1">MAX(0,CP*(D3659-K))</f>
        <v>0</v>
      </c>
      <c r="F3659" s="4">
        <f ca="1">(CP*(D3659-K)&gt;0)*1</f>
        <v>0</v>
      </c>
      <c r="H3659" s="4">
        <v>3644</v>
      </c>
      <c r="I3659" s="3">
        <v>0.66767035186103563</v>
      </c>
      <c r="J3659" s="128">
        <v>1.3132775391424944E-3</v>
      </c>
      <c r="K3659" s="128"/>
      <c r="L3659" s="128">
        <v>4.0399999999999998E-2</v>
      </c>
      <c r="O3659" s="2"/>
    </row>
    <row r="3660" spans="2:15" x14ac:dyDescent="0.2">
      <c r="B3660" s="1">
        <v>3645</v>
      </c>
      <c r="C3660" s="5">
        <f ca="1"/>
        <v>0.37031003885113073</v>
      </c>
      <c r="D3660" s="5">
        <f ca="1">S0*EXP((μ-0.5*σ*σ)*T+σ*SQRT(T)*$C3660)</f>
        <v>0.6892136960265608</v>
      </c>
      <c r="E3660" s="5">
        <f ca="1">MAX(0,CP*(D3660-K))</f>
        <v>0</v>
      </c>
      <c r="F3660" s="4">
        <f ca="1">(CP*(D3660-K)&gt;0)*1</f>
        <v>0</v>
      </c>
      <c r="H3660" s="4">
        <v>3645</v>
      </c>
      <c r="I3660" s="3">
        <v>0.66783102538592232</v>
      </c>
      <c r="J3660" s="128">
        <v>1.5052340059716748E-3</v>
      </c>
      <c r="K3660" s="128"/>
      <c r="L3660" s="128">
        <v>4.1200000000000001E-2</v>
      </c>
      <c r="O3660" s="2"/>
    </row>
    <row r="3661" spans="2:15" x14ac:dyDescent="0.2">
      <c r="B3661" s="1">
        <v>3646</v>
      </c>
      <c r="C3661" s="5">
        <f ca="1"/>
        <v>-1.286627464792542</v>
      </c>
      <c r="D3661" s="5">
        <f ca="1">S0*EXP((μ-0.5*σ*σ)*T+σ*SQRT(T)*$C3661)</f>
        <v>0.58534305888974192</v>
      </c>
      <c r="E3661" s="5">
        <f ca="1">MAX(0,CP*(D3661-K))</f>
        <v>0</v>
      </c>
      <c r="F3661" s="4">
        <f ca="1">(CP*(D3661-K)&gt;0)*1</f>
        <v>0</v>
      </c>
      <c r="H3661" s="4">
        <v>3646</v>
      </c>
      <c r="I3661" s="3">
        <v>0.6676646468617049</v>
      </c>
      <c r="J3661" s="128">
        <v>1.3351422516884876E-3</v>
      </c>
      <c r="K3661" s="128"/>
      <c r="L3661" s="128">
        <v>4.24E-2</v>
      </c>
      <c r="O3661" s="2"/>
    </row>
    <row r="3662" spans="2:15" x14ac:dyDescent="0.2">
      <c r="B3662" s="1">
        <v>3647</v>
      </c>
      <c r="C3662" s="5">
        <f ca="1"/>
        <v>-1.8747443210957884</v>
      </c>
      <c r="D3662" s="5">
        <f ca="1">S0*EXP((μ-0.5*σ*σ)*T+σ*SQRT(T)*$C3662)</f>
        <v>0.55236946775852802</v>
      </c>
      <c r="E3662" s="5">
        <f ca="1">MAX(0,CP*(D3662-K))</f>
        <v>0</v>
      </c>
      <c r="F3662" s="4">
        <f ca="1">(CP*(D3662-K)&gt;0)*1</f>
        <v>0</v>
      </c>
      <c r="H3662" s="4">
        <v>3647</v>
      </c>
      <c r="I3662" s="3">
        <v>0.66777092489162071</v>
      </c>
      <c r="J3662" s="128">
        <v>1.455394155182509E-3</v>
      </c>
      <c r="K3662" s="128"/>
      <c r="L3662" s="128">
        <v>4.3400000000000001E-2</v>
      </c>
      <c r="O3662" s="2"/>
    </row>
    <row r="3663" spans="2:15" x14ac:dyDescent="0.2">
      <c r="B3663" s="1">
        <v>3648</v>
      </c>
      <c r="C3663" s="5">
        <f ca="1"/>
        <v>-0.28190809695219149</v>
      </c>
      <c r="D3663" s="5">
        <f ca="1">S0*EXP((μ-0.5*σ*σ)*T+σ*SQRT(T)*$C3663)</f>
        <v>0.64629162970168252</v>
      </c>
      <c r="E3663" s="5">
        <f ca="1">MAX(0,CP*(D3663-K))</f>
        <v>0</v>
      </c>
      <c r="F3663" s="4">
        <f ca="1">(CP*(D3663-K)&gt;0)*1</f>
        <v>0</v>
      </c>
      <c r="H3663" s="4">
        <v>3648</v>
      </c>
      <c r="I3663" s="3">
        <v>0.66770098046333393</v>
      </c>
      <c r="J3663" s="128">
        <v>1.2126298572608457E-3</v>
      </c>
      <c r="K3663" s="128"/>
      <c r="L3663" s="128">
        <v>3.9E-2</v>
      </c>
      <c r="O3663" s="2"/>
    </row>
    <row r="3664" spans="2:15" x14ac:dyDescent="0.2">
      <c r="B3664" s="1">
        <v>3649</v>
      </c>
      <c r="C3664" s="5">
        <f ca="1"/>
        <v>-0.27818708900938294</v>
      </c>
      <c r="D3664" s="5">
        <f ca="1">S0*EXP((μ-0.5*σ*σ)*T+σ*SQRT(T)*$C3664)</f>
        <v>0.64652876189085251</v>
      </c>
      <c r="E3664" s="5">
        <f ca="1">MAX(0,CP*(D3664-K))</f>
        <v>0</v>
      </c>
      <c r="F3664" s="4">
        <f ca="1">(CP*(D3664-K)&gt;0)*1</f>
        <v>0</v>
      </c>
      <c r="H3664" s="4">
        <v>3649</v>
      </c>
      <c r="I3664" s="3">
        <v>0.66768347260953331</v>
      </c>
      <c r="J3664" s="128">
        <v>1.2617755710330367E-3</v>
      </c>
      <c r="K3664" s="128"/>
      <c r="L3664" s="128">
        <v>3.7999999999999999E-2</v>
      </c>
      <c r="O3664" s="2"/>
    </row>
    <row r="3665" spans="2:15" x14ac:dyDescent="0.2">
      <c r="B3665" s="1">
        <v>3650</v>
      </c>
      <c r="C3665" s="5">
        <f ca="1"/>
        <v>0.97220429544826237</v>
      </c>
      <c r="D3665" s="5">
        <f ca="1">S0*EXP((μ-0.5*σ*σ)*T+σ*SQRT(T)*$C3665)</f>
        <v>0.7313488790520869</v>
      </c>
      <c r="E3665" s="5">
        <f ca="1">MAX(0,CP*(D3665-K))</f>
        <v>0</v>
      </c>
      <c r="F3665" s="4">
        <f ca="1">(CP*(D3665-K)&gt;0)*1</f>
        <v>0</v>
      </c>
      <c r="H3665" s="4">
        <v>3650</v>
      </c>
      <c r="I3665" s="3">
        <v>0.66773149745703708</v>
      </c>
      <c r="J3665" s="128">
        <v>1.3674199020529793E-3</v>
      </c>
      <c r="K3665" s="128"/>
      <c r="L3665" s="128">
        <v>4.2200000000000001E-2</v>
      </c>
      <c r="O3665" s="2"/>
    </row>
    <row r="3666" spans="2:15" x14ac:dyDescent="0.2">
      <c r="B3666" s="1">
        <v>3651</v>
      </c>
      <c r="C3666" s="5">
        <f ca="1"/>
        <v>0.49275795351927631</v>
      </c>
      <c r="D3666" s="5">
        <f ca="1">S0*EXP((μ-0.5*σ*σ)*T+σ*SQRT(T)*$C3666)</f>
        <v>0.69758418858564797</v>
      </c>
      <c r="E3666" s="5">
        <f ca="1">MAX(0,CP*(D3666-K))</f>
        <v>0</v>
      </c>
      <c r="F3666" s="4">
        <f ca="1">(CP*(D3666-K)&gt;0)*1</f>
        <v>0</v>
      </c>
      <c r="H3666" s="4">
        <v>3651</v>
      </c>
      <c r="I3666" s="3">
        <v>0.66781625498416686</v>
      </c>
      <c r="J3666" s="128">
        <v>1.3503828554853482E-3</v>
      </c>
      <c r="K3666" s="128"/>
      <c r="L3666" s="128">
        <v>4.7E-2</v>
      </c>
      <c r="O3666" s="2"/>
    </row>
    <row r="3667" spans="2:15" x14ac:dyDescent="0.2">
      <c r="B3667" s="1">
        <v>3652</v>
      </c>
      <c r="C3667" s="5">
        <f ca="1"/>
        <v>0.88913799837166996</v>
      </c>
      <c r="D3667" s="5">
        <f ca="1">S0*EXP((μ-0.5*σ*σ)*T+σ*SQRT(T)*$C3667)</f>
        <v>0.72538410355750182</v>
      </c>
      <c r="E3667" s="5">
        <f ca="1">MAX(0,CP*(D3667-K))</f>
        <v>0</v>
      </c>
      <c r="F3667" s="4">
        <f ca="1">(CP*(D3667-K)&gt;0)*1</f>
        <v>0</v>
      </c>
      <c r="H3667" s="4">
        <v>3652</v>
      </c>
      <c r="I3667" s="3">
        <v>0.6675892191237861</v>
      </c>
      <c r="J3667" s="128">
        <v>1.1744580768242832E-3</v>
      </c>
      <c r="K3667" s="128"/>
      <c r="L3667" s="128">
        <v>3.6200000000000003E-2</v>
      </c>
      <c r="O3667" s="2"/>
    </row>
    <row r="3668" spans="2:15" x14ac:dyDescent="0.2">
      <c r="B3668" s="1">
        <v>3653</v>
      </c>
      <c r="C3668" s="5">
        <f ca="1"/>
        <v>-0.33934250794558074</v>
      </c>
      <c r="D3668" s="5">
        <f ca="1">S0*EXP((μ-0.5*σ*σ)*T+σ*SQRT(T)*$C3668)</f>
        <v>0.64264246514588175</v>
      </c>
      <c r="E3668" s="5">
        <f ca="1">MAX(0,CP*(D3668-K))</f>
        <v>0</v>
      </c>
      <c r="F3668" s="4">
        <f ca="1">(CP*(D3668-K)&gt;0)*1</f>
        <v>0</v>
      </c>
      <c r="H3668" s="4">
        <v>3653</v>
      </c>
      <c r="I3668" s="3">
        <v>0.66771997251909143</v>
      </c>
      <c r="J3668" s="128">
        <v>1.3715893049248411E-3</v>
      </c>
      <c r="K3668" s="128"/>
      <c r="L3668" s="128">
        <v>4.2599999999999999E-2</v>
      </c>
      <c r="O3668" s="2"/>
    </row>
    <row r="3669" spans="2:15" x14ac:dyDescent="0.2">
      <c r="B3669" s="1">
        <v>3654</v>
      </c>
      <c r="C3669" s="5">
        <f ca="1"/>
        <v>-0.16359718762286229</v>
      </c>
      <c r="D3669" s="5">
        <f ca="1">S0*EXP((μ-0.5*σ*σ)*T+σ*SQRT(T)*$C3669)</f>
        <v>0.65387409280417408</v>
      </c>
      <c r="E3669" s="5">
        <f ca="1">MAX(0,CP*(D3669-K))</f>
        <v>0</v>
      </c>
      <c r="F3669" s="4">
        <f ca="1">(CP*(D3669-K)&gt;0)*1</f>
        <v>0</v>
      </c>
      <c r="H3669" s="4">
        <v>3654</v>
      </c>
      <c r="I3669" s="3">
        <v>0.66773660900799203</v>
      </c>
      <c r="J3669" s="128">
        <v>1.511694819609292E-3</v>
      </c>
      <c r="K3669" s="128"/>
      <c r="L3669" s="128">
        <v>4.24E-2</v>
      </c>
      <c r="O3669" s="2"/>
    </row>
    <row r="3670" spans="2:15" x14ac:dyDescent="0.2">
      <c r="B3670" s="1">
        <v>3655</v>
      </c>
      <c r="C3670" s="5">
        <f ca="1"/>
        <v>1.2975244904099934</v>
      </c>
      <c r="D3670" s="5">
        <f ca="1">S0*EXP((μ-0.5*σ*σ)*T+σ*SQRT(T)*$C3670)</f>
        <v>0.75518526518549245</v>
      </c>
      <c r="E3670" s="5">
        <f ca="1">MAX(0,CP*(D3670-K))</f>
        <v>0</v>
      </c>
      <c r="F3670" s="4">
        <f ca="1">(CP*(D3670-K)&gt;0)*1</f>
        <v>0</v>
      </c>
      <c r="H3670" s="4">
        <v>3655</v>
      </c>
      <c r="I3670" s="3">
        <v>0.6677535734295269</v>
      </c>
      <c r="J3670" s="128">
        <v>1.4153528589479327E-3</v>
      </c>
      <c r="K3670" s="128"/>
      <c r="L3670" s="128">
        <v>4.2200000000000001E-2</v>
      </c>
      <c r="O3670" s="2"/>
    </row>
    <row r="3671" spans="2:15" x14ac:dyDescent="0.2">
      <c r="B3671" s="1">
        <v>3656</v>
      </c>
      <c r="C3671" s="5">
        <f ca="1"/>
        <v>2.5923004418567004</v>
      </c>
      <c r="D3671" s="5">
        <f ca="1">S0*EXP((μ-0.5*σ*σ)*T+σ*SQRT(T)*$C3671)</f>
        <v>0.8580065971427604</v>
      </c>
      <c r="E3671" s="5">
        <f ca="1">MAX(0,CP*(D3671-K))</f>
        <v>6.9806597142760385E-2</v>
      </c>
      <c r="F3671" s="4">
        <f ca="1">(CP*(D3671-K)&gt;0)*1</f>
        <v>1</v>
      </c>
      <c r="H3671" s="4">
        <v>3656</v>
      </c>
      <c r="I3671" s="3">
        <v>0.66775688410636957</v>
      </c>
      <c r="J3671" s="128">
        <v>1.39455067915659E-3</v>
      </c>
      <c r="K3671" s="128"/>
      <c r="L3671" s="128">
        <v>4.1000000000000002E-2</v>
      </c>
      <c r="O3671" s="2"/>
    </row>
    <row r="3672" spans="2:15" x14ac:dyDescent="0.2">
      <c r="B3672" s="1">
        <v>3657</v>
      </c>
      <c r="C3672" s="5">
        <f ca="1"/>
        <v>1.2882759335887786</v>
      </c>
      <c r="D3672" s="5">
        <f ca="1">S0*EXP((μ-0.5*σ*σ)*T+σ*SQRT(T)*$C3672)</f>
        <v>0.75449700726295388</v>
      </c>
      <c r="E3672" s="5">
        <f ca="1">MAX(0,CP*(D3672-K))</f>
        <v>0</v>
      </c>
      <c r="F3672" s="4">
        <f ca="1">(CP*(D3672-K)&gt;0)*1</f>
        <v>0</v>
      </c>
      <c r="H3672" s="4">
        <v>3657</v>
      </c>
      <c r="I3672" s="3">
        <v>0.66759758801056457</v>
      </c>
      <c r="J3672" s="128">
        <v>1.2111094951104283E-3</v>
      </c>
      <c r="K3672" s="128"/>
      <c r="L3672" s="128">
        <v>4.0399999999999998E-2</v>
      </c>
      <c r="O3672" s="2"/>
    </row>
    <row r="3673" spans="2:15" x14ac:dyDescent="0.2">
      <c r="B3673" s="1">
        <v>3658</v>
      </c>
      <c r="C3673" s="5">
        <f ca="1"/>
        <v>0.28153983028125251</v>
      </c>
      <c r="D3673" s="5">
        <f ca="1">S0*EXP((μ-0.5*σ*σ)*T+σ*SQRT(T)*$C3673)</f>
        <v>0.68320826956076408</v>
      </c>
      <c r="E3673" s="5">
        <f ca="1">MAX(0,CP*(D3673-K))</f>
        <v>0</v>
      </c>
      <c r="F3673" s="4">
        <f ca="1">(CP*(D3673-K)&gt;0)*1</f>
        <v>0</v>
      </c>
      <c r="H3673" s="4">
        <v>3658</v>
      </c>
      <c r="I3673" s="3">
        <v>0.6678403413012366</v>
      </c>
      <c r="J3673" s="128">
        <v>1.5420423473190858E-3</v>
      </c>
      <c r="K3673" s="128"/>
      <c r="L3673" s="128">
        <v>4.5400000000000003E-2</v>
      </c>
      <c r="O3673" s="2"/>
    </row>
    <row r="3674" spans="2:15" x14ac:dyDescent="0.2">
      <c r="B3674" s="1">
        <v>3659</v>
      </c>
      <c r="C3674" s="5">
        <f ca="1"/>
        <v>-0.1940326070774176</v>
      </c>
      <c r="D3674" s="5">
        <f ca="1">S0*EXP((μ-0.5*σ*σ)*T+σ*SQRT(T)*$C3674)</f>
        <v>0.65191505081718659</v>
      </c>
      <c r="E3674" s="5">
        <f ca="1">MAX(0,CP*(D3674-K))</f>
        <v>0</v>
      </c>
      <c r="F3674" s="4">
        <f ca="1">(CP*(D3674-K)&gt;0)*1</f>
        <v>0</v>
      </c>
      <c r="H3674" s="4">
        <v>3659</v>
      </c>
      <c r="I3674" s="3">
        <v>0.66780379363097675</v>
      </c>
      <c r="J3674" s="128">
        <v>1.4637399476184366E-3</v>
      </c>
      <c r="K3674" s="128"/>
      <c r="L3674" s="128">
        <v>4.2999999999999997E-2</v>
      </c>
      <c r="O3674" s="2"/>
    </row>
    <row r="3675" spans="2:15" x14ac:dyDescent="0.2">
      <c r="B3675" s="1">
        <v>3660</v>
      </c>
      <c r="C3675" s="5">
        <f ca="1"/>
        <v>-0.23620212825476444</v>
      </c>
      <c r="D3675" s="5">
        <f ca="1">S0*EXP((μ-0.5*σ*σ)*T+σ*SQRT(T)*$C3675)</f>
        <v>0.64921041406100288</v>
      </c>
      <c r="E3675" s="5">
        <f ca="1">MAX(0,CP*(D3675-K))</f>
        <v>0</v>
      </c>
      <c r="F3675" s="4">
        <f ca="1">(CP*(D3675-K)&gt;0)*1</f>
        <v>0</v>
      </c>
      <c r="H3675" s="4">
        <v>3660</v>
      </c>
      <c r="I3675" s="3">
        <v>0.66784274108700503</v>
      </c>
      <c r="J3675" s="128">
        <v>1.6055649944211382E-3</v>
      </c>
      <c r="K3675" s="128"/>
      <c r="L3675" s="128">
        <v>4.5400000000000003E-2</v>
      </c>
      <c r="O3675" s="2"/>
    </row>
    <row r="3676" spans="2:15" x14ac:dyDescent="0.2">
      <c r="B3676" s="1">
        <v>3661</v>
      </c>
      <c r="C3676" s="5">
        <f ca="1"/>
        <v>0.44162088539872785</v>
      </c>
      <c r="D3676" s="5">
        <f ca="1">S0*EXP((μ-0.5*σ*σ)*T+σ*SQRT(T)*$C3676)</f>
        <v>0.69407618610919897</v>
      </c>
      <c r="E3676" s="5">
        <f ca="1">MAX(0,CP*(D3676-K))</f>
        <v>0</v>
      </c>
      <c r="F3676" s="4">
        <f ca="1">(CP*(D3676-K)&gt;0)*1</f>
        <v>0</v>
      </c>
      <c r="H3676" s="4">
        <v>3661</v>
      </c>
      <c r="I3676" s="3">
        <v>0.66764518386937388</v>
      </c>
      <c r="J3676" s="128">
        <v>1.2785399012349217E-3</v>
      </c>
      <c r="K3676" s="128"/>
      <c r="L3676" s="128">
        <v>4.0399999999999998E-2</v>
      </c>
      <c r="O3676" s="2"/>
    </row>
    <row r="3677" spans="2:15" x14ac:dyDescent="0.2">
      <c r="B3677" s="1">
        <v>3662</v>
      </c>
      <c r="C3677" s="5">
        <f ca="1"/>
        <v>-0.39409235615154409</v>
      </c>
      <c r="D3677" s="5">
        <f ca="1">S0*EXP((μ-0.5*σ*σ)*T+σ*SQRT(T)*$C3677)</f>
        <v>0.63918305143386245</v>
      </c>
      <c r="E3677" s="5">
        <f ca="1">MAX(0,CP*(D3677-K))</f>
        <v>0</v>
      </c>
      <c r="F3677" s="4">
        <f ca="1">(CP*(D3677-K)&gt;0)*1</f>
        <v>0</v>
      </c>
      <c r="H3677" s="4">
        <v>3662</v>
      </c>
      <c r="I3677" s="3">
        <v>0.66775394664711918</v>
      </c>
      <c r="J3677" s="128">
        <v>1.3159182547139829E-3</v>
      </c>
      <c r="K3677" s="128"/>
      <c r="L3677" s="128">
        <v>4.2000000000000003E-2</v>
      </c>
      <c r="O3677" s="2"/>
    </row>
    <row r="3678" spans="2:15" x14ac:dyDescent="0.2">
      <c r="B3678" s="1">
        <v>3663</v>
      </c>
      <c r="C3678" s="5">
        <f ca="1"/>
        <v>1.1396211501315798</v>
      </c>
      <c r="D3678" s="5">
        <f ca="1">S0*EXP((μ-0.5*σ*σ)*T+σ*SQRT(T)*$C3678)</f>
        <v>0.74352010958012005</v>
      </c>
      <c r="E3678" s="5">
        <f ca="1">MAX(0,CP*(D3678-K))</f>
        <v>0</v>
      </c>
      <c r="F3678" s="4">
        <f ca="1">(CP*(D3678-K)&gt;0)*1</f>
        <v>0</v>
      </c>
      <c r="H3678" s="4">
        <v>3663</v>
      </c>
      <c r="I3678" s="3">
        <v>0.66762938050308585</v>
      </c>
      <c r="J3678" s="128">
        <v>1.2817511868133008E-3</v>
      </c>
      <c r="K3678" s="128"/>
      <c r="L3678" s="128">
        <v>4.0800000000000003E-2</v>
      </c>
      <c r="O3678" s="2"/>
    </row>
    <row r="3679" spans="2:15" x14ac:dyDescent="0.2">
      <c r="B3679" s="1">
        <v>3664</v>
      </c>
      <c r="C3679" s="5">
        <f ca="1"/>
        <v>1.8177924350581047</v>
      </c>
      <c r="D3679" s="5">
        <f ca="1">S0*EXP((μ-0.5*σ*σ)*T+σ*SQRT(T)*$C3679)</f>
        <v>0.794930749847374</v>
      </c>
      <c r="E3679" s="5">
        <f ca="1">MAX(0,CP*(D3679-K))</f>
        <v>6.7307498473739846E-3</v>
      </c>
      <c r="F3679" s="4">
        <f ca="1">(CP*(D3679-K)&gt;0)*1</f>
        <v>1</v>
      </c>
      <c r="H3679" s="4">
        <v>3664</v>
      </c>
      <c r="I3679" s="3">
        <v>0.66773910257158708</v>
      </c>
      <c r="J3679" s="128">
        <v>1.3539526057335923E-3</v>
      </c>
      <c r="K3679" s="128"/>
      <c r="L3679" s="128">
        <v>3.9600000000000003E-2</v>
      </c>
      <c r="O3679" s="2"/>
    </row>
    <row r="3680" spans="2:15" x14ac:dyDescent="0.2">
      <c r="B3680" s="1">
        <v>3665</v>
      </c>
      <c r="C3680" s="5">
        <f ca="1"/>
        <v>1.2047968236827704</v>
      </c>
      <c r="D3680" s="5">
        <f ca="1">S0*EXP((μ-0.5*σ*σ)*T+σ*SQRT(T)*$C3680)</f>
        <v>0.74831298339805041</v>
      </c>
      <c r="E3680" s="5">
        <f ca="1">MAX(0,CP*(D3680-K))</f>
        <v>0</v>
      </c>
      <c r="F3680" s="4">
        <f ca="1">(CP*(D3680-K)&gt;0)*1</f>
        <v>0</v>
      </c>
      <c r="H3680" s="4">
        <v>3665</v>
      </c>
      <c r="I3680" s="3">
        <v>0.66780561382445069</v>
      </c>
      <c r="J3680" s="128">
        <v>1.5130546919761435E-3</v>
      </c>
      <c r="K3680" s="128"/>
      <c r="L3680" s="128">
        <v>4.2000000000000003E-2</v>
      </c>
      <c r="O3680" s="2"/>
    </row>
    <row r="3681" spans="2:15" x14ac:dyDescent="0.2">
      <c r="B3681" s="1">
        <v>3666</v>
      </c>
      <c r="C3681" s="5">
        <f ca="1"/>
        <v>1.4659444593584128</v>
      </c>
      <c r="D3681" s="5">
        <f ca="1">S0*EXP((μ-0.5*σ*σ)*T+σ*SQRT(T)*$C3681)</f>
        <v>0.76782911516328078</v>
      </c>
      <c r="E3681" s="5">
        <f ca="1">MAX(0,CP*(D3681-K))</f>
        <v>0</v>
      </c>
      <c r="F3681" s="4">
        <f ca="1">(CP*(D3681-K)&gt;0)*1</f>
        <v>0</v>
      </c>
      <c r="H3681" s="4">
        <v>3666</v>
      </c>
      <c r="I3681" s="3">
        <v>0.6678123352530666</v>
      </c>
      <c r="J3681" s="128">
        <v>1.4657347802239584E-3</v>
      </c>
      <c r="K3681" s="128"/>
      <c r="L3681" s="128">
        <v>4.1200000000000001E-2</v>
      </c>
      <c r="O3681" s="2"/>
    </row>
    <row r="3682" spans="2:15" x14ac:dyDescent="0.2">
      <c r="B3682" s="1">
        <v>3667</v>
      </c>
      <c r="C3682" s="5">
        <f ca="1"/>
        <v>0.20427400591067951</v>
      </c>
      <c r="D3682" s="5">
        <f ca="1">S0*EXP((μ-0.5*σ*σ)*T+σ*SQRT(T)*$C3682)</f>
        <v>0.67802374160025813</v>
      </c>
      <c r="E3682" s="5">
        <f ca="1">MAX(0,CP*(D3682-K))</f>
        <v>0</v>
      </c>
      <c r="F3682" s="4">
        <f ca="1">(CP*(D3682-K)&gt;0)*1</f>
        <v>0</v>
      </c>
      <c r="H3682" s="4">
        <v>3667</v>
      </c>
      <c r="I3682" s="3">
        <v>0.66769037583727453</v>
      </c>
      <c r="J3682" s="128">
        <v>1.3472862416989057E-3</v>
      </c>
      <c r="K3682" s="128"/>
      <c r="L3682" s="128">
        <v>3.8800000000000001E-2</v>
      </c>
      <c r="O3682" s="2"/>
    </row>
    <row r="3683" spans="2:15" x14ac:dyDescent="0.2">
      <c r="B3683" s="1">
        <v>3668</v>
      </c>
      <c r="C3683" s="5">
        <f ca="1"/>
        <v>-1.7045818353867823</v>
      </c>
      <c r="D3683" s="5">
        <f ca="1">S0*EXP((μ-0.5*σ*σ)*T+σ*SQRT(T)*$C3683)</f>
        <v>0.56171411985556585</v>
      </c>
      <c r="E3683" s="5">
        <f ca="1">MAX(0,CP*(D3683-K))</f>
        <v>0</v>
      </c>
      <c r="F3683" s="4">
        <f ca="1">(CP*(D3683-K)&gt;0)*1</f>
        <v>0</v>
      </c>
      <c r="H3683" s="4">
        <v>3668</v>
      </c>
      <c r="I3683" s="3">
        <v>0.66783402871370967</v>
      </c>
      <c r="J3683" s="128">
        <v>1.3445355283891991E-3</v>
      </c>
      <c r="K3683" s="128"/>
      <c r="L3683" s="128">
        <v>4.3400000000000001E-2</v>
      </c>
      <c r="O3683" s="2"/>
    </row>
    <row r="3684" spans="2:15" x14ac:dyDescent="0.2">
      <c r="B3684" s="1">
        <v>3669</v>
      </c>
      <c r="C3684" s="5">
        <f ca="1"/>
        <v>0.84507005672207647</v>
      </c>
      <c r="D3684" s="5">
        <f ca="1">S0*EXP((μ-0.5*σ*σ)*T+σ*SQRT(T)*$C3684)</f>
        <v>0.72223947426611101</v>
      </c>
      <c r="E3684" s="5">
        <f ca="1">MAX(0,CP*(D3684-K))</f>
        <v>0</v>
      </c>
      <c r="F3684" s="4">
        <f ca="1">(CP*(D3684-K)&gt;0)*1</f>
        <v>0</v>
      </c>
      <c r="H3684" s="4">
        <v>3669</v>
      </c>
      <c r="I3684" s="3">
        <v>0.66782858746850204</v>
      </c>
      <c r="J3684" s="128">
        <v>1.4920553265040514E-3</v>
      </c>
      <c r="K3684" s="128"/>
      <c r="L3684" s="128">
        <v>4.4600000000000001E-2</v>
      </c>
      <c r="O3684" s="2"/>
    </row>
    <row r="3685" spans="2:15" x14ac:dyDescent="0.2">
      <c r="B3685" s="1">
        <v>3670</v>
      </c>
      <c r="C3685" s="5">
        <f ca="1"/>
        <v>-0.36548870057641264</v>
      </c>
      <c r="D3685" s="5">
        <f ca="1">S0*EXP((μ-0.5*σ*σ)*T+σ*SQRT(T)*$C3685)</f>
        <v>0.64098806721002222</v>
      </c>
      <c r="E3685" s="5">
        <f ca="1">MAX(0,CP*(D3685-K))</f>
        <v>0</v>
      </c>
      <c r="F3685" s="4">
        <f ca="1">(CP*(D3685-K)&gt;0)*1</f>
        <v>0</v>
      </c>
      <c r="H3685" s="4">
        <v>3670</v>
      </c>
      <c r="I3685" s="3">
        <v>0.66770630589772695</v>
      </c>
      <c r="J3685" s="128">
        <v>1.3474412911346559E-3</v>
      </c>
      <c r="K3685" s="128"/>
      <c r="L3685" s="128">
        <v>4.1000000000000002E-2</v>
      </c>
      <c r="O3685" s="2"/>
    </row>
    <row r="3686" spans="2:15" x14ac:dyDescent="0.2">
      <c r="B3686" s="1">
        <v>3671</v>
      </c>
      <c r="C3686" s="5">
        <f ca="1"/>
        <v>1.1350778730086295</v>
      </c>
      <c r="D3686" s="5">
        <f ca="1">S0*EXP((μ-0.5*σ*σ)*T+σ*SQRT(T)*$C3686)</f>
        <v>0.74318715391487311</v>
      </c>
      <c r="E3686" s="5">
        <f ca="1">MAX(0,CP*(D3686-K))</f>
        <v>0</v>
      </c>
      <c r="F3686" s="4">
        <f ca="1">(CP*(D3686-K)&gt;0)*1</f>
        <v>0</v>
      </c>
      <c r="H3686" s="4">
        <v>3671</v>
      </c>
      <c r="I3686" s="3">
        <v>0.66777107858304829</v>
      </c>
      <c r="J3686" s="128">
        <v>1.4635457130584082E-3</v>
      </c>
      <c r="K3686" s="128"/>
      <c r="L3686" s="128">
        <v>4.2599999999999999E-2</v>
      </c>
      <c r="O3686" s="2"/>
    </row>
    <row r="3687" spans="2:15" x14ac:dyDescent="0.2">
      <c r="B3687" s="1">
        <v>3672</v>
      </c>
      <c r="C3687" s="5">
        <f ca="1"/>
        <v>0.41711578450330883</v>
      </c>
      <c r="D3687" s="5">
        <f ca="1">S0*EXP((μ-0.5*σ*σ)*T+σ*SQRT(T)*$C3687)</f>
        <v>0.69240139417775559</v>
      </c>
      <c r="E3687" s="5">
        <f ca="1">MAX(0,CP*(D3687-K))</f>
        <v>0</v>
      </c>
      <c r="F3687" s="4">
        <f ca="1">(CP*(D3687-K)&gt;0)*1</f>
        <v>0</v>
      </c>
      <c r="H3687" s="4">
        <v>3672</v>
      </c>
      <c r="I3687" s="3">
        <v>0.66766823271190812</v>
      </c>
      <c r="J3687" s="128">
        <v>1.3047108704872259E-3</v>
      </c>
      <c r="K3687" s="128"/>
      <c r="L3687" s="128">
        <v>3.7999999999999999E-2</v>
      </c>
      <c r="O3687" s="2"/>
    </row>
    <row r="3688" spans="2:15" x14ac:dyDescent="0.2">
      <c r="B3688" s="1">
        <v>3673</v>
      </c>
      <c r="C3688" s="5">
        <f ca="1"/>
        <v>-0.31637347438635982</v>
      </c>
      <c r="D3688" s="5">
        <f ca="1">S0*EXP((μ-0.5*σ*σ)*T+σ*SQRT(T)*$C3688)</f>
        <v>0.64409935150336151</v>
      </c>
      <c r="E3688" s="5">
        <f ca="1">MAX(0,CP*(D3688-K))</f>
        <v>0</v>
      </c>
      <c r="F3688" s="4">
        <f ca="1">(CP*(D3688-K)&gt;0)*1</f>
        <v>0</v>
      </c>
      <c r="H3688" s="4">
        <v>3673</v>
      </c>
      <c r="I3688" s="3">
        <v>0.6677218286388118</v>
      </c>
      <c r="J3688" s="128">
        <v>1.3646663190553419E-3</v>
      </c>
      <c r="K3688" s="128"/>
      <c r="L3688" s="128">
        <v>4.0399999999999998E-2</v>
      </c>
      <c r="O3688" s="2"/>
    </row>
    <row r="3689" spans="2:15" x14ac:dyDescent="0.2">
      <c r="B3689" s="1">
        <v>3674</v>
      </c>
      <c r="C3689" s="5">
        <f ca="1"/>
        <v>-0.6190887766503167</v>
      </c>
      <c r="D3689" s="5">
        <f ca="1">S0*EXP((μ-0.5*σ*σ)*T+σ*SQRT(T)*$C3689)</f>
        <v>0.62516089651112672</v>
      </c>
      <c r="E3689" s="5">
        <f ca="1">MAX(0,CP*(D3689-K))</f>
        <v>0</v>
      </c>
      <c r="F3689" s="4">
        <f ca="1">(CP*(D3689-K)&gt;0)*1</f>
        <v>0</v>
      </c>
      <c r="H3689" s="4">
        <v>3674</v>
      </c>
      <c r="I3689" s="3">
        <v>0.66771541743037477</v>
      </c>
      <c r="J3689" s="128">
        <v>1.3977629034559074E-3</v>
      </c>
      <c r="K3689" s="128"/>
      <c r="L3689" s="128">
        <v>4.1000000000000002E-2</v>
      </c>
      <c r="O3689" s="2"/>
    </row>
    <row r="3690" spans="2:15" x14ac:dyDescent="0.2">
      <c r="B3690" s="1">
        <v>3675</v>
      </c>
      <c r="C3690" s="5">
        <f ca="1"/>
        <v>0.65251643728842412</v>
      </c>
      <c r="D3690" s="5">
        <f ca="1">S0*EXP((μ-0.5*σ*σ)*T+σ*SQRT(T)*$C3690)</f>
        <v>0.70865824870911376</v>
      </c>
      <c r="E3690" s="5">
        <f ca="1">MAX(0,CP*(D3690-K))</f>
        <v>0</v>
      </c>
      <c r="F3690" s="4">
        <f ca="1">(CP*(D3690-K)&gt;0)*1</f>
        <v>0</v>
      </c>
      <c r="H3690" s="4">
        <v>3675</v>
      </c>
      <c r="I3690" s="3">
        <v>0.66791693666558094</v>
      </c>
      <c r="J3690" s="128">
        <v>1.6417764518665298E-3</v>
      </c>
      <c r="K3690" s="128"/>
      <c r="L3690" s="128">
        <v>4.6199999999999998E-2</v>
      </c>
      <c r="O3690" s="2"/>
    </row>
    <row r="3691" spans="2:15" x14ac:dyDescent="0.2">
      <c r="B3691" s="1">
        <v>3676</v>
      </c>
      <c r="C3691" s="5">
        <f ca="1"/>
        <v>-0.74382874934015197</v>
      </c>
      <c r="D3691" s="5">
        <f ca="1">S0*EXP((μ-0.5*σ*σ)*T+σ*SQRT(T)*$C3691)</f>
        <v>0.61751987408691855</v>
      </c>
      <c r="E3691" s="5">
        <f ca="1">MAX(0,CP*(D3691-K))</f>
        <v>0</v>
      </c>
      <c r="F3691" s="4">
        <f ca="1">(CP*(D3691-K)&gt;0)*1</f>
        <v>0</v>
      </c>
      <c r="H3691" s="4">
        <v>3676</v>
      </c>
      <c r="I3691" s="3">
        <v>0.6676299439770611</v>
      </c>
      <c r="J3691" s="128">
        <v>1.235921580421709E-3</v>
      </c>
      <c r="K3691" s="128"/>
      <c r="L3691" s="128">
        <v>3.9600000000000003E-2</v>
      </c>
      <c r="O3691" s="2"/>
    </row>
    <row r="3692" spans="2:15" x14ac:dyDescent="0.2">
      <c r="B3692" s="1">
        <v>3677</v>
      </c>
      <c r="C3692" s="5">
        <f ca="1"/>
        <v>-0.24456278650283828</v>
      </c>
      <c r="D3692" s="5">
        <f ca="1">S0*EXP((μ-0.5*σ*σ)*T+σ*SQRT(T)*$C3692)</f>
        <v>0.64867551886533104</v>
      </c>
      <c r="E3692" s="5">
        <f ca="1">MAX(0,CP*(D3692-K))</f>
        <v>0</v>
      </c>
      <c r="F3692" s="4">
        <f ca="1">(CP*(D3692-K)&gt;0)*1</f>
        <v>0</v>
      </c>
      <c r="H3692" s="4">
        <v>3677</v>
      </c>
      <c r="I3692" s="3">
        <v>0.66767274528119114</v>
      </c>
      <c r="J3692" s="128">
        <v>1.393918454969834E-3</v>
      </c>
      <c r="K3692" s="128"/>
      <c r="L3692" s="128">
        <v>3.8399999999999997E-2</v>
      </c>
      <c r="O3692" s="2"/>
    </row>
    <row r="3693" spans="2:15" x14ac:dyDescent="0.2">
      <c r="B3693" s="1">
        <v>3678</v>
      </c>
      <c r="C3693" s="5">
        <f ca="1"/>
        <v>-0.77392552262919423</v>
      </c>
      <c r="D3693" s="5">
        <f ca="1">S0*EXP((μ-0.5*σ*σ)*T+σ*SQRT(T)*$C3693)</f>
        <v>0.61569030655535251</v>
      </c>
      <c r="E3693" s="5">
        <f ca="1">MAX(0,CP*(D3693-K))</f>
        <v>0</v>
      </c>
      <c r="F3693" s="4">
        <f ca="1">(CP*(D3693-K)&gt;0)*1</f>
        <v>0</v>
      </c>
      <c r="H3693" s="4">
        <v>3678</v>
      </c>
      <c r="I3693" s="3">
        <v>0.6677497457918804</v>
      </c>
      <c r="J3693" s="128">
        <v>1.3259625230995268E-3</v>
      </c>
      <c r="K3693" s="128"/>
      <c r="L3693" s="128">
        <v>4.3999999999999997E-2</v>
      </c>
      <c r="O3693" s="2"/>
    </row>
    <row r="3694" spans="2:15" x14ac:dyDescent="0.2">
      <c r="B3694" s="1">
        <v>3679</v>
      </c>
      <c r="C3694" s="5">
        <f ca="1"/>
        <v>1.0729321504743226</v>
      </c>
      <c r="D3694" s="5">
        <f ca="1">S0*EXP((μ-0.5*σ*σ)*T+σ*SQRT(T)*$C3694)</f>
        <v>0.7386477229031404</v>
      </c>
      <c r="E3694" s="5">
        <f ca="1">MAX(0,CP*(D3694-K))</f>
        <v>0</v>
      </c>
      <c r="F3694" s="4">
        <f ca="1">(CP*(D3694-K)&gt;0)*1</f>
        <v>0</v>
      </c>
      <c r="H3694" s="4">
        <v>3679</v>
      </c>
      <c r="I3694" s="3">
        <v>0.66755557537202004</v>
      </c>
      <c r="J3694" s="128">
        <v>1.20321768949255E-3</v>
      </c>
      <c r="K3694" s="128"/>
      <c r="L3694" s="128">
        <v>3.8199999999999998E-2</v>
      </c>
      <c r="O3694" s="2"/>
    </row>
    <row r="3695" spans="2:15" x14ac:dyDescent="0.2">
      <c r="B3695" s="1">
        <v>3680</v>
      </c>
      <c r="C3695" s="5">
        <f ca="1"/>
        <v>0.63831330424305976</v>
      </c>
      <c r="D3695" s="5">
        <f ca="1">S0*EXP((μ-0.5*σ*σ)*T+σ*SQRT(T)*$C3695)</f>
        <v>0.70766664373350818</v>
      </c>
      <c r="E3695" s="5">
        <f ca="1">MAX(0,CP*(D3695-K))</f>
        <v>0</v>
      </c>
      <c r="F3695" s="4">
        <f ca="1">(CP*(D3695-K)&gt;0)*1</f>
        <v>0</v>
      </c>
      <c r="H3695" s="4">
        <v>3680</v>
      </c>
      <c r="I3695" s="3">
        <v>0.66774825079466382</v>
      </c>
      <c r="J3695" s="128">
        <v>1.435557409657608E-3</v>
      </c>
      <c r="K3695" s="128"/>
      <c r="L3695" s="128">
        <v>4.1000000000000002E-2</v>
      </c>
      <c r="O3695" s="2"/>
    </row>
    <row r="3696" spans="2:15" x14ac:dyDescent="0.2">
      <c r="B3696" s="1">
        <v>3681</v>
      </c>
      <c r="C3696" s="5">
        <f ca="1"/>
        <v>0.92813263810062641</v>
      </c>
      <c r="D3696" s="5">
        <f ca="1">S0*EXP((μ-0.5*σ*σ)*T+σ*SQRT(T)*$C3696)</f>
        <v>0.72817812497823908</v>
      </c>
      <c r="E3696" s="5">
        <f ca="1">MAX(0,CP*(D3696-K))</f>
        <v>0</v>
      </c>
      <c r="F3696" s="4">
        <f ca="1">(CP*(D3696-K)&gt;0)*1</f>
        <v>0</v>
      </c>
      <c r="H3696" s="4">
        <v>3681</v>
      </c>
      <c r="I3696" s="3">
        <v>0.66765680972167285</v>
      </c>
      <c r="J3696" s="128">
        <v>1.2592537698598299E-3</v>
      </c>
      <c r="K3696" s="128"/>
      <c r="L3696" s="128">
        <v>3.56E-2</v>
      </c>
      <c r="O3696" s="2"/>
    </row>
    <row r="3697" spans="2:15" x14ac:dyDescent="0.2">
      <c r="B3697" s="1">
        <v>3682</v>
      </c>
      <c r="C3697" s="5">
        <f ca="1"/>
        <v>1.9797836504717061</v>
      </c>
      <c r="D3697" s="5">
        <f ca="1">S0*EXP((μ-0.5*σ*σ)*T+σ*SQRT(T)*$C3697)</f>
        <v>0.80772795122484253</v>
      </c>
      <c r="E3697" s="5">
        <f ca="1">MAX(0,CP*(D3697-K))</f>
        <v>1.9527951224842521E-2</v>
      </c>
      <c r="F3697" s="4">
        <f ca="1">(CP*(D3697-K)&gt;0)*1</f>
        <v>1</v>
      </c>
      <c r="H3697" s="4">
        <v>3682</v>
      </c>
      <c r="I3697" s="3">
        <v>0.66771764076202611</v>
      </c>
      <c r="J3697" s="128">
        <v>1.3507394792559256E-3</v>
      </c>
      <c r="K3697" s="128"/>
      <c r="L3697" s="128">
        <v>4.2000000000000003E-2</v>
      </c>
      <c r="O3697" s="2"/>
    </row>
    <row r="3698" spans="2:15" x14ac:dyDescent="0.2">
      <c r="B3698" s="1">
        <v>3683</v>
      </c>
      <c r="C3698" s="5">
        <f ca="1"/>
        <v>0.34752699910424384</v>
      </c>
      <c r="D3698" s="5">
        <f ca="1">S0*EXP((μ-0.5*σ*σ)*T+σ*SQRT(T)*$C3698)</f>
        <v>0.68766737507767794</v>
      </c>
      <c r="E3698" s="5">
        <f ca="1">MAX(0,CP*(D3698-K))</f>
        <v>0</v>
      </c>
      <c r="F3698" s="4">
        <f ca="1">(CP*(D3698-K)&gt;0)*1</f>
        <v>0</v>
      </c>
      <c r="H3698" s="4">
        <v>3683</v>
      </c>
      <c r="I3698" s="3">
        <v>0.6678311215991557</v>
      </c>
      <c r="J3698" s="128">
        <v>1.474680031568712E-3</v>
      </c>
      <c r="K3698" s="128"/>
      <c r="L3698" s="128">
        <v>4.7600000000000003E-2</v>
      </c>
      <c r="O3698" s="2"/>
    </row>
    <row r="3699" spans="2:15" x14ac:dyDescent="0.2">
      <c r="B3699" s="1">
        <v>3684</v>
      </c>
      <c r="C3699" s="5">
        <f ca="1"/>
        <v>1.4992644132410773</v>
      </c>
      <c r="D3699" s="5">
        <f ca="1">S0*EXP((μ-0.5*σ*σ)*T+σ*SQRT(T)*$C3699)</f>
        <v>0.7703555272881053</v>
      </c>
      <c r="E3699" s="5">
        <f ca="1">MAX(0,CP*(D3699-K))</f>
        <v>0</v>
      </c>
      <c r="F3699" s="4">
        <f ca="1">(CP*(D3699-K)&gt;0)*1</f>
        <v>0</v>
      </c>
      <c r="H3699" s="4">
        <v>3684</v>
      </c>
      <c r="I3699" s="3">
        <v>0.66769482000445846</v>
      </c>
      <c r="J3699" s="128">
        <v>1.2466431998104993E-3</v>
      </c>
      <c r="K3699" s="128"/>
      <c r="L3699" s="128">
        <v>3.7999999999999999E-2</v>
      </c>
      <c r="O3699" s="2"/>
    </row>
    <row r="3700" spans="2:15" x14ac:dyDescent="0.2">
      <c r="B3700" s="1">
        <v>3685</v>
      </c>
      <c r="C3700" s="5">
        <f ca="1"/>
        <v>0.32363205526882277</v>
      </c>
      <c r="D3700" s="5">
        <f ca="1">S0*EXP((μ-0.5*σ*σ)*T+σ*SQRT(T)*$C3700)</f>
        <v>0.68604931473883513</v>
      </c>
      <c r="E3700" s="5">
        <f ca="1">MAX(0,CP*(D3700-K))</f>
        <v>0</v>
      </c>
      <c r="F3700" s="4">
        <f ca="1">(CP*(D3700-K)&gt;0)*1</f>
        <v>0</v>
      </c>
      <c r="H3700" s="4">
        <v>3685</v>
      </c>
      <c r="I3700" s="3">
        <v>0.66783964724789335</v>
      </c>
      <c r="J3700" s="128">
        <v>1.5116986766786379E-3</v>
      </c>
      <c r="K3700" s="128"/>
      <c r="L3700" s="128">
        <v>4.7399999999999998E-2</v>
      </c>
      <c r="O3700" s="2"/>
    </row>
    <row r="3701" spans="2:15" x14ac:dyDescent="0.2">
      <c r="B3701" s="1">
        <v>3686</v>
      </c>
      <c r="C3701" s="5">
        <f ca="1"/>
        <v>0.75995615318515819</v>
      </c>
      <c r="D3701" s="5">
        <f ca="1">S0*EXP((μ-0.5*σ*σ)*T+σ*SQRT(T)*$C3701)</f>
        <v>0.71620440016985376</v>
      </c>
      <c r="E3701" s="5">
        <f ca="1">MAX(0,CP*(D3701-K))</f>
        <v>0</v>
      </c>
      <c r="F3701" s="4">
        <f ca="1">(CP*(D3701-K)&gt;0)*1</f>
        <v>0</v>
      </c>
      <c r="H3701" s="4">
        <v>3686</v>
      </c>
      <c r="I3701" s="3">
        <v>0.66781169699986687</v>
      </c>
      <c r="J3701" s="128">
        <v>1.4469876059499216E-3</v>
      </c>
      <c r="K3701" s="128"/>
      <c r="L3701" s="128">
        <v>4.4999999999999998E-2</v>
      </c>
      <c r="O3701" s="2"/>
    </row>
    <row r="3702" spans="2:15" x14ac:dyDescent="0.2">
      <c r="B3702" s="1">
        <v>3687</v>
      </c>
      <c r="C3702" s="5">
        <f ca="1"/>
        <v>-0.32759715326982658</v>
      </c>
      <c r="D3702" s="5">
        <f ca="1">S0*EXP((μ-0.5*σ*σ)*T+σ*SQRT(T)*$C3702)</f>
        <v>0.64338704065130203</v>
      </c>
      <c r="E3702" s="5">
        <f ca="1">MAX(0,CP*(D3702-K))</f>
        <v>0</v>
      </c>
      <c r="F3702" s="4">
        <f ca="1">(CP*(D3702-K)&gt;0)*1</f>
        <v>0</v>
      </c>
      <c r="H3702" s="4">
        <v>3687</v>
      </c>
      <c r="I3702" s="3">
        <v>0.66784975082834785</v>
      </c>
      <c r="J3702" s="128">
        <v>1.4577232900387881E-3</v>
      </c>
      <c r="K3702" s="128"/>
      <c r="L3702" s="128">
        <v>4.6199999999999998E-2</v>
      </c>
      <c r="O3702" s="2"/>
    </row>
    <row r="3703" spans="2:15" x14ac:dyDescent="0.2">
      <c r="B3703" s="1">
        <v>3688</v>
      </c>
      <c r="C3703" s="5">
        <f ca="1"/>
        <v>1.4355923578405607</v>
      </c>
      <c r="D3703" s="5">
        <f ca="1">S0*EXP((μ-0.5*σ*σ)*T+σ*SQRT(T)*$C3703)</f>
        <v>0.76553494595217098</v>
      </c>
      <c r="E3703" s="5">
        <f ca="1">MAX(0,CP*(D3703-K))</f>
        <v>0</v>
      </c>
      <c r="F3703" s="4">
        <f ca="1">(CP*(D3703-K)&gt;0)*1</f>
        <v>0</v>
      </c>
      <c r="H3703" s="4">
        <v>3688</v>
      </c>
      <c r="I3703" s="3">
        <v>0.66778304935932697</v>
      </c>
      <c r="J3703" s="128">
        <v>1.4026053710891272E-3</v>
      </c>
      <c r="K3703" s="128"/>
      <c r="L3703" s="128">
        <v>4.48E-2</v>
      </c>
      <c r="O3703" s="2"/>
    </row>
    <row r="3704" spans="2:15" x14ac:dyDescent="0.2">
      <c r="B3704" s="1">
        <v>3689</v>
      </c>
      <c r="C3704" s="5">
        <f ca="1"/>
        <v>-0.299201975287258</v>
      </c>
      <c r="D3704" s="5">
        <f ca="1">S0*EXP((μ-0.5*σ*σ)*T+σ*SQRT(T)*$C3704)</f>
        <v>0.6451906673289477</v>
      </c>
      <c r="E3704" s="5">
        <f ca="1">MAX(0,CP*(D3704-K))</f>
        <v>0</v>
      </c>
      <c r="F3704" s="4">
        <f ca="1">(CP*(D3704-K)&gt;0)*1</f>
        <v>0</v>
      </c>
      <c r="H3704" s="4">
        <v>3689</v>
      </c>
      <c r="I3704" s="3">
        <v>0.66784432487938106</v>
      </c>
      <c r="J3704" s="128">
        <v>1.3999607396060953E-3</v>
      </c>
      <c r="K3704" s="128"/>
      <c r="L3704" s="128">
        <v>4.1399999999999999E-2</v>
      </c>
      <c r="O3704" s="2"/>
    </row>
    <row r="3705" spans="2:15" x14ac:dyDescent="0.2">
      <c r="B3705" s="1">
        <v>3690</v>
      </c>
      <c r="C3705" s="5">
        <f ca="1"/>
        <v>-1.1108598014038233</v>
      </c>
      <c r="D3705" s="5">
        <f ca="1">S0*EXP((μ-0.5*σ*σ)*T+σ*SQRT(T)*$C3705)</f>
        <v>0.59557456198508163</v>
      </c>
      <c r="E3705" s="5">
        <f ca="1">MAX(0,CP*(D3705-K))</f>
        <v>0</v>
      </c>
      <c r="F3705" s="4">
        <f ca="1">(CP*(D3705-K)&gt;0)*1</f>
        <v>0</v>
      </c>
      <c r="H3705" s="4">
        <v>3690</v>
      </c>
      <c r="I3705" s="3">
        <v>0.66784218843198262</v>
      </c>
      <c r="J3705" s="128">
        <v>1.4229261611205773E-3</v>
      </c>
      <c r="K3705" s="128"/>
      <c r="L3705" s="128">
        <v>4.1200000000000001E-2</v>
      </c>
      <c r="O3705" s="2"/>
    </row>
    <row r="3706" spans="2:15" x14ac:dyDescent="0.2">
      <c r="B3706" s="1">
        <v>3691</v>
      </c>
      <c r="C3706" s="5">
        <f ca="1"/>
        <v>-0.36424257890883521</v>
      </c>
      <c r="D3706" s="5">
        <f ca="1">S0*EXP((μ-0.5*σ*σ)*T+σ*SQRT(T)*$C3706)</f>
        <v>0.64106681870193372</v>
      </c>
      <c r="E3706" s="5">
        <f ca="1">MAX(0,CP*(D3706-K))</f>
        <v>0</v>
      </c>
      <c r="F3706" s="4">
        <f ca="1">(CP*(D3706-K)&gt;0)*1</f>
        <v>0</v>
      </c>
      <c r="H3706" s="4">
        <v>3691</v>
      </c>
      <c r="I3706" s="3">
        <v>0.66778485086231276</v>
      </c>
      <c r="J3706" s="128">
        <v>1.3828261544920021E-3</v>
      </c>
      <c r="K3706" s="128"/>
      <c r="L3706" s="128">
        <v>4.1000000000000002E-2</v>
      </c>
      <c r="O3706" s="2"/>
    </row>
    <row r="3707" spans="2:15" x14ac:dyDescent="0.2">
      <c r="B3707" s="1">
        <v>3692</v>
      </c>
      <c r="C3707" s="5">
        <f ca="1"/>
        <v>-0.73263033625792107</v>
      </c>
      <c r="D3707" s="5">
        <f ca="1">S0*EXP((μ-0.5*σ*σ)*T+σ*SQRT(T)*$C3707)</f>
        <v>0.61820200683701942</v>
      </c>
      <c r="E3707" s="5">
        <f ca="1">MAX(0,CP*(D3707-K))</f>
        <v>0</v>
      </c>
      <c r="F3707" s="4">
        <f ca="1">(CP*(D3707-K)&gt;0)*1</f>
        <v>0</v>
      </c>
      <c r="H3707" s="4">
        <v>3692</v>
      </c>
      <c r="I3707" s="3">
        <v>0.66770984723114224</v>
      </c>
      <c r="J3707" s="128">
        <v>1.5392924884247625E-3</v>
      </c>
      <c r="K3707" s="128"/>
      <c r="L3707" s="128">
        <v>4.0800000000000003E-2</v>
      </c>
      <c r="O3707" s="2"/>
    </row>
    <row r="3708" spans="2:15" x14ac:dyDescent="0.2">
      <c r="B3708" s="1">
        <v>3693</v>
      </c>
      <c r="C3708" s="5">
        <f ca="1"/>
        <v>-0.90016463329654028</v>
      </c>
      <c r="D3708" s="5">
        <f ca="1">S0*EXP((μ-0.5*σ*σ)*T+σ*SQRT(T)*$C3708)</f>
        <v>0.60807516046455767</v>
      </c>
      <c r="E3708" s="5">
        <f ca="1">MAX(0,CP*(D3708-K))</f>
        <v>0</v>
      </c>
      <c r="F3708" s="4">
        <f ca="1">(CP*(D3708-K)&gt;0)*1</f>
        <v>0</v>
      </c>
      <c r="H3708" s="4">
        <v>3693</v>
      </c>
      <c r="I3708" s="3">
        <v>0.66761301568739251</v>
      </c>
      <c r="J3708" s="128">
        <v>1.1285419415073673E-3</v>
      </c>
      <c r="K3708" s="128"/>
      <c r="L3708" s="128">
        <v>4.1399999999999999E-2</v>
      </c>
      <c r="O3708" s="2"/>
    </row>
    <row r="3709" spans="2:15" x14ac:dyDescent="0.2">
      <c r="B3709" s="1">
        <v>3694</v>
      </c>
      <c r="C3709" s="5">
        <f ca="1"/>
        <v>-0.47834205927258949</v>
      </c>
      <c r="D3709" s="5">
        <f ca="1">S0*EXP((μ-0.5*σ*σ)*T+σ*SQRT(T)*$C3709)</f>
        <v>0.63389600674331448</v>
      </c>
      <c r="E3709" s="5">
        <f ca="1">MAX(0,CP*(D3709-K))</f>
        <v>0</v>
      </c>
      <c r="F3709" s="4">
        <f ca="1">(CP*(D3709-K)&gt;0)*1</f>
        <v>0</v>
      </c>
      <c r="H3709" s="4">
        <v>3694</v>
      </c>
      <c r="I3709" s="3">
        <v>0.66767417253845462</v>
      </c>
      <c r="J3709" s="128">
        <v>1.291735021151814E-3</v>
      </c>
      <c r="K3709" s="128"/>
      <c r="L3709" s="128">
        <v>3.8199999999999998E-2</v>
      </c>
      <c r="O3709" s="2"/>
    </row>
    <row r="3710" spans="2:15" x14ac:dyDescent="0.2">
      <c r="B3710" s="1">
        <v>3695</v>
      </c>
      <c r="C3710" s="5">
        <f ca="1"/>
        <v>0.99652644523241285</v>
      </c>
      <c r="D3710" s="5">
        <f ca="1">S0*EXP((μ-0.5*σ*σ)*T+σ*SQRT(T)*$C3710)</f>
        <v>0.73310465490484356</v>
      </c>
      <c r="E3710" s="5">
        <f ca="1">MAX(0,CP*(D3710-K))</f>
        <v>0</v>
      </c>
      <c r="F3710" s="4">
        <f ca="1">(CP*(D3710-K)&gt;0)*1</f>
        <v>0</v>
      </c>
      <c r="H3710" s="4">
        <v>3695</v>
      </c>
      <c r="I3710" s="3">
        <v>0.66781346457626856</v>
      </c>
      <c r="J3710" s="128">
        <v>1.5646946317066455E-3</v>
      </c>
      <c r="K3710" s="128"/>
      <c r="L3710" s="128">
        <v>4.6199999999999998E-2</v>
      </c>
      <c r="O3710" s="2"/>
    </row>
    <row r="3711" spans="2:15" x14ac:dyDescent="0.2">
      <c r="B3711" s="1">
        <v>3696</v>
      </c>
      <c r="C3711" s="5">
        <f ca="1"/>
        <v>1.3263974639046014</v>
      </c>
      <c r="D3711" s="5">
        <f ca="1">S0*EXP((μ-0.5*σ*σ)*T+σ*SQRT(T)*$C3711)</f>
        <v>0.75733797256457125</v>
      </c>
      <c r="E3711" s="5">
        <f ca="1">MAX(0,CP*(D3711-K))</f>
        <v>0</v>
      </c>
      <c r="F3711" s="4">
        <f ca="1">(CP*(D3711-K)&gt;0)*1</f>
        <v>0</v>
      </c>
      <c r="H3711" s="4">
        <v>3696</v>
      </c>
      <c r="I3711" s="3">
        <v>0.66765755787074454</v>
      </c>
      <c r="J3711" s="128">
        <v>1.2219599847631741E-3</v>
      </c>
      <c r="K3711" s="128"/>
      <c r="L3711" s="128">
        <v>3.78E-2</v>
      </c>
      <c r="O3711" s="2"/>
    </row>
    <row r="3712" spans="2:15" x14ac:dyDescent="0.2">
      <c r="B3712" s="1">
        <v>3697</v>
      </c>
      <c r="C3712" s="5">
        <f ca="1"/>
        <v>-0.46284556706146018</v>
      </c>
      <c r="D3712" s="5">
        <f ca="1">S0*EXP((μ-0.5*σ*σ)*T+σ*SQRT(T)*$C3712)</f>
        <v>0.63486518782882739</v>
      </c>
      <c r="E3712" s="5">
        <f ca="1">MAX(0,CP*(D3712-K))</f>
        <v>0</v>
      </c>
      <c r="F3712" s="4">
        <f ca="1">(CP*(D3712-K)&gt;0)*1</f>
        <v>0</v>
      </c>
      <c r="H3712" s="4">
        <v>3697</v>
      </c>
      <c r="I3712" s="3">
        <v>0.66765423000389534</v>
      </c>
      <c r="J3712" s="128">
        <v>1.3416837166597799E-3</v>
      </c>
      <c r="K3712" s="128"/>
      <c r="L3712" s="128">
        <v>4.1200000000000001E-2</v>
      </c>
      <c r="O3712" s="2"/>
    </row>
    <row r="3713" spans="2:15" x14ac:dyDescent="0.2">
      <c r="B3713" s="1">
        <v>3698</v>
      </c>
      <c r="C3713" s="5">
        <f ca="1"/>
        <v>-0.53137225370407426</v>
      </c>
      <c r="D3713" s="5">
        <f ca="1">S0*EXP((μ-0.5*σ*σ)*T+σ*SQRT(T)*$C3713)</f>
        <v>0.63059057510051408</v>
      </c>
      <c r="E3713" s="5">
        <f ca="1">MAX(0,CP*(D3713-K))</f>
        <v>0</v>
      </c>
      <c r="F3713" s="4">
        <f ca="1">(CP*(D3713-K)&gt;0)*1</f>
        <v>0</v>
      </c>
      <c r="H3713" s="4">
        <v>3698</v>
      </c>
      <c r="I3713" s="3">
        <v>0.66773626202486791</v>
      </c>
      <c r="J3713" s="128">
        <v>1.2372305885796507E-3</v>
      </c>
      <c r="K3713" s="128"/>
      <c r="L3713" s="128">
        <v>4.1399999999999999E-2</v>
      </c>
      <c r="O3713" s="2"/>
    </row>
    <row r="3714" spans="2:15" x14ac:dyDescent="0.2">
      <c r="B3714" s="1">
        <v>3699</v>
      </c>
      <c r="C3714" s="5">
        <f ca="1"/>
        <v>-0.94776682270306734</v>
      </c>
      <c r="D3714" s="5">
        <f ca="1">S0*EXP((μ-0.5*σ*σ)*T+σ*SQRT(T)*$C3714)</f>
        <v>0.60522816193603168</v>
      </c>
      <c r="E3714" s="5">
        <f ca="1">MAX(0,CP*(D3714-K))</f>
        <v>0</v>
      </c>
      <c r="F3714" s="4">
        <f ca="1">(CP*(D3714-K)&gt;0)*1</f>
        <v>0</v>
      </c>
      <c r="H3714" s="4">
        <v>3699</v>
      </c>
      <c r="I3714" s="3">
        <v>0.667783104546253</v>
      </c>
      <c r="J3714" s="128">
        <v>1.2514277194895672E-3</v>
      </c>
      <c r="K3714" s="128"/>
      <c r="L3714" s="128">
        <v>4.2799999999999998E-2</v>
      </c>
      <c r="O3714" s="2"/>
    </row>
    <row r="3715" spans="2:15" x14ac:dyDescent="0.2">
      <c r="B3715" s="1">
        <v>3700</v>
      </c>
      <c r="C3715" s="5">
        <f ca="1"/>
        <v>-8.9401368530030778E-2</v>
      </c>
      <c r="D3715" s="5">
        <f ca="1">S0*EXP((μ-0.5*σ*σ)*T+σ*SQRT(T)*$C3715)</f>
        <v>0.65867457249594774</v>
      </c>
      <c r="E3715" s="5">
        <f ca="1">MAX(0,CP*(D3715-K))</f>
        <v>0</v>
      </c>
      <c r="F3715" s="4">
        <f ca="1">(CP*(D3715-K)&gt;0)*1</f>
        <v>0</v>
      </c>
      <c r="H3715" s="4">
        <v>3700</v>
      </c>
      <c r="I3715" s="3">
        <v>0.66774026334141856</v>
      </c>
      <c r="J3715" s="128">
        <v>1.235000586143943E-3</v>
      </c>
      <c r="K3715" s="128"/>
      <c r="L3715" s="128">
        <v>4.1200000000000001E-2</v>
      </c>
      <c r="O3715" s="2"/>
    </row>
    <row r="3716" spans="2:15" x14ac:dyDescent="0.2">
      <c r="B3716" s="1">
        <v>3701</v>
      </c>
      <c r="C3716" s="5">
        <f ca="1"/>
        <v>-0.18475389561769937</v>
      </c>
      <c r="D3716" s="5">
        <f ca="1">S0*EXP((μ-0.5*σ*σ)*T+σ*SQRT(T)*$C3716)</f>
        <v>0.65251167252611286</v>
      </c>
      <c r="E3716" s="5">
        <f ca="1">MAX(0,CP*(D3716-K))</f>
        <v>0</v>
      </c>
      <c r="F3716" s="4">
        <f ca="1">(CP*(D3716-K)&gt;0)*1</f>
        <v>0</v>
      </c>
      <c r="H3716" s="4">
        <v>3701</v>
      </c>
      <c r="I3716" s="3">
        <v>0.66761863280461509</v>
      </c>
      <c r="J3716" s="128">
        <v>1.2147005580837472E-3</v>
      </c>
      <c r="K3716" s="128"/>
      <c r="L3716" s="128">
        <v>3.7999999999999999E-2</v>
      </c>
      <c r="O3716" s="2"/>
    </row>
    <row r="3717" spans="2:15" x14ac:dyDescent="0.2">
      <c r="B3717" s="1">
        <v>3702</v>
      </c>
      <c r="C3717" s="5">
        <f ca="1"/>
        <v>-0.47436805953394412</v>
      </c>
      <c r="D3717" s="5">
        <f ca="1">S0*EXP((μ-0.5*σ*σ)*T+σ*SQRT(T)*$C3717)</f>
        <v>0.63414440734806743</v>
      </c>
      <c r="E3717" s="5">
        <f ca="1">MAX(0,CP*(D3717-K))</f>
        <v>0</v>
      </c>
      <c r="F3717" s="4">
        <f ca="1">(CP*(D3717-K)&gt;0)*1</f>
        <v>0</v>
      </c>
      <c r="H3717" s="4">
        <v>3702</v>
      </c>
      <c r="I3717" s="3">
        <v>0.66788710958770758</v>
      </c>
      <c r="J3717" s="128">
        <v>1.4500723938160221E-3</v>
      </c>
      <c r="K3717" s="128"/>
      <c r="L3717" s="128">
        <v>4.36E-2</v>
      </c>
      <c r="O3717" s="2"/>
    </row>
    <row r="3718" spans="2:15" x14ac:dyDescent="0.2">
      <c r="B3718" s="1">
        <v>3703</v>
      </c>
      <c r="C3718" s="5">
        <f ca="1"/>
        <v>0.10034902602371459</v>
      </c>
      <c r="D3718" s="5">
        <f ca="1">S0*EXP((μ-0.5*σ*σ)*T+σ*SQRT(T)*$C3718)</f>
        <v>0.67111237953516401</v>
      </c>
      <c r="E3718" s="5">
        <f ca="1">MAX(0,CP*(D3718-K))</f>
        <v>0</v>
      </c>
      <c r="F3718" s="4">
        <f ca="1">(CP*(D3718-K)&gt;0)*1</f>
        <v>0</v>
      </c>
      <c r="H3718" s="4">
        <v>3703</v>
      </c>
      <c r="I3718" s="3">
        <v>0.66782048335420374</v>
      </c>
      <c r="J3718" s="128">
        <v>1.4774562656659357E-3</v>
      </c>
      <c r="K3718" s="128"/>
      <c r="L3718" s="128">
        <v>4.3799999999999999E-2</v>
      </c>
      <c r="O3718" s="2"/>
    </row>
    <row r="3719" spans="2:15" x14ac:dyDescent="0.2">
      <c r="B3719" s="1">
        <v>3704</v>
      </c>
      <c r="C3719" s="5">
        <f ca="1"/>
        <v>-1.1171450773354517</v>
      </c>
      <c r="D3719" s="5">
        <f ca="1">S0*EXP((μ-0.5*σ*σ)*T+σ*SQRT(T)*$C3719)</f>
        <v>0.59520562885128714</v>
      </c>
      <c r="E3719" s="5">
        <f ca="1">MAX(0,CP*(D3719-K))</f>
        <v>0</v>
      </c>
      <c r="F3719" s="4">
        <f ca="1">(CP*(D3719-K)&gt;0)*1</f>
        <v>0</v>
      </c>
      <c r="H3719" s="4">
        <v>3704</v>
      </c>
      <c r="I3719" s="3">
        <v>0.66766732309097598</v>
      </c>
      <c r="J3719" s="128">
        <v>1.3161355533927908E-3</v>
      </c>
      <c r="K3719" s="128"/>
      <c r="L3719" s="128">
        <v>4.2999999999999997E-2</v>
      </c>
      <c r="O3719" s="2"/>
    </row>
    <row r="3720" spans="2:15" x14ac:dyDescent="0.2">
      <c r="B3720" s="1">
        <v>3705</v>
      </c>
      <c r="C3720" s="5">
        <f ca="1"/>
        <v>1.3196182190106358</v>
      </c>
      <c r="D3720" s="5">
        <f ca="1">S0*EXP((μ-0.5*σ*σ)*T+σ*SQRT(T)*$C3720)</f>
        <v>0.75683197590014339</v>
      </c>
      <c r="E3720" s="5">
        <f ca="1">MAX(0,CP*(D3720-K))</f>
        <v>0</v>
      </c>
      <c r="F3720" s="4">
        <f ca="1">(CP*(D3720-K)&gt;0)*1</f>
        <v>0</v>
      </c>
      <c r="H3720" s="4">
        <v>3705</v>
      </c>
      <c r="I3720" s="3">
        <v>0.66781594128858868</v>
      </c>
      <c r="J3720" s="128">
        <v>1.4295937783573027E-3</v>
      </c>
      <c r="K3720" s="128"/>
      <c r="L3720" s="128">
        <v>0.04</v>
      </c>
      <c r="O3720" s="2"/>
    </row>
    <row r="3721" spans="2:15" x14ac:dyDescent="0.2">
      <c r="B3721" s="1">
        <v>3706</v>
      </c>
      <c r="C3721" s="5">
        <f ca="1"/>
        <v>-0.33476694267923307</v>
      </c>
      <c r="D3721" s="5">
        <f ca="1">S0*EXP((μ-0.5*σ*σ)*T+σ*SQRT(T)*$C3721)</f>
        <v>0.64293242231588288</v>
      </c>
      <c r="E3721" s="5">
        <f ca="1">MAX(0,CP*(D3721-K))</f>
        <v>0</v>
      </c>
      <c r="F3721" s="4">
        <f ca="1">(CP*(D3721-K)&gt;0)*1</f>
        <v>0</v>
      </c>
      <c r="H3721" s="4">
        <v>3706</v>
      </c>
      <c r="I3721" s="3">
        <v>0.66769288391386006</v>
      </c>
      <c r="J3721" s="128">
        <v>1.4013186295218534E-3</v>
      </c>
      <c r="K3721" s="128"/>
      <c r="L3721" s="128">
        <v>3.7600000000000001E-2</v>
      </c>
      <c r="O3721" s="2"/>
    </row>
    <row r="3722" spans="2:15" x14ac:dyDescent="0.2">
      <c r="B3722" s="1">
        <v>3707</v>
      </c>
      <c r="C3722" s="5">
        <f ca="1"/>
        <v>1.0309097577816941</v>
      </c>
      <c r="D3722" s="5">
        <f ca="1">S0*EXP((μ-0.5*σ*σ)*T+σ*SQRT(T)*$C3722)</f>
        <v>0.73559392314719796</v>
      </c>
      <c r="E3722" s="5">
        <f ca="1">MAX(0,CP*(D3722-K))</f>
        <v>0</v>
      </c>
      <c r="F3722" s="4">
        <f ca="1">(CP*(D3722-K)&gt;0)*1</f>
        <v>0</v>
      </c>
      <c r="H3722" s="4">
        <v>3707</v>
      </c>
      <c r="I3722" s="3">
        <v>0.66773850756222219</v>
      </c>
      <c r="J3722" s="128">
        <v>1.3629793494272023E-3</v>
      </c>
      <c r="K3722" s="128"/>
      <c r="L3722" s="128">
        <v>4.1599999999999998E-2</v>
      </c>
      <c r="O3722" s="2"/>
    </row>
    <row r="3723" spans="2:15" x14ac:dyDescent="0.2">
      <c r="B3723" s="1">
        <v>3708</v>
      </c>
      <c r="C3723" s="5">
        <f ca="1"/>
        <v>-0.38654861054765288</v>
      </c>
      <c r="D3723" s="5">
        <f ca="1">S0*EXP((μ-0.5*σ*σ)*T+σ*SQRT(T)*$C3723)</f>
        <v>0.63965860069594582</v>
      </c>
      <c r="E3723" s="5">
        <f ca="1">MAX(0,CP*(D3723-K))</f>
        <v>0</v>
      </c>
      <c r="F3723" s="4">
        <f ca="1">(CP*(D3723-K)&gt;0)*1</f>
        <v>0</v>
      </c>
      <c r="H3723" s="4">
        <v>3708</v>
      </c>
      <c r="I3723" s="3">
        <v>0.66766784339776364</v>
      </c>
      <c r="J3723" s="128">
        <v>1.3793139299501616E-3</v>
      </c>
      <c r="K3723" s="128"/>
      <c r="L3723" s="128">
        <v>3.9399999999999998E-2</v>
      </c>
      <c r="O3723" s="2"/>
    </row>
    <row r="3724" spans="2:15" x14ac:dyDescent="0.2">
      <c r="B3724" s="1">
        <v>3709</v>
      </c>
      <c r="C3724" s="5">
        <f ca="1"/>
        <v>-0.39781941378662883</v>
      </c>
      <c r="D3724" s="5">
        <f ca="1">S0*EXP((μ-0.5*σ*σ)*T+σ*SQRT(T)*$C3724)</f>
        <v>0.63894823240177179</v>
      </c>
      <c r="E3724" s="5">
        <f ca="1">MAX(0,CP*(D3724-K))</f>
        <v>0</v>
      </c>
      <c r="F3724" s="4">
        <f ca="1">(CP*(D3724-K)&gt;0)*1</f>
        <v>0</v>
      </c>
      <c r="H3724" s="4">
        <v>3709</v>
      </c>
      <c r="I3724" s="3">
        <v>0.66790115761197455</v>
      </c>
      <c r="J3724" s="128">
        <v>1.4570905403755998E-3</v>
      </c>
      <c r="K3724" s="128"/>
      <c r="L3724" s="128">
        <v>4.2200000000000001E-2</v>
      </c>
      <c r="O3724" s="2"/>
    </row>
    <row r="3725" spans="2:15" x14ac:dyDescent="0.2">
      <c r="B3725" s="1">
        <v>3710</v>
      </c>
      <c r="C3725" s="5">
        <f ca="1"/>
        <v>0.86382158564505107</v>
      </c>
      <c r="D3725" s="5">
        <f ca="1">S0*EXP((μ-0.5*σ*σ)*T+σ*SQRT(T)*$C3725)</f>
        <v>0.72357588858572097</v>
      </c>
      <c r="E3725" s="5">
        <f ca="1">MAX(0,CP*(D3725-K))</f>
        <v>0</v>
      </c>
      <c r="F3725" s="4">
        <f ca="1">(CP*(D3725-K)&gt;0)*1</f>
        <v>0</v>
      </c>
      <c r="H3725" s="4">
        <v>3710</v>
      </c>
      <c r="I3725" s="3">
        <v>0.66767389518134224</v>
      </c>
      <c r="J3725" s="128">
        <v>1.2526934564860996E-3</v>
      </c>
      <c r="K3725" s="128"/>
      <c r="L3725" s="128">
        <v>3.9800000000000002E-2</v>
      </c>
      <c r="O3725" s="2"/>
    </row>
    <row r="3726" spans="2:15" x14ac:dyDescent="0.2">
      <c r="B3726" s="1">
        <v>3711</v>
      </c>
      <c r="C3726" s="5">
        <f ca="1"/>
        <v>-1.3808587324855477</v>
      </c>
      <c r="D3726" s="5">
        <f ca="1">S0*EXP((μ-0.5*σ*σ)*T+σ*SQRT(T)*$C3726)</f>
        <v>0.57993038968407251</v>
      </c>
      <c r="E3726" s="5">
        <f ca="1">MAX(0,CP*(D3726-K))</f>
        <v>0</v>
      </c>
      <c r="F3726" s="4">
        <f ca="1">(CP*(D3726-K)&gt;0)*1</f>
        <v>0</v>
      </c>
      <c r="H3726" s="4">
        <v>3711</v>
      </c>
      <c r="I3726" s="3">
        <v>0.66779709176249169</v>
      </c>
      <c r="J3726" s="128">
        <v>1.3853422129659013E-3</v>
      </c>
      <c r="K3726" s="128"/>
      <c r="L3726" s="128">
        <v>4.3400000000000001E-2</v>
      </c>
      <c r="O3726" s="2"/>
    </row>
    <row r="3727" spans="2:15" x14ac:dyDescent="0.2">
      <c r="B3727" s="1">
        <v>3712</v>
      </c>
      <c r="C3727" s="5">
        <f ca="1"/>
        <v>0.18423574971970791</v>
      </c>
      <c r="D3727" s="5">
        <f ca="1">S0*EXP((μ-0.5*σ*σ)*T+σ*SQRT(T)*$C3727)</f>
        <v>0.6766856136616457</v>
      </c>
      <c r="E3727" s="5">
        <f ca="1">MAX(0,CP*(D3727-K))</f>
        <v>0</v>
      </c>
      <c r="F3727" s="4">
        <f ca="1">(CP*(D3727-K)&gt;0)*1</f>
        <v>0</v>
      </c>
      <c r="H3727" s="4">
        <v>3712</v>
      </c>
      <c r="I3727" s="3">
        <v>0.66781042557265335</v>
      </c>
      <c r="J3727" s="128">
        <v>1.3861145725260376E-3</v>
      </c>
      <c r="K3727" s="128"/>
      <c r="L3727" s="128">
        <v>4.3200000000000002E-2</v>
      </c>
      <c r="O3727" s="2"/>
    </row>
    <row r="3728" spans="2:15" x14ac:dyDescent="0.2">
      <c r="B3728" s="1">
        <v>3713</v>
      </c>
      <c r="C3728" s="5">
        <f ca="1"/>
        <v>-0.69826160036382723</v>
      </c>
      <c r="D3728" s="5">
        <f ca="1">S0*EXP((μ-0.5*σ*σ)*T+σ*SQRT(T)*$C3728)</f>
        <v>0.62030022993424883</v>
      </c>
      <c r="E3728" s="5">
        <f ca="1">MAX(0,CP*(D3728-K))</f>
        <v>0</v>
      </c>
      <c r="F3728" s="4">
        <f ca="1">(CP*(D3728-K)&gt;0)*1</f>
        <v>0</v>
      </c>
      <c r="H3728" s="4">
        <v>3713</v>
      </c>
      <c r="I3728" s="3">
        <v>0.66775831245851947</v>
      </c>
      <c r="J3728" s="128">
        <v>1.3277654080335842E-3</v>
      </c>
      <c r="K3728" s="128"/>
      <c r="L3728" s="128">
        <v>4.2200000000000001E-2</v>
      </c>
      <c r="O3728" s="2"/>
    </row>
    <row r="3729" spans="2:15" x14ac:dyDescent="0.2">
      <c r="B3729" s="1">
        <v>3714</v>
      </c>
      <c r="C3729" s="5">
        <f ca="1"/>
        <v>0.46238423882417595</v>
      </c>
      <c r="D3729" s="5">
        <f ca="1">S0*EXP((μ-0.5*σ*σ)*T+σ*SQRT(T)*$C3729)</f>
        <v>0.6954984197221924</v>
      </c>
      <c r="E3729" s="5">
        <f ca="1">MAX(0,CP*(D3729-K))</f>
        <v>0</v>
      </c>
      <c r="F3729" s="4">
        <f ca="1">(CP*(D3729-K)&gt;0)*1</f>
        <v>0</v>
      </c>
      <c r="H3729" s="4">
        <v>3714</v>
      </c>
      <c r="I3729" s="3">
        <v>0.66775478918478526</v>
      </c>
      <c r="J3729" s="128">
        <v>1.3871539292891492E-3</v>
      </c>
      <c r="K3729" s="128"/>
      <c r="L3729" s="128">
        <v>4.3999999999999997E-2</v>
      </c>
      <c r="O3729" s="2"/>
    </row>
    <row r="3730" spans="2:15" x14ac:dyDescent="0.2">
      <c r="B3730" s="1">
        <v>3715</v>
      </c>
      <c r="C3730" s="5">
        <f ca="1"/>
        <v>-0.45649346463006668</v>
      </c>
      <c r="D3730" s="5">
        <f ca="1">S0*EXP((μ-0.5*σ*σ)*T+σ*SQRT(T)*$C3730)</f>
        <v>0.63526288886253113</v>
      </c>
      <c r="E3730" s="5">
        <f ca="1">MAX(0,CP*(D3730-K))</f>
        <v>0</v>
      </c>
      <c r="F3730" s="4">
        <f ca="1">(CP*(D3730-K)&gt;0)*1</f>
        <v>0</v>
      </c>
      <c r="H3730" s="4">
        <v>3715</v>
      </c>
      <c r="I3730" s="3">
        <v>0.66772550508047557</v>
      </c>
      <c r="J3730" s="128">
        <v>1.2463368534293014E-3</v>
      </c>
      <c r="K3730" s="128"/>
      <c r="L3730" s="128">
        <v>4.0399999999999998E-2</v>
      </c>
      <c r="O3730" s="2"/>
    </row>
    <row r="3731" spans="2:15" x14ac:dyDescent="0.2">
      <c r="B3731" s="1">
        <v>3716</v>
      </c>
      <c r="C3731" s="5">
        <f ca="1"/>
        <v>0.61023865228807683</v>
      </c>
      <c r="D3731" s="5">
        <f ca="1">S0*EXP((μ-0.5*σ*σ)*T+σ*SQRT(T)*$C3731)</f>
        <v>0.70571066583384989</v>
      </c>
      <c r="E3731" s="5">
        <f ca="1">MAX(0,CP*(D3731-K))</f>
        <v>0</v>
      </c>
      <c r="F3731" s="4">
        <f ca="1">(CP*(D3731-K)&gt;0)*1</f>
        <v>0</v>
      </c>
      <c r="H3731" s="4">
        <v>3716</v>
      </c>
      <c r="I3731" s="3">
        <v>0.66778099575648719</v>
      </c>
      <c r="J3731" s="128">
        <v>1.3141718322880671E-3</v>
      </c>
      <c r="K3731" s="128"/>
      <c r="L3731" s="128">
        <v>4.4400000000000002E-2</v>
      </c>
      <c r="O3731" s="2"/>
    </row>
    <row r="3732" spans="2:15" x14ac:dyDescent="0.2">
      <c r="B3732" s="1">
        <v>3717</v>
      </c>
      <c r="C3732" s="5">
        <f ca="1"/>
        <v>0.67315413303379801</v>
      </c>
      <c r="D3732" s="5">
        <f ca="1">S0*EXP((μ-0.5*σ*σ)*T+σ*SQRT(T)*$C3732)</f>
        <v>0.71010156548435055</v>
      </c>
      <c r="E3732" s="5">
        <f ca="1">MAX(0,CP*(D3732-K))</f>
        <v>0</v>
      </c>
      <c r="F3732" s="4">
        <f ca="1">(CP*(D3732-K)&gt;0)*1</f>
        <v>0</v>
      </c>
      <c r="H3732" s="4">
        <v>3717</v>
      </c>
      <c r="I3732" s="3">
        <v>0.66754296094448562</v>
      </c>
      <c r="J3732" s="128">
        <v>1.1209476916057299E-3</v>
      </c>
      <c r="K3732" s="128"/>
      <c r="L3732" s="128">
        <v>3.7999999999999999E-2</v>
      </c>
      <c r="O3732" s="2"/>
    </row>
    <row r="3733" spans="2:15" x14ac:dyDescent="0.2">
      <c r="B3733" s="1">
        <v>3718</v>
      </c>
      <c r="C3733" s="5">
        <f ca="1"/>
        <v>-0.82912206344470374</v>
      </c>
      <c r="D3733" s="5">
        <f ca="1">S0*EXP((μ-0.5*σ*σ)*T+σ*SQRT(T)*$C3733)</f>
        <v>0.61234901182068147</v>
      </c>
      <c r="E3733" s="5">
        <f ca="1">MAX(0,CP*(D3733-K))</f>
        <v>0</v>
      </c>
      <c r="F3733" s="4">
        <f ca="1">(CP*(D3733-K)&gt;0)*1</f>
        <v>0</v>
      </c>
      <c r="H3733" s="4">
        <v>3718</v>
      </c>
      <c r="I3733" s="3">
        <v>0.66759347496741817</v>
      </c>
      <c r="J3733" s="128">
        <v>1.1909405026080642E-3</v>
      </c>
      <c r="K3733" s="128"/>
      <c r="L3733" s="128">
        <v>4.1200000000000001E-2</v>
      </c>
      <c r="O3733" s="2"/>
    </row>
    <row r="3734" spans="2:15" x14ac:dyDescent="0.2">
      <c r="B3734" s="1">
        <v>3719</v>
      </c>
      <c r="C3734" s="5">
        <f ca="1"/>
        <v>-0.52494787353823857</v>
      </c>
      <c r="D3734" s="5">
        <f ca="1">S0*EXP((μ-0.5*σ*σ)*T+σ*SQRT(T)*$C3734)</f>
        <v>0.63099009458899757</v>
      </c>
      <c r="E3734" s="5">
        <f ca="1">MAX(0,CP*(D3734-K))</f>
        <v>0</v>
      </c>
      <c r="F3734" s="4">
        <f ca="1">(CP*(D3734-K)&gt;0)*1</f>
        <v>0</v>
      </c>
      <c r="H3734" s="4">
        <v>3719</v>
      </c>
      <c r="I3734" s="3">
        <v>0.66768261216876967</v>
      </c>
      <c r="J3734" s="128">
        <v>1.3166411166833244E-3</v>
      </c>
      <c r="K3734" s="128"/>
      <c r="L3734" s="128">
        <v>4.0599999999999997E-2</v>
      </c>
      <c r="O3734" s="2"/>
    </row>
    <row r="3735" spans="2:15" x14ac:dyDescent="0.2">
      <c r="B3735" s="1">
        <v>3720</v>
      </c>
      <c r="C3735" s="5">
        <f ca="1"/>
        <v>-0.23476131797214667</v>
      </c>
      <c r="D3735" s="5">
        <f ca="1">S0*EXP((μ-0.5*σ*σ)*T+σ*SQRT(T)*$C3735)</f>
        <v>0.6493026382495739</v>
      </c>
      <c r="E3735" s="5">
        <f ca="1">MAX(0,CP*(D3735-K))</f>
        <v>0</v>
      </c>
      <c r="F3735" s="4">
        <f ca="1">(CP*(D3735-K)&gt;0)*1</f>
        <v>0</v>
      </c>
      <c r="H3735" s="4">
        <v>3720</v>
      </c>
      <c r="I3735" s="3">
        <v>0.66758872554378679</v>
      </c>
      <c r="J3735" s="128">
        <v>1.1337136553286964E-3</v>
      </c>
      <c r="K3735" s="128"/>
      <c r="L3735" s="128">
        <v>3.6799999999999999E-2</v>
      </c>
      <c r="O3735" s="2"/>
    </row>
    <row r="3736" spans="2:15" x14ac:dyDescent="0.2">
      <c r="B3736" s="1">
        <v>3721</v>
      </c>
      <c r="C3736" s="5">
        <f ca="1"/>
        <v>1.252897695828646</v>
      </c>
      <c r="D3736" s="5">
        <f ca="1">S0*EXP((μ-0.5*σ*σ)*T+σ*SQRT(T)*$C3736)</f>
        <v>0.75187001809982168</v>
      </c>
      <c r="E3736" s="5">
        <f ca="1">MAX(0,CP*(D3736-K))</f>
        <v>0</v>
      </c>
      <c r="F3736" s="4">
        <f ca="1">(CP*(D3736-K)&gt;0)*1</f>
        <v>0</v>
      </c>
      <c r="H3736" s="4">
        <v>3721</v>
      </c>
      <c r="I3736" s="3">
        <v>0.66767060303946391</v>
      </c>
      <c r="J3736" s="128">
        <v>1.252850106095142E-3</v>
      </c>
      <c r="K3736" s="128"/>
      <c r="L3736" s="128">
        <v>3.7199999999999997E-2</v>
      </c>
      <c r="O3736" s="2"/>
    </row>
    <row r="3737" spans="2:15" x14ac:dyDescent="0.2">
      <c r="B3737" s="1">
        <v>3722</v>
      </c>
      <c r="C3737" s="5">
        <f ca="1"/>
        <v>-0.47213708435066548</v>
      </c>
      <c r="D3737" s="5">
        <f ca="1">S0*EXP((μ-0.5*σ*σ)*T+σ*SQRT(T)*$C3737)</f>
        <v>0.63428390033960091</v>
      </c>
      <c r="E3737" s="5">
        <f ca="1">MAX(0,CP*(D3737-K))</f>
        <v>0</v>
      </c>
      <c r="F3737" s="4">
        <f ca="1">(CP*(D3737-K)&gt;0)*1</f>
        <v>0</v>
      </c>
      <c r="H3737" s="4">
        <v>3722</v>
      </c>
      <c r="I3737" s="3">
        <v>0.66785713131609103</v>
      </c>
      <c r="J3737" s="128">
        <v>1.4992237266999054E-3</v>
      </c>
      <c r="K3737" s="128"/>
      <c r="L3737" s="128">
        <v>4.4200000000000003E-2</v>
      </c>
      <c r="O3737" s="2"/>
    </row>
    <row r="3738" spans="2:15" x14ac:dyDescent="0.2">
      <c r="B3738" s="1">
        <v>3723</v>
      </c>
      <c r="C3738" s="5">
        <f ca="1"/>
        <v>-0.51427931857129205</v>
      </c>
      <c r="D3738" s="5">
        <f ca="1">S0*EXP((μ-0.5*σ*σ)*T+σ*SQRT(T)*$C3738)</f>
        <v>0.63165411017555106</v>
      </c>
      <c r="E3738" s="5">
        <f ca="1">MAX(0,CP*(D3738-K))</f>
        <v>0</v>
      </c>
      <c r="F3738" s="4">
        <f ca="1">(CP*(D3738-K)&gt;0)*1</f>
        <v>0</v>
      </c>
      <c r="H3738" s="4">
        <v>3723</v>
      </c>
      <c r="I3738" s="3">
        <v>0.66792259801462572</v>
      </c>
      <c r="J3738" s="128">
        <v>1.5171801677024742E-3</v>
      </c>
      <c r="K3738" s="128"/>
      <c r="L3738" s="128">
        <v>4.4999999999999998E-2</v>
      </c>
      <c r="O3738" s="2"/>
    </row>
    <row r="3739" spans="2:15" x14ac:dyDescent="0.2">
      <c r="B3739" s="1">
        <v>3724</v>
      </c>
      <c r="C3739" s="5">
        <f ca="1"/>
        <v>1.4587766589314315</v>
      </c>
      <c r="D3739" s="5">
        <f ca="1">S0*EXP((μ-0.5*σ*σ)*T+σ*SQRT(T)*$C3739)</f>
        <v>0.7672867163107151</v>
      </c>
      <c r="E3739" s="5">
        <f ca="1">MAX(0,CP*(D3739-K))</f>
        <v>0</v>
      </c>
      <c r="F3739" s="4">
        <f ca="1">(CP*(D3739-K)&gt;0)*1</f>
        <v>0</v>
      </c>
      <c r="H3739" s="4">
        <v>3724</v>
      </c>
      <c r="I3739" s="3">
        <v>0.66758889454856885</v>
      </c>
      <c r="J3739" s="128">
        <v>1.1334349661585661E-3</v>
      </c>
      <c r="K3739" s="128"/>
      <c r="L3739" s="128">
        <v>3.5799999999999998E-2</v>
      </c>
      <c r="O3739" s="2"/>
    </row>
    <row r="3740" spans="2:15" x14ac:dyDescent="0.2">
      <c r="B3740" s="1">
        <v>3725</v>
      </c>
      <c r="C3740" s="5">
        <f ca="1"/>
        <v>0.62856349330236938</v>
      </c>
      <c r="D3740" s="5">
        <f ca="1">S0*EXP((μ-0.5*σ*σ)*T+σ*SQRT(T)*$C3740)</f>
        <v>0.70698675486136986</v>
      </c>
      <c r="E3740" s="5">
        <f ca="1">MAX(0,CP*(D3740-K))</f>
        <v>0</v>
      </c>
      <c r="F3740" s="4">
        <f ca="1">(CP*(D3740-K)&gt;0)*1</f>
        <v>0</v>
      </c>
      <c r="H3740" s="4">
        <v>3725</v>
      </c>
      <c r="I3740" s="3">
        <v>0.66766446007510072</v>
      </c>
      <c r="J3740" s="128">
        <v>1.2678792641090712E-3</v>
      </c>
      <c r="K3740" s="128"/>
      <c r="L3740" s="128">
        <v>3.9E-2</v>
      </c>
      <c r="O3740" s="2"/>
    </row>
    <row r="3741" spans="2:15" x14ac:dyDescent="0.2">
      <c r="B3741" s="1">
        <v>3726</v>
      </c>
      <c r="C3741" s="5">
        <f ca="1"/>
        <v>-1.495222372538223</v>
      </c>
      <c r="D3741" s="5">
        <f ca="1">S0*EXP((μ-0.5*σ*σ)*T+σ*SQRT(T)*$C3741)</f>
        <v>0.57342850052259497</v>
      </c>
      <c r="E3741" s="5">
        <f ca="1">MAX(0,CP*(D3741-K))</f>
        <v>0</v>
      </c>
      <c r="F3741" s="4">
        <f ca="1">(CP*(D3741-K)&gt;0)*1</f>
        <v>0</v>
      </c>
      <c r="H3741" s="4">
        <v>3726</v>
      </c>
      <c r="I3741" s="3">
        <v>0.66784583868505665</v>
      </c>
      <c r="J3741" s="128">
        <v>1.4764446962874653E-3</v>
      </c>
      <c r="K3741" s="128"/>
      <c r="L3741" s="128">
        <v>4.2799999999999998E-2</v>
      </c>
      <c r="O3741" s="2"/>
    </row>
    <row r="3742" spans="2:15" x14ac:dyDescent="0.2">
      <c r="B3742" s="1">
        <v>3727</v>
      </c>
      <c r="C3742" s="5">
        <f ca="1"/>
        <v>-0.33798953582932234</v>
      </c>
      <c r="D3742" s="5">
        <f ca="1">S0*EXP((μ-0.5*σ*σ)*T+σ*SQRT(T)*$C3742)</f>
        <v>0.64272819043359697</v>
      </c>
      <c r="E3742" s="5">
        <f ca="1">MAX(0,CP*(D3742-K))</f>
        <v>0</v>
      </c>
      <c r="F3742" s="4">
        <f ca="1">(CP*(D3742-K)&gt;0)*1</f>
        <v>0</v>
      </c>
      <c r="H3742" s="4">
        <v>3727</v>
      </c>
      <c r="I3742" s="3">
        <v>0.66769391005508938</v>
      </c>
      <c r="J3742" s="128">
        <v>1.3419149898848922E-3</v>
      </c>
      <c r="K3742" s="128"/>
      <c r="L3742" s="128">
        <v>4.2999999999999997E-2</v>
      </c>
      <c r="O3742" s="2"/>
    </row>
    <row r="3743" spans="2:15" x14ac:dyDescent="0.2">
      <c r="B3743" s="1">
        <v>3728</v>
      </c>
      <c r="C3743" s="5">
        <f ca="1"/>
        <v>1.5881611313142103</v>
      </c>
      <c r="D3743" s="5">
        <f ca="1">S0*EXP((μ-0.5*σ*σ)*T+σ*SQRT(T)*$C3743)</f>
        <v>0.7771366740211082</v>
      </c>
      <c r="E3743" s="5">
        <f ca="1">MAX(0,CP*(D3743-K))</f>
        <v>0</v>
      </c>
      <c r="F3743" s="4">
        <f ca="1">(CP*(D3743-K)&gt;0)*1</f>
        <v>0</v>
      </c>
      <c r="H3743" s="4">
        <v>3728</v>
      </c>
      <c r="I3743" s="3">
        <v>0.66762936280963925</v>
      </c>
      <c r="J3743" s="128">
        <v>1.363093508293442E-3</v>
      </c>
      <c r="K3743" s="128"/>
      <c r="L3743" s="128">
        <v>4.1000000000000002E-2</v>
      </c>
      <c r="O3743" s="2"/>
    </row>
    <row r="3744" spans="2:15" x14ac:dyDescent="0.2">
      <c r="B3744" s="1">
        <v>3729</v>
      </c>
      <c r="C3744" s="5">
        <f ca="1"/>
        <v>-0.53361633873948566</v>
      </c>
      <c r="D3744" s="5">
        <f ca="1">S0*EXP((μ-0.5*σ*σ)*T+σ*SQRT(T)*$C3744)</f>
        <v>0.63045107951466117</v>
      </c>
      <c r="E3744" s="5">
        <f ca="1">MAX(0,CP*(D3744-K))</f>
        <v>0</v>
      </c>
      <c r="F3744" s="4">
        <f ca="1">(CP*(D3744-K)&gt;0)*1</f>
        <v>0</v>
      </c>
      <c r="H3744" s="4">
        <v>3729</v>
      </c>
      <c r="I3744" s="3">
        <v>0.66780862469115765</v>
      </c>
      <c r="J3744" s="128">
        <v>1.4652899494872174E-3</v>
      </c>
      <c r="K3744" s="128"/>
      <c r="L3744" s="128">
        <v>4.4600000000000001E-2</v>
      </c>
      <c r="O3744" s="2"/>
    </row>
    <row r="3745" spans="2:15" x14ac:dyDescent="0.2">
      <c r="B3745" s="1">
        <v>3730</v>
      </c>
      <c r="C3745" s="5">
        <f ca="1"/>
        <v>0.41121377696100486</v>
      </c>
      <c r="D3745" s="5">
        <f ca="1">S0*EXP((μ-0.5*σ*σ)*T+σ*SQRT(T)*$C3745)</f>
        <v>0.69199862792881017</v>
      </c>
      <c r="E3745" s="5">
        <f ca="1">MAX(0,CP*(D3745-K))</f>
        <v>0</v>
      </c>
      <c r="F3745" s="4">
        <f ca="1">(CP*(D3745-K)&gt;0)*1</f>
        <v>0</v>
      </c>
      <c r="H3745" s="4">
        <v>3730</v>
      </c>
      <c r="I3745" s="3">
        <v>0.66767700262012764</v>
      </c>
      <c r="J3745" s="128">
        <v>1.3376382391955338E-3</v>
      </c>
      <c r="K3745" s="128"/>
      <c r="L3745" s="128">
        <v>4.1200000000000001E-2</v>
      </c>
      <c r="O3745" s="2"/>
    </row>
    <row r="3746" spans="2:15" x14ac:dyDescent="0.2">
      <c r="B3746" s="1">
        <v>3731</v>
      </c>
      <c r="C3746" s="5">
        <f ca="1"/>
        <v>-0.35065116166434762</v>
      </c>
      <c r="D3746" s="5">
        <f ca="1">S0*EXP((μ-0.5*σ*σ)*T+σ*SQRT(T)*$C3746)</f>
        <v>0.64192638773625155</v>
      </c>
      <c r="E3746" s="5">
        <f ca="1">MAX(0,CP*(D3746-K))</f>
        <v>0</v>
      </c>
      <c r="F3746" s="4">
        <f ca="1">(CP*(D3746-K)&gt;0)*1</f>
        <v>0</v>
      </c>
      <c r="H3746" s="4">
        <v>3731</v>
      </c>
      <c r="I3746" s="3">
        <v>0.66768111875385616</v>
      </c>
      <c r="J3746" s="128">
        <v>1.4035157956000955E-3</v>
      </c>
      <c r="K3746" s="128"/>
      <c r="L3746" s="128">
        <v>3.9399999999999998E-2</v>
      </c>
      <c r="O3746" s="2"/>
    </row>
    <row r="3747" spans="2:15" x14ac:dyDescent="0.2">
      <c r="B3747" s="1">
        <v>3732</v>
      </c>
      <c r="C3747" s="5">
        <f ca="1"/>
        <v>0.57663293118547965</v>
      </c>
      <c r="D3747" s="5">
        <f ca="1">S0*EXP((μ-0.5*σ*σ)*T+σ*SQRT(T)*$C3747)</f>
        <v>0.70337644259717991</v>
      </c>
      <c r="E3747" s="5">
        <f ca="1">MAX(0,CP*(D3747-K))</f>
        <v>0</v>
      </c>
      <c r="F3747" s="4">
        <f ca="1">(CP*(D3747-K)&gt;0)*1</f>
        <v>0</v>
      </c>
      <c r="H3747" s="4">
        <v>3732</v>
      </c>
      <c r="I3747" s="3">
        <v>0.66761928907834711</v>
      </c>
      <c r="J3747" s="128">
        <v>1.301296642940203E-3</v>
      </c>
      <c r="K3747" s="128"/>
      <c r="L3747" s="128">
        <v>3.78E-2</v>
      </c>
      <c r="O3747" s="2"/>
    </row>
    <row r="3748" spans="2:15" x14ac:dyDescent="0.2">
      <c r="B3748" s="1">
        <v>3733</v>
      </c>
      <c r="C3748" s="5">
        <f ca="1"/>
        <v>0.67526639980322145</v>
      </c>
      <c r="D3748" s="5">
        <f ca="1">S0*EXP((μ-0.5*σ*σ)*T+σ*SQRT(T)*$C3748)</f>
        <v>0.71024945458827482</v>
      </c>
      <c r="E3748" s="5">
        <f ca="1">MAX(0,CP*(D3748-K))</f>
        <v>0</v>
      </c>
      <c r="F3748" s="4">
        <f ca="1">(CP*(D3748-K)&gt;0)*1</f>
        <v>0</v>
      </c>
      <c r="H3748" s="4">
        <v>3733</v>
      </c>
      <c r="I3748" s="3">
        <v>0.66767221970044643</v>
      </c>
      <c r="J3748" s="128">
        <v>1.2042135448030926E-3</v>
      </c>
      <c r="K3748" s="128"/>
      <c r="L3748" s="128">
        <v>3.9800000000000002E-2</v>
      </c>
      <c r="O3748" s="2"/>
    </row>
    <row r="3749" spans="2:15" x14ac:dyDescent="0.2">
      <c r="B3749" s="1">
        <v>3734</v>
      </c>
      <c r="C3749" s="5">
        <f ca="1"/>
        <v>1.6933108577278029</v>
      </c>
      <c r="D3749" s="5">
        <f ca="1">S0*EXP((μ-0.5*σ*σ)*T+σ*SQRT(T)*$C3749)</f>
        <v>0.7852347204343314</v>
      </c>
      <c r="E3749" s="5">
        <f ca="1">MAX(0,CP*(D3749-K))</f>
        <v>0</v>
      </c>
      <c r="F3749" s="4">
        <f ca="1">(CP*(D3749-K)&gt;0)*1</f>
        <v>0</v>
      </c>
      <c r="H3749" s="4">
        <v>3734</v>
      </c>
      <c r="I3749" s="3">
        <v>0.66771821424843014</v>
      </c>
      <c r="J3749" s="128">
        <v>1.2124362353808042E-3</v>
      </c>
      <c r="K3749" s="128"/>
      <c r="L3749" s="128">
        <v>4.0800000000000003E-2</v>
      </c>
      <c r="O3749" s="2"/>
    </row>
    <row r="3750" spans="2:15" x14ac:dyDescent="0.2">
      <c r="B3750" s="1">
        <v>3735</v>
      </c>
      <c r="C3750" s="5">
        <f ca="1"/>
        <v>1.3098946134451148</v>
      </c>
      <c r="D3750" s="5">
        <f ca="1">S0*EXP((μ-0.5*σ*σ)*T+σ*SQRT(T)*$C3750)</f>
        <v>0.75610680497982319</v>
      </c>
      <c r="E3750" s="5">
        <f ca="1">MAX(0,CP*(D3750-K))</f>
        <v>0</v>
      </c>
      <c r="F3750" s="4">
        <f ca="1">(CP*(D3750-K)&gt;0)*1</f>
        <v>0</v>
      </c>
      <c r="H3750" s="4">
        <v>3735</v>
      </c>
      <c r="I3750" s="3">
        <v>0.66786204783029002</v>
      </c>
      <c r="J3750" s="128">
        <v>1.3705582903975853E-3</v>
      </c>
      <c r="K3750" s="128"/>
      <c r="L3750" s="128">
        <v>4.1599999999999998E-2</v>
      </c>
      <c r="O3750" s="2"/>
    </row>
    <row r="3751" spans="2:15" x14ac:dyDescent="0.2">
      <c r="B3751" s="1">
        <v>3736</v>
      </c>
      <c r="C3751" s="5">
        <f ca="1"/>
        <v>0.72311022260494007</v>
      </c>
      <c r="D3751" s="5">
        <f ca="1">S0*EXP((μ-0.5*σ*σ)*T+σ*SQRT(T)*$C3751)</f>
        <v>0.71360747356188592</v>
      </c>
      <c r="E3751" s="5">
        <f ca="1">MAX(0,CP*(D3751-K))</f>
        <v>0</v>
      </c>
      <c r="F3751" s="4">
        <f ca="1">(CP*(D3751-K)&gt;0)*1</f>
        <v>0</v>
      </c>
      <c r="H3751" s="4">
        <v>3736</v>
      </c>
      <c r="I3751" s="3">
        <v>0.6679711643038776</v>
      </c>
      <c r="J3751" s="128">
        <v>1.551556377716501E-3</v>
      </c>
      <c r="K3751" s="128"/>
      <c r="L3751" s="128">
        <v>4.5400000000000003E-2</v>
      </c>
      <c r="O3751" s="2"/>
    </row>
    <row r="3752" spans="2:15" x14ac:dyDescent="0.2">
      <c r="B3752" s="1">
        <v>3737</v>
      </c>
      <c r="C3752" s="5">
        <f ca="1"/>
        <v>-6.5044586981640409E-2</v>
      </c>
      <c r="D3752" s="5">
        <f ca="1">S0*EXP((μ-0.5*σ*σ)*T+σ*SQRT(T)*$C3752)</f>
        <v>0.66025813078558748</v>
      </c>
      <c r="E3752" s="5">
        <f ca="1">MAX(0,CP*(D3752-K))</f>
        <v>0</v>
      </c>
      <c r="F3752" s="4">
        <f ca="1">(CP*(D3752-K)&gt;0)*1</f>
        <v>0</v>
      </c>
      <c r="H3752" s="4">
        <v>3737</v>
      </c>
      <c r="I3752" s="3">
        <v>0.66781482093981648</v>
      </c>
      <c r="J3752" s="128">
        <v>1.3553161359242498E-3</v>
      </c>
      <c r="K3752" s="128"/>
      <c r="L3752" s="128">
        <v>4.02E-2</v>
      </c>
      <c r="O3752" s="2"/>
    </row>
    <row r="3753" spans="2:15" x14ac:dyDescent="0.2">
      <c r="B3753" s="1">
        <v>3738</v>
      </c>
      <c r="C3753" s="5">
        <f ca="1"/>
        <v>0.2402871424374021</v>
      </c>
      <c r="D3753" s="5">
        <f ca="1">S0*EXP((μ-0.5*σ*σ)*T+σ*SQRT(T)*$C3753)</f>
        <v>0.68043530545863251</v>
      </c>
      <c r="E3753" s="5">
        <f ca="1">MAX(0,CP*(D3753-K))</f>
        <v>0</v>
      </c>
      <c r="F3753" s="4">
        <f ca="1">(CP*(D3753-K)&gt;0)*1</f>
        <v>0</v>
      </c>
      <c r="H3753" s="4">
        <v>3738</v>
      </c>
      <c r="I3753" s="3">
        <v>0.66773113637027448</v>
      </c>
      <c r="J3753" s="128">
        <v>1.2765797998500531E-3</v>
      </c>
      <c r="K3753" s="128"/>
      <c r="L3753" s="128">
        <v>4.2000000000000003E-2</v>
      </c>
      <c r="O3753" s="2"/>
    </row>
    <row r="3754" spans="2:15" x14ac:dyDescent="0.2">
      <c r="B3754" s="1">
        <v>3739</v>
      </c>
      <c r="C3754" s="5">
        <f ca="1"/>
        <v>-0.4297443219274652</v>
      </c>
      <c r="D3754" s="5">
        <f ca="1">S0*EXP((μ-0.5*σ*σ)*T+σ*SQRT(T)*$C3754)</f>
        <v>0.63694037077022614</v>
      </c>
      <c r="E3754" s="5">
        <f ca="1">MAX(0,CP*(D3754-K))</f>
        <v>0</v>
      </c>
      <c r="F3754" s="4">
        <f ca="1">(CP*(D3754-K)&gt;0)*1</f>
        <v>0</v>
      </c>
      <c r="H3754" s="4">
        <v>3739</v>
      </c>
      <c r="I3754" s="3">
        <v>0.66771523632433372</v>
      </c>
      <c r="J3754" s="128">
        <v>1.2963775709647265E-3</v>
      </c>
      <c r="K3754" s="128"/>
      <c r="L3754" s="128">
        <v>0.04</v>
      </c>
      <c r="O3754" s="2"/>
    </row>
    <row r="3755" spans="2:15" x14ac:dyDescent="0.2">
      <c r="B3755" s="1">
        <v>3740</v>
      </c>
      <c r="C3755" s="5">
        <f ca="1"/>
        <v>-0.6099781976993055</v>
      </c>
      <c r="D3755" s="5">
        <f ca="1">S0*EXP((μ-0.5*σ*σ)*T+σ*SQRT(T)*$C3755)</f>
        <v>0.62572266135347587</v>
      </c>
      <c r="E3755" s="5">
        <f ca="1">MAX(0,CP*(D3755-K))</f>
        <v>0</v>
      </c>
      <c r="F3755" s="4">
        <f ca="1">(CP*(D3755-K)&gt;0)*1</f>
        <v>0</v>
      </c>
      <c r="H3755" s="4">
        <v>3740</v>
      </c>
      <c r="I3755" s="3">
        <v>0.66775243784322957</v>
      </c>
      <c r="J3755" s="128">
        <v>1.5104584645153219E-3</v>
      </c>
      <c r="K3755" s="128"/>
      <c r="L3755" s="128">
        <v>3.8800000000000001E-2</v>
      </c>
      <c r="O3755" s="2"/>
    </row>
    <row r="3756" spans="2:15" x14ac:dyDescent="0.2">
      <c r="B3756" s="1">
        <v>3741</v>
      </c>
      <c r="C3756" s="5">
        <f ca="1"/>
        <v>0.21394474417269496</v>
      </c>
      <c r="D3756" s="5">
        <f ca="1">S0*EXP((μ-0.5*σ*σ)*T+σ*SQRT(T)*$C3756)</f>
        <v>0.67867048692624332</v>
      </c>
      <c r="E3756" s="5">
        <f ca="1">MAX(0,CP*(D3756-K))</f>
        <v>0</v>
      </c>
      <c r="F3756" s="4">
        <f ca="1">(CP*(D3756-K)&gt;0)*1</f>
        <v>0</v>
      </c>
      <c r="H3756" s="4">
        <v>3741</v>
      </c>
      <c r="I3756" s="3">
        <v>0.66775103401480207</v>
      </c>
      <c r="J3756" s="128">
        <v>1.4162952341575858E-3</v>
      </c>
      <c r="K3756" s="128"/>
      <c r="L3756" s="128">
        <v>4.0399999999999998E-2</v>
      </c>
      <c r="O3756" s="2"/>
    </row>
    <row r="3757" spans="2:15" x14ac:dyDescent="0.2">
      <c r="B3757" s="1">
        <v>3742</v>
      </c>
      <c r="C3757" s="5">
        <f ca="1"/>
        <v>1.732063665053581</v>
      </c>
      <c r="D3757" s="5">
        <f ca="1">S0*EXP((μ-0.5*σ*σ)*T+σ*SQRT(T)*$C3757)</f>
        <v>0.78824048020929705</v>
      </c>
      <c r="E3757" s="5">
        <f ca="1">MAX(0,CP*(D3757-K))</f>
        <v>4.0480209297033554E-5</v>
      </c>
      <c r="F3757" s="4">
        <f ca="1">(CP*(D3757-K)&gt;0)*1</f>
        <v>1</v>
      </c>
      <c r="H3757" s="4">
        <v>3742</v>
      </c>
      <c r="I3757" s="3">
        <v>0.66777305865440661</v>
      </c>
      <c r="J3757" s="128">
        <v>1.4241687375722871E-3</v>
      </c>
      <c r="K3757" s="128"/>
      <c r="L3757" s="128">
        <v>4.24E-2</v>
      </c>
      <c r="O3757" s="2"/>
    </row>
    <row r="3758" spans="2:15" x14ac:dyDescent="0.2">
      <c r="B3758" s="1">
        <v>3743</v>
      </c>
      <c r="C3758" s="5">
        <f ca="1"/>
        <v>0.22116437429316332</v>
      </c>
      <c r="D3758" s="5">
        <f ca="1">S0*EXP((μ-0.5*σ*σ)*T+σ*SQRT(T)*$C3758)</f>
        <v>0.67915371282145631</v>
      </c>
      <c r="E3758" s="5">
        <f ca="1">MAX(0,CP*(D3758-K))</f>
        <v>0</v>
      </c>
      <c r="F3758" s="4">
        <f ca="1">(CP*(D3758-K)&gt;0)*1</f>
        <v>0</v>
      </c>
      <c r="H3758" s="4">
        <v>3743</v>
      </c>
      <c r="I3758" s="3">
        <v>0.66782064648082684</v>
      </c>
      <c r="J3758" s="128">
        <v>1.3870625919743915E-3</v>
      </c>
      <c r="K3758" s="128"/>
      <c r="L3758" s="128">
        <v>4.4600000000000001E-2</v>
      </c>
      <c r="O3758" s="2"/>
    </row>
    <row r="3759" spans="2:15" x14ac:dyDescent="0.2">
      <c r="B3759" s="1">
        <v>3744</v>
      </c>
      <c r="C3759" s="5">
        <f ca="1"/>
        <v>1.7300550962967829</v>
      </c>
      <c r="D3759" s="5">
        <f ca="1">S0*EXP((μ-0.5*σ*σ)*T+σ*SQRT(T)*$C3759)</f>
        <v>0.78808440850993033</v>
      </c>
      <c r="E3759" s="5">
        <f ca="1">MAX(0,CP*(D3759-K))</f>
        <v>0</v>
      </c>
      <c r="F3759" s="4">
        <f ca="1">(CP*(D3759-K)&gt;0)*1</f>
        <v>0</v>
      </c>
      <c r="H3759" s="4">
        <v>3744</v>
      </c>
      <c r="I3759" s="3">
        <v>0.66786532543157762</v>
      </c>
      <c r="J3759" s="128">
        <v>1.4302395105307141E-3</v>
      </c>
      <c r="K3759" s="128"/>
      <c r="L3759" s="128">
        <v>4.4999999999999998E-2</v>
      </c>
      <c r="O3759" s="2"/>
    </row>
    <row r="3760" spans="2:15" x14ac:dyDescent="0.2">
      <c r="B3760" s="1">
        <v>3745</v>
      </c>
      <c r="C3760" s="5">
        <f ca="1"/>
        <v>-1.8777400084135554</v>
      </c>
      <c r="D3760" s="5">
        <f ca="1">S0*EXP((μ-0.5*σ*σ)*T+σ*SQRT(T)*$C3760)</f>
        <v>0.55220635657602535</v>
      </c>
      <c r="E3760" s="5">
        <f ca="1">MAX(0,CP*(D3760-K))</f>
        <v>0</v>
      </c>
      <c r="F3760" s="4">
        <f ca="1">(CP*(D3760-K)&gt;0)*1</f>
        <v>0</v>
      </c>
      <c r="H3760" s="4">
        <v>3745</v>
      </c>
      <c r="I3760" s="3">
        <v>0.6678431078298378</v>
      </c>
      <c r="J3760" s="128">
        <v>1.4607636326911995E-3</v>
      </c>
      <c r="K3760" s="128"/>
      <c r="L3760" s="128">
        <v>4.4400000000000002E-2</v>
      </c>
      <c r="O3760" s="2"/>
    </row>
    <row r="3761" spans="2:15" x14ac:dyDescent="0.2">
      <c r="B3761" s="1">
        <v>3746</v>
      </c>
      <c r="C3761" s="5">
        <f ca="1"/>
        <v>-1.070719342320704</v>
      </c>
      <c r="D3761" s="5">
        <f ca="1">S0*EXP((μ-0.5*σ*σ)*T+σ*SQRT(T)*$C3761)</f>
        <v>0.59793612645378647</v>
      </c>
      <c r="E3761" s="5">
        <f ca="1">MAX(0,CP*(D3761-K))</f>
        <v>0</v>
      </c>
      <c r="F3761" s="4">
        <f ca="1">(CP*(D3761-K)&gt;0)*1</f>
        <v>0</v>
      </c>
      <c r="H3761" s="4">
        <v>3746</v>
      </c>
      <c r="I3761" s="3">
        <v>0.66768409072844848</v>
      </c>
      <c r="J3761" s="128">
        <v>1.2066076888718105E-3</v>
      </c>
      <c r="K3761" s="128"/>
      <c r="L3761" s="128">
        <v>4.2200000000000001E-2</v>
      </c>
      <c r="O3761" s="2"/>
    </row>
    <row r="3762" spans="2:15" x14ac:dyDescent="0.2">
      <c r="B3762" s="1">
        <v>3747</v>
      </c>
      <c r="C3762" s="5">
        <f ca="1"/>
        <v>2.4702097336839945</v>
      </c>
      <c r="D3762" s="5">
        <f ca="1">S0*EXP((μ-0.5*σ*σ)*T+σ*SQRT(T)*$C3762)</f>
        <v>0.84774100832996957</v>
      </c>
      <c r="E3762" s="5">
        <f ca="1">MAX(0,CP*(D3762-K))</f>
        <v>5.9541008329969558E-2</v>
      </c>
      <c r="F3762" s="4">
        <f ca="1">(CP*(D3762-K)&gt;0)*1</f>
        <v>1</v>
      </c>
      <c r="H3762" s="4">
        <v>3747</v>
      </c>
      <c r="I3762" s="3">
        <v>0.66771877845604188</v>
      </c>
      <c r="J3762" s="128">
        <v>1.3308829058277126E-3</v>
      </c>
      <c r="K3762" s="128"/>
      <c r="L3762" s="128">
        <v>3.78E-2</v>
      </c>
      <c r="O3762" s="2"/>
    </row>
    <row r="3763" spans="2:15" x14ac:dyDescent="0.2">
      <c r="B3763" s="1">
        <v>3748</v>
      </c>
      <c r="C3763" s="5">
        <f ca="1"/>
        <v>0.44154387559629787</v>
      </c>
      <c r="D3763" s="5">
        <f ca="1">S0*EXP((μ-0.5*σ*σ)*T+σ*SQRT(T)*$C3763)</f>
        <v>0.69407091656289488</v>
      </c>
      <c r="E3763" s="5">
        <f ca="1">MAX(0,CP*(D3763-K))</f>
        <v>0</v>
      </c>
      <c r="F3763" s="4">
        <f ca="1">(CP*(D3763-K)&gt;0)*1</f>
        <v>0</v>
      </c>
      <c r="H3763" s="4">
        <v>3748</v>
      </c>
      <c r="I3763" s="3">
        <v>0.66767241997367877</v>
      </c>
      <c r="J3763" s="128">
        <v>1.3154326385529038E-3</v>
      </c>
      <c r="K3763" s="128"/>
      <c r="L3763" s="128">
        <v>3.8399999999999997E-2</v>
      </c>
      <c r="O3763" s="2"/>
    </row>
    <row r="3764" spans="2:15" x14ac:dyDescent="0.2">
      <c r="B3764" s="1">
        <v>3749</v>
      </c>
      <c r="C3764" s="5">
        <f ca="1"/>
        <v>-0.75757260113449487</v>
      </c>
      <c r="D3764" s="5">
        <f ca="1">S0*EXP((μ-0.5*σ*σ)*T+σ*SQRT(T)*$C3764)</f>
        <v>0.61668371882304851</v>
      </c>
      <c r="E3764" s="5">
        <f ca="1">MAX(0,CP*(D3764-K))</f>
        <v>0</v>
      </c>
      <c r="F3764" s="4">
        <f ca="1">(CP*(D3764-K)&gt;0)*1</f>
        <v>0</v>
      </c>
      <c r="H3764" s="4">
        <v>3749</v>
      </c>
      <c r="I3764" s="3">
        <v>0.6676476717903157</v>
      </c>
      <c r="J3764" s="128">
        <v>1.3635744397998283E-3</v>
      </c>
      <c r="K3764" s="128"/>
      <c r="L3764" s="128">
        <v>3.9800000000000002E-2</v>
      </c>
      <c r="O3764" s="2"/>
    </row>
    <row r="3765" spans="2:15" x14ac:dyDescent="0.2">
      <c r="B3765" s="1">
        <v>3750</v>
      </c>
      <c r="C3765" s="5">
        <f ca="1"/>
        <v>0.79910511501800841</v>
      </c>
      <c r="D3765" s="5">
        <f ca="1">S0*EXP((μ-0.5*σ*σ)*T+σ*SQRT(T)*$C3765)</f>
        <v>0.71897400192403593</v>
      </c>
      <c r="E3765" s="5">
        <f ca="1">MAX(0,CP*(D3765-K))</f>
        <v>0</v>
      </c>
      <c r="F3765" s="4">
        <f ca="1">(CP*(D3765-K)&gt;0)*1</f>
        <v>0</v>
      </c>
      <c r="H3765" s="4">
        <v>3750</v>
      </c>
      <c r="I3765" s="3">
        <v>0.66761491080032842</v>
      </c>
      <c r="J3765" s="128">
        <v>1.3261030249894486E-3</v>
      </c>
      <c r="K3765" s="128"/>
      <c r="L3765" s="128">
        <v>3.8199999999999998E-2</v>
      </c>
      <c r="O3765" s="2"/>
    </row>
    <row r="3766" spans="2:15" x14ac:dyDescent="0.2">
      <c r="B3766" s="1">
        <v>3751</v>
      </c>
      <c r="C3766" s="5">
        <f ca="1"/>
        <v>-1.3722043460254512</v>
      </c>
      <c r="D3766" s="5">
        <f ca="1">S0*EXP((μ-0.5*σ*σ)*T+σ*SQRT(T)*$C3766)</f>
        <v>0.58042540559551226</v>
      </c>
      <c r="E3766" s="5">
        <f ca="1">MAX(0,CP*(D3766-K))</f>
        <v>0</v>
      </c>
      <c r="F3766" s="4">
        <f ca="1">(CP*(D3766-K)&gt;0)*1</f>
        <v>0</v>
      </c>
      <c r="H3766" s="4">
        <v>3751</v>
      </c>
      <c r="I3766" s="3">
        <v>0.66769717570518083</v>
      </c>
      <c r="J3766" s="128">
        <v>1.4084837512175008E-3</v>
      </c>
      <c r="K3766" s="128"/>
      <c r="L3766" s="128">
        <v>0.04</v>
      </c>
      <c r="O3766" s="2"/>
    </row>
    <row r="3767" spans="2:15" x14ac:dyDescent="0.2">
      <c r="B3767" s="1">
        <v>3752</v>
      </c>
      <c r="C3767" s="5">
        <f ca="1"/>
        <v>-1.1511126250686776</v>
      </c>
      <c r="D3767" s="5">
        <f ca="1">S0*EXP((μ-0.5*σ*σ)*T+σ*SQRT(T)*$C3767)</f>
        <v>0.59321575305124319</v>
      </c>
      <c r="E3767" s="5">
        <f ca="1">MAX(0,CP*(D3767-K))</f>
        <v>0</v>
      </c>
      <c r="F3767" s="4">
        <f ca="1">(CP*(D3767-K)&gt;0)*1</f>
        <v>0</v>
      </c>
      <c r="H3767" s="4">
        <v>3752</v>
      </c>
      <c r="I3767" s="3">
        <v>0.66776491144189942</v>
      </c>
      <c r="J3767" s="128">
        <v>1.4635692221245094E-3</v>
      </c>
      <c r="K3767" s="128"/>
      <c r="L3767" s="128">
        <v>4.5600000000000002E-2</v>
      </c>
      <c r="O3767" s="2"/>
    </row>
    <row r="3768" spans="2:15" x14ac:dyDescent="0.2">
      <c r="B3768" s="1">
        <v>3753</v>
      </c>
      <c r="C3768" s="5">
        <f ca="1"/>
        <v>8.0697482979513652E-2</v>
      </c>
      <c r="D3768" s="5">
        <f ca="1">S0*EXP((μ-0.5*σ*σ)*T+σ*SQRT(T)*$C3768)</f>
        <v>0.66981342785720777</v>
      </c>
      <c r="E3768" s="5">
        <f ca="1">MAX(0,CP*(D3768-K))</f>
        <v>0</v>
      </c>
      <c r="F3768" s="4">
        <f ca="1">(CP*(D3768-K)&gt;0)*1</f>
        <v>0</v>
      </c>
      <c r="H3768" s="4">
        <v>3753</v>
      </c>
      <c r="I3768" s="3">
        <v>0.6676769623032216</v>
      </c>
      <c r="J3768" s="128">
        <v>1.2248067602919496E-3</v>
      </c>
      <c r="K3768" s="128"/>
      <c r="L3768" s="128">
        <v>3.9399999999999998E-2</v>
      </c>
      <c r="O3768" s="2"/>
    </row>
    <row r="3769" spans="2:15" x14ac:dyDescent="0.2">
      <c r="B3769" s="1">
        <v>3754</v>
      </c>
      <c r="C3769" s="5">
        <f ca="1"/>
        <v>-5.6469642850117581E-2</v>
      </c>
      <c r="D3769" s="5">
        <f ca="1">S0*EXP((μ-0.5*σ*σ)*T+σ*SQRT(T)*$C3769)</f>
        <v>0.66081653715459676</v>
      </c>
      <c r="E3769" s="5">
        <f ca="1">MAX(0,CP*(D3769-K))</f>
        <v>0</v>
      </c>
      <c r="F3769" s="4">
        <f ca="1">(CP*(D3769-K)&gt;0)*1</f>
        <v>0</v>
      </c>
      <c r="H3769" s="4">
        <v>3754</v>
      </c>
      <c r="I3769" s="3">
        <v>0.66764725842414951</v>
      </c>
      <c r="J3769" s="128">
        <v>1.2835838931939136E-3</v>
      </c>
      <c r="K3769" s="128"/>
      <c r="L3769" s="128">
        <v>4.1799999999999997E-2</v>
      </c>
      <c r="O3769" s="2"/>
    </row>
    <row r="3770" spans="2:15" x14ac:dyDescent="0.2">
      <c r="B3770" s="1">
        <v>3755</v>
      </c>
      <c r="C3770" s="5">
        <f ca="1"/>
        <v>0.58419587291253028</v>
      </c>
      <c r="D3770" s="5">
        <f ca="1">S0*EXP((μ-0.5*σ*σ)*T+σ*SQRT(T)*$C3770)</f>
        <v>0.70390108357778736</v>
      </c>
      <c r="E3770" s="5">
        <f ca="1">MAX(0,CP*(D3770-K))</f>
        <v>0</v>
      </c>
      <c r="F3770" s="4">
        <f ca="1">(CP*(D3770-K)&gt;0)*1</f>
        <v>0</v>
      </c>
      <c r="H3770" s="4">
        <v>3755</v>
      </c>
      <c r="I3770" s="3">
        <v>0.6676592008534733</v>
      </c>
      <c r="J3770" s="128">
        <v>1.388351923952581E-3</v>
      </c>
      <c r="K3770" s="128"/>
      <c r="L3770" s="128">
        <v>3.8399999999999997E-2</v>
      </c>
      <c r="O3770" s="2"/>
    </row>
    <row r="3771" spans="2:15" x14ac:dyDescent="0.2">
      <c r="B3771" s="1">
        <v>3756</v>
      </c>
      <c r="C3771" s="5">
        <f ca="1"/>
        <v>0.15002671981023638</v>
      </c>
      <c r="D3771" s="5">
        <f ca="1">S0*EXP((μ-0.5*σ*σ)*T+σ*SQRT(T)*$C3771)</f>
        <v>0.67440728023593777</v>
      </c>
      <c r="E3771" s="5">
        <f ca="1">MAX(0,CP*(D3771-K))</f>
        <v>0</v>
      </c>
      <c r="F3771" s="4">
        <f ca="1">(CP*(D3771-K)&gt;0)*1</f>
        <v>0</v>
      </c>
      <c r="H3771" s="4">
        <v>3756</v>
      </c>
      <c r="I3771" s="3">
        <v>0.66778998134273115</v>
      </c>
      <c r="J3771" s="128">
        <v>1.4799155078336383E-3</v>
      </c>
      <c r="K3771" s="128"/>
      <c r="L3771" s="128">
        <v>4.5199999999999997E-2</v>
      </c>
      <c r="O3771" s="2"/>
    </row>
    <row r="3772" spans="2:15" x14ac:dyDescent="0.2">
      <c r="B3772" s="1">
        <v>3757</v>
      </c>
      <c r="C3772" s="5">
        <f ca="1"/>
        <v>-0.36961533079380315</v>
      </c>
      <c r="D3772" s="5">
        <f ca="1">S0*EXP((μ-0.5*σ*σ)*T+σ*SQRT(T)*$C3772)</f>
        <v>0.64072734448940316</v>
      </c>
      <c r="E3772" s="5">
        <f ca="1">MAX(0,CP*(D3772-K))</f>
        <v>0</v>
      </c>
      <c r="F3772" s="4">
        <f ca="1">(CP*(D3772-K)&gt;0)*1</f>
        <v>0</v>
      </c>
      <c r="H3772" s="4">
        <v>3757</v>
      </c>
      <c r="I3772" s="3">
        <v>0.66772018059817495</v>
      </c>
      <c r="J3772" s="128">
        <v>1.1977265665116252E-3</v>
      </c>
      <c r="K3772" s="128"/>
      <c r="L3772" s="128">
        <v>3.9399999999999998E-2</v>
      </c>
      <c r="O3772" s="2"/>
    </row>
    <row r="3773" spans="2:15" x14ac:dyDescent="0.2">
      <c r="B3773" s="1">
        <v>3758</v>
      </c>
      <c r="C3773" s="5">
        <f ca="1"/>
        <v>-1.0401565203843344</v>
      </c>
      <c r="D3773" s="5">
        <f ca="1">S0*EXP((μ-0.5*σ*σ)*T+σ*SQRT(T)*$C3773)</f>
        <v>0.59974049155415698</v>
      </c>
      <c r="E3773" s="5">
        <f ca="1">MAX(0,CP*(D3773-K))</f>
        <v>0</v>
      </c>
      <c r="F3773" s="4">
        <f ca="1">(CP*(D3773-K)&gt;0)*1</f>
        <v>0</v>
      </c>
      <c r="H3773" s="4">
        <v>3758</v>
      </c>
      <c r="I3773" s="3">
        <v>0.66776346739862058</v>
      </c>
      <c r="J3773" s="128">
        <v>1.3737990937527063E-3</v>
      </c>
      <c r="K3773" s="128"/>
      <c r="L3773" s="128">
        <v>4.4400000000000002E-2</v>
      </c>
      <c r="O3773" s="2"/>
    </row>
    <row r="3774" spans="2:15" x14ac:dyDescent="0.2">
      <c r="B3774" s="1">
        <v>3759</v>
      </c>
      <c r="C3774" s="5">
        <f ca="1"/>
        <v>1.1376767649310628</v>
      </c>
      <c r="D3774" s="5">
        <f ca="1">S0*EXP((μ-0.5*σ*σ)*T+σ*SQRT(T)*$C3774)</f>
        <v>0.74337759637030065</v>
      </c>
      <c r="E3774" s="5">
        <f ca="1">MAX(0,CP*(D3774-K))</f>
        <v>0</v>
      </c>
      <c r="F3774" s="4">
        <f ca="1">(CP*(D3774-K)&gt;0)*1</f>
        <v>0</v>
      </c>
      <c r="H3774" s="4">
        <v>3759</v>
      </c>
      <c r="I3774" s="3">
        <v>0.66768553967128741</v>
      </c>
      <c r="J3774" s="128">
        <v>1.1994298448990662E-3</v>
      </c>
      <c r="K3774" s="128"/>
      <c r="L3774" s="128">
        <v>4.24E-2</v>
      </c>
      <c r="O3774" s="2"/>
    </row>
    <row r="3775" spans="2:15" x14ac:dyDescent="0.2">
      <c r="B3775" s="1">
        <v>3760</v>
      </c>
      <c r="C3775" s="5">
        <f ca="1"/>
        <v>1.5228752914465697</v>
      </c>
      <c r="D3775" s="5">
        <f ca="1">S0*EXP((μ-0.5*σ*σ)*T+σ*SQRT(T)*$C3775)</f>
        <v>0.77215080080380738</v>
      </c>
      <c r="E3775" s="5">
        <f ca="1">MAX(0,CP*(D3775-K))</f>
        <v>0</v>
      </c>
      <c r="F3775" s="4">
        <f ca="1">(CP*(D3775-K)&gt;0)*1</f>
        <v>0</v>
      </c>
      <c r="H3775" s="4">
        <v>3760</v>
      </c>
      <c r="I3775" s="3">
        <v>0.66780956375685963</v>
      </c>
      <c r="J3775" s="128">
        <v>1.4479308927945402E-3</v>
      </c>
      <c r="K3775" s="128"/>
      <c r="L3775" s="128">
        <v>4.2200000000000001E-2</v>
      </c>
      <c r="O3775" s="2"/>
    </row>
    <row r="3776" spans="2:15" x14ac:dyDescent="0.2">
      <c r="B3776" s="1">
        <v>3761</v>
      </c>
      <c r="C3776" s="5">
        <f ca="1"/>
        <v>0.28650655074249431</v>
      </c>
      <c r="D3776" s="5">
        <f ca="1">S0*EXP((μ-0.5*σ*σ)*T+σ*SQRT(T)*$C3776)</f>
        <v>0.68354288878220626</v>
      </c>
      <c r="E3776" s="5">
        <f ca="1">MAX(0,CP*(D3776-K))</f>
        <v>0</v>
      </c>
      <c r="F3776" s="4">
        <f ca="1">(CP*(D3776-K)&gt;0)*1</f>
        <v>0</v>
      </c>
      <c r="H3776" s="4">
        <v>3761</v>
      </c>
      <c r="I3776" s="3">
        <v>0.66786016189678898</v>
      </c>
      <c r="J3776" s="128">
        <v>1.5107243079759962E-3</v>
      </c>
      <c r="K3776" s="128"/>
      <c r="L3776" s="128">
        <v>4.36E-2</v>
      </c>
      <c r="O3776" s="2"/>
    </row>
    <row r="3777" spans="2:15" x14ac:dyDescent="0.2">
      <c r="B3777" s="1">
        <v>3762</v>
      </c>
      <c r="C3777" s="5">
        <f ca="1"/>
        <v>7.2560081638857243E-2</v>
      </c>
      <c r="D3777" s="5">
        <f ca="1">S0*EXP((μ-0.5*σ*σ)*T+σ*SQRT(T)*$C3777)</f>
        <v>0.66927628833003594</v>
      </c>
      <c r="E3777" s="5">
        <f ca="1">MAX(0,CP*(D3777-K))</f>
        <v>0</v>
      </c>
      <c r="F3777" s="4">
        <f ca="1">(CP*(D3777-K)&gt;0)*1</f>
        <v>0</v>
      </c>
      <c r="H3777" s="4">
        <v>3762</v>
      </c>
      <c r="I3777" s="3">
        <v>0.66774038029009364</v>
      </c>
      <c r="J3777" s="128">
        <v>1.3603118579945824E-3</v>
      </c>
      <c r="K3777" s="128"/>
      <c r="L3777" s="128">
        <v>4.2200000000000001E-2</v>
      </c>
      <c r="O3777" s="2"/>
    </row>
    <row r="3778" spans="2:15" x14ac:dyDescent="0.2">
      <c r="B3778" s="1">
        <v>3763</v>
      </c>
      <c r="C3778" s="5">
        <f ca="1"/>
        <v>-0.30971726189595056</v>
      </c>
      <c r="D3778" s="5">
        <f ca="1">S0*EXP((μ-0.5*σ*σ)*T+σ*SQRT(T)*$C3778)</f>
        <v>0.64452216054323197</v>
      </c>
      <c r="E3778" s="5">
        <f ca="1">MAX(0,CP*(D3778-K))</f>
        <v>0</v>
      </c>
      <c r="F3778" s="4">
        <f ca="1">(CP*(D3778-K)&gt;0)*1</f>
        <v>0</v>
      </c>
      <c r="H3778" s="4">
        <v>3763</v>
      </c>
      <c r="I3778" s="3">
        <v>0.66761261352288026</v>
      </c>
      <c r="J3778" s="128">
        <v>1.3073947753333356E-3</v>
      </c>
      <c r="K3778" s="128"/>
      <c r="L3778" s="128">
        <v>3.9E-2</v>
      </c>
      <c r="O3778" s="2"/>
    </row>
    <row r="3779" spans="2:15" x14ac:dyDescent="0.2">
      <c r="B3779" s="1">
        <v>3764</v>
      </c>
      <c r="C3779" s="5">
        <f ca="1"/>
        <v>0.48809425416798136</v>
      </c>
      <c r="D3779" s="5">
        <f ca="1">S0*EXP((μ-0.5*σ*σ)*T+σ*SQRT(T)*$C3779)</f>
        <v>0.69726352543321424</v>
      </c>
      <c r="E3779" s="5">
        <f ca="1">MAX(0,CP*(D3779-K))</f>
        <v>0</v>
      </c>
      <c r="F3779" s="4">
        <f ca="1">(CP*(D3779-K)&gt;0)*1</f>
        <v>0</v>
      </c>
      <c r="H3779" s="4">
        <v>3764</v>
      </c>
      <c r="I3779" s="3">
        <v>0.6676326579686912</v>
      </c>
      <c r="J3779" s="128">
        <v>1.2400058671110596E-3</v>
      </c>
      <c r="K3779" s="128"/>
      <c r="L3779" s="128">
        <v>3.9399999999999998E-2</v>
      </c>
      <c r="O3779" s="2"/>
    </row>
    <row r="3780" spans="2:15" x14ac:dyDescent="0.2">
      <c r="B3780" s="1">
        <v>3765</v>
      </c>
      <c r="C3780" s="5">
        <f ca="1"/>
        <v>-8.2592800506466529E-2</v>
      </c>
      <c r="D3780" s="5">
        <f ca="1">S0*EXP((μ-0.5*σ*σ)*T+σ*SQRT(T)*$C3780)</f>
        <v>0.65911684930293502</v>
      </c>
      <c r="E3780" s="5">
        <f ca="1">MAX(0,CP*(D3780-K))</f>
        <v>0</v>
      </c>
      <c r="F3780" s="4">
        <f ca="1">(CP*(D3780-K)&gt;0)*1</f>
        <v>0</v>
      </c>
      <c r="H3780" s="4">
        <v>3765</v>
      </c>
      <c r="I3780" s="3">
        <v>0.66770387866254988</v>
      </c>
      <c r="J3780" s="128">
        <v>1.3455684779661412E-3</v>
      </c>
      <c r="K3780" s="128"/>
      <c r="L3780" s="128">
        <v>3.7600000000000001E-2</v>
      </c>
      <c r="O3780" s="2"/>
    </row>
    <row r="3781" spans="2:15" x14ac:dyDescent="0.2">
      <c r="B3781" s="1">
        <v>3766</v>
      </c>
      <c r="C3781" s="5">
        <f ca="1"/>
        <v>-0.26624036336330192</v>
      </c>
      <c r="D3781" s="5">
        <f ca="1">S0*EXP((μ-0.5*σ*σ)*T+σ*SQRT(T)*$C3781)</f>
        <v>0.64729069043066978</v>
      </c>
      <c r="E3781" s="5">
        <f ca="1">MAX(0,CP*(D3781-K))</f>
        <v>0</v>
      </c>
      <c r="F3781" s="4">
        <f ca="1">(CP*(D3781-K)&gt;0)*1</f>
        <v>0</v>
      </c>
      <c r="H3781" s="4">
        <v>3766</v>
      </c>
      <c r="I3781" s="3">
        <v>0.66762802956444456</v>
      </c>
      <c r="J3781" s="128">
        <v>1.1168186696778276E-3</v>
      </c>
      <c r="K3781" s="128"/>
      <c r="L3781" s="128">
        <v>3.8399999999999997E-2</v>
      </c>
      <c r="O3781" s="2"/>
    </row>
    <row r="3782" spans="2:15" x14ac:dyDescent="0.2">
      <c r="B3782" s="1">
        <v>3767</v>
      </c>
      <c r="C3782" s="5">
        <f ca="1"/>
        <v>0.16837446487722271</v>
      </c>
      <c r="D3782" s="5">
        <f ca="1">S0*EXP((μ-0.5*σ*σ)*T+σ*SQRT(T)*$C3782)</f>
        <v>0.67562829106383171</v>
      </c>
      <c r="E3782" s="5">
        <f ca="1">MAX(0,CP*(D3782-K))</f>
        <v>0</v>
      </c>
      <c r="F3782" s="4">
        <f ca="1">(CP*(D3782-K)&gt;0)*1</f>
        <v>0</v>
      </c>
      <c r="H3782" s="4">
        <v>3767</v>
      </c>
      <c r="I3782" s="3">
        <v>0.66784411165616175</v>
      </c>
      <c r="J3782" s="128">
        <v>1.4452280871917631E-3</v>
      </c>
      <c r="K3782" s="128"/>
      <c r="L3782" s="128">
        <v>4.3400000000000001E-2</v>
      </c>
      <c r="O3782" s="2"/>
    </row>
    <row r="3783" spans="2:15" x14ac:dyDescent="0.2">
      <c r="B3783" s="1">
        <v>3768</v>
      </c>
      <c r="C3783" s="5">
        <f ca="1"/>
        <v>-1.0317036442681444</v>
      </c>
      <c r="D3783" s="5">
        <f ca="1">S0*EXP((μ-0.5*σ*σ)*T+σ*SQRT(T)*$C3783)</f>
        <v>0.60024049220265718</v>
      </c>
      <c r="E3783" s="5">
        <f ca="1">MAX(0,CP*(D3783-K))</f>
        <v>0</v>
      </c>
      <c r="F3783" s="4">
        <f ca="1">(CP*(D3783-K)&gt;0)*1</f>
        <v>0</v>
      </c>
      <c r="H3783" s="4">
        <v>3768</v>
      </c>
      <c r="I3783" s="3">
        <v>0.66763606194330882</v>
      </c>
      <c r="J3783" s="128">
        <v>1.2433860158105423E-3</v>
      </c>
      <c r="K3783" s="128"/>
      <c r="L3783" s="128">
        <v>3.7600000000000001E-2</v>
      </c>
      <c r="O3783" s="2"/>
    </row>
    <row r="3784" spans="2:15" x14ac:dyDescent="0.2">
      <c r="B3784" s="1">
        <v>3769</v>
      </c>
      <c r="C3784" s="5">
        <f ca="1"/>
        <v>-1.1204322265017705</v>
      </c>
      <c r="D3784" s="5">
        <f ca="1">S0*EXP((μ-0.5*σ*σ)*T+σ*SQRT(T)*$C3784)</f>
        <v>0.59501277079161119</v>
      </c>
      <c r="E3784" s="5">
        <f ca="1">MAX(0,CP*(D3784-K))</f>
        <v>0</v>
      </c>
      <c r="F3784" s="4">
        <f ca="1">(CP*(D3784-K)&gt;0)*1</f>
        <v>0</v>
      </c>
      <c r="H3784" s="4">
        <v>3769</v>
      </c>
      <c r="I3784" s="3">
        <v>0.66775512053140462</v>
      </c>
      <c r="J3784" s="128">
        <v>1.3425765274899227E-3</v>
      </c>
      <c r="K3784" s="128"/>
      <c r="L3784" s="128">
        <v>4.1000000000000002E-2</v>
      </c>
      <c r="O3784" s="2"/>
    </row>
    <row r="3785" spans="2:15" x14ac:dyDescent="0.2">
      <c r="B3785" s="1">
        <v>3770</v>
      </c>
      <c r="C3785" s="5">
        <f ca="1"/>
        <v>-4.8518674059895239E-2</v>
      </c>
      <c r="D3785" s="5">
        <f ca="1">S0*EXP((μ-0.5*σ*σ)*T+σ*SQRT(T)*$C3785)</f>
        <v>0.66133473177195623</v>
      </c>
      <c r="E3785" s="5">
        <f ca="1">MAX(0,CP*(D3785-K))</f>
        <v>0</v>
      </c>
      <c r="F3785" s="4">
        <f ca="1">(CP*(D3785-K)&gt;0)*1</f>
        <v>0</v>
      </c>
      <c r="H3785" s="4">
        <v>3770</v>
      </c>
      <c r="I3785" s="3">
        <v>0.66766354668446648</v>
      </c>
      <c r="J3785" s="128">
        <v>1.2599135544750532E-3</v>
      </c>
      <c r="K3785" s="128"/>
      <c r="L3785" s="128">
        <v>4.02E-2</v>
      </c>
      <c r="O3785" s="2"/>
    </row>
    <row r="3786" spans="2:15" x14ac:dyDescent="0.2">
      <c r="B3786" s="1">
        <v>3771</v>
      </c>
      <c r="C3786" s="5">
        <f ca="1"/>
        <v>-1.3473540556772211E-2</v>
      </c>
      <c r="D3786" s="5">
        <f ca="1">S0*EXP((μ-0.5*σ*σ)*T+σ*SQRT(T)*$C3786)</f>
        <v>0.6636236023302704</v>
      </c>
      <c r="E3786" s="5">
        <f ca="1">MAX(0,CP*(D3786-K))</f>
        <v>0</v>
      </c>
      <c r="F3786" s="4">
        <f ca="1">(CP*(D3786-K)&gt;0)*1</f>
        <v>0</v>
      </c>
      <c r="H3786" s="4">
        <v>3771</v>
      </c>
      <c r="I3786" s="3">
        <v>0.66775450520369972</v>
      </c>
      <c r="J3786" s="128">
        <v>1.3316671236935785E-3</v>
      </c>
      <c r="K3786" s="128"/>
      <c r="L3786" s="128">
        <v>3.7999999999999999E-2</v>
      </c>
      <c r="O3786" s="2"/>
    </row>
    <row r="3787" spans="2:15" x14ac:dyDescent="0.2">
      <c r="B3787" s="1">
        <v>3772</v>
      </c>
      <c r="C3787" s="5">
        <f ca="1"/>
        <v>-0.9317472982480336</v>
      </c>
      <c r="D3787" s="5">
        <f ca="1">S0*EXP((μ-0.5*σ*σ)*T+σ*SQRT(T)*$C3787)</f>
        <v>0.60618476872653548</v>
      </c>
      <c r="E3787" s="5">
        <f ca="1">MAX(0,CP*(D3787-K))</f>
        <v>0</v>
      </c>
      <c r="F3787" s="4">
        <f ca="1">(CP*(D3787-K)&gt;0)*1</f>
        <v>0</v>
      </c>
      <c r="H3787" s="4">
        <v>3772</v>
      </c>
      <c r="I3787" s="3">
        <v>0.66779496131017557</v>
      </c>
      <c r="J3787" s="128">
        <v>1.2569132744032856E-3</v>
      </c>
      <c r="K3787" s="128"/>
      <c r="L3787" s="128">
        <v>4.0800000000000003E-2</v>
      </c>
      <c r="O3787" s="2"/>
    </row>
    <row r="3788" spans="2:15" x14ac:dyDescent="0.2">
      <c r="B3788" s="1">
        <v>3773</v>
      </c>
      <c r="C3788" s="5">
        <f ca="1"/>
        <v>0.42605676498948919</v>
      </c>
      <c r="D3788" s="5">
        <f ca="1">S0*EXP((μ-0.5*σ*σ)*T+σ*SQRT(T)*$C3788)</f>
        <v>0.69301199336768315</v>
      </c>
      <c r="E3788" s="5">
        <f ca="1">MAX(0,CP*(D3788-K))</f>
        <v>0</v>
      </c>
      <c r="F3788" s="4">
        <f ca="1">(CP*(D3788-K)&gt;0)*1</f>
        <v>0</v>
      </c>
      <c r="H3788" s="4">
        <v>3773</v>
      </c>
      <c r="I3788" s="3">
        <v>0.66763129235539798</v>
      </c>
      <c r="J3788" s="128">
        <v>1.1599928116756623E-3</v>
      </c>
      <c r="K3788" s="128"/>
      <c r="L3788" s="128">
        <v>0.04</v>
      </c>
      <c r="O3788" s="2"/>
    </row>
    <row r="3789" spans="2:15" x14ac:dyDescent="0.2">
      <c r="B3789" s="1">
        <v>3774</v>
      </c>
      <c r="C3789" s="5">
        <f ca="1"/>
        <v>-3.6289154981208626E-3</v>
      </c>
      <c r="D3789" s="5">
        <f ca="1">S0*EXP((μ-0.5*σ*σ)*T+σ*SQRT(T)*$C3789)</f>
        <v>0.66426799930857638</v>
      </c>
      <c r="E3789" s="5">
        <f ca="1">MAX(0,CP*(D3789-K))</f>
        <v>0</v>
      </c>
      <c r="F3789" s="4">
        <f ca="1">(CP*(D3789-K)&gt;0)*1</f>
        <v>0</v>
      </c>
      <c r="H3789" s="4">
        <v>3774</v>
      </c>
      <c r="I3789" s="3">
        <v>0.66780768682366498</v>
      </c>
      <c r="J3789" s="128">
        <v>1.3319720065946494E-3</v>
      </c>
      <c r="K3789" s="128"/>
      <c r="L3789" s="128">
        <v>4.3799999999999999E-2</v>
      </c>
      <c r="O3789" s="2"/>
    </row>
    <row r="3790" spans="2:15" x14ac:dyDescent="0.2">
      <c r="B3790" s="1">
        <v>3775</v>
      </c>
      <c r="C3790" s="5">
        <f ca="1"/>
        <v>-1.3049108073313926</v>
      </c>
      <c r="D3790" s="5">
        <f ca="1">S0*EXP((μ-0.5*σ*σ)*T+σ*SQRT(T)*$C3790)</f>
        <v>0.58428892339226202</v>
      </c>
      <c r="E3790" s="5">
        <f ca="1">MAX(0,CP*(D3790-K))</f>
        <v>0</v>
      </c>
      <c r="F3790" s="4">
        <f ca="1">(CP*(D3790-K)&gt;0)*1</f>
        <v>0</v>
      </c>
      <c r="H3790" s="4">
        <v>3775</v>
      </c>
      <c r="I3790" s="3">
        <v>0.6676741624743715</v>
      </c>
      <c r="J3790" s="128">
        <v>1.4936627616985438E-3</v>
      </c>
      <c r="K3790" s="128"/>
      <c r="L3790" s="128">
        <v>4.0800000000000003E-2</v>
      </c>
      <c r="O3790" s="2"/>
    </row>
    <row r="3791" spans="2:15" x14ac:dyDescent="0.2">
      <c r="B3791" s="1">
        <v>3776</v>
      </c>
      <c r="C3791" s="5">
        <f ca="1"/>
        <v>3.6908406278367818</v>
      </c>
      <c r="D3791" s="5">
        <f ca="1">S0*EXP((μ-0.5*σ*σ)*T+σ*SQRT(T)*$C3791)</f>
        <v>0.95614931279009308</v>
      </c>
      <c r="E3791" s="5">
        <f ca="1">MAX(0,CP*(D3791-K))</f>
        <v>0.16794931279009306</v>
      </c>
      <c r="F3791" s="4">
        <f ca="1">(CP*(D3791-K)&gt;0)*1</f>
        <v>1</v>
      </c>
      <c r="H3791" s="4">
        <v>3776</v>
      </c>
      <c r="I3791" s="3">
        <v>0.66775405246638564</v>
      </c>
      <c r="J3791" s="128">
        <v>1.3713843107570954E-3</v>
      </c>
      <c r="K3791" s="128"/>
      <c r="L3791" s="128">
        <v>4.2000000000000003E-2</v>
      </c>
      <c r="O3791" s="2"/>
    </row>
    <row r="3792" spans="2:15" x14ac:dyDescent="0.2">
      <c r="B3792" s="1">
        <v>3777</v>
      </c>
      <c r="C3792" s="5">
        <f ca="1"/>
        <v>1.2902901002471023</v>
      </c>
      <c r="D3792" s="5">
        <f ca="1">S0*EXP((μ-0.5*σ*σ)*T+σ*SQRT(T)*$C3792)</f>
        <v>0.75464684381286895</v>
      </c>
      <c r="E3792" s="5">
        <f ca="1">MAX(0,CP*(D3792-K))</f>
        <v>0</v>
      </c>
      <c r="F3792" s="4">
        <f ca="1">(CP*(D3792-K)&gt;0)*1</f>
        <v>0</v>
      </c>
      <c r="H3792" s="4">
        <v>3777</v>
      </c>
      <c r="I3792" s="3">
        <v>0.66769465207627043</v>
      </c>
      <c r="J3792" s="128">
        <v>1.3135264093592316E-3</v>
      </c>
      <c r="K3792" s="128"/>
      <c r="L3792" s="128">
        <v>3.5799999999999998E-2</v>
      </c>
      <c r="O3792" s="2"/>
    </row>
    <row r="3793" spans="2:15" x14ac:dyDescent="0.2">
      <c r="B3793" s="1">
        <v>3778</v>
      </c>
      <c r="C3793" s="5">
        <f ca="1"/>
        <v>0.68909528842189016</v>
      </c>
      <c r="D3793" s="5">
        <f ca="1">S0*EXP((μ-0.5*σ*σ)*T+σ*SQRT(T)*$C3793)</f>
        <v>0.71121843721527356</v>
      </c>
      <c r="E3793" s="5">
        <f ca="1">MAX(0,CP*(D3793-K))</f>
        <v>0</v>
      </c>
      <c r="F3793" s="4">
        <f ca="1">(CP*(D3793-K)&gt;0)*1</f>
        <v>0</v>
      </c>
      <c r="H3793" s="4">
        <v>3778</v>
      </c>
      <c r="I3793" s="3">
        <v>0.66764047450201547</v>
      </c>
      <c r="J3793" s="128">
        <v>1.3224551090057406E-3</v>
      </c>
      <c r="K3793" s="128"/>
      <c r="L3793" s="128">
        <v>3.9199999999999999E-2</v>
      </c>
      <c r="O3793" s="2"/>
    </row>
    <row r="3794" spans="2:15" x14ac:dyDescent="0.2">
      <c r="B3794" s="1">
        <v>3779</v>
      </c>
      <c r="C3794" s="5">
        <f ca="1"/>
        <v>9.2285424811772793E-2</v>
      </c>
      <c r="D3794" s="5">
        <f ca="1">S0*EXP((μ-0.5*σ*σ)*T+σ*SQRT(T)*$C3794)</f>
        <v>0.67057907730735711</v>
      </c>
      <c r="E3794" s="5">
        <f ca="1">MAX(0,CP*(D3794-K))</f>
        <v>0</v>
      </c>
      <c r="F3794" s="4">
        <f ca="1">(CP*(D3794-K)&gt;0)*1</f>
        <v>0</v>
      </c>
      <c r="H3794" s="4">
        <v>3779</v>
      </c>
      <c r="I3794" s="3">
        <v>0.66762200216616896</v>
      </c>
      <c r="J3794" s="128">
        <v>1.2355834966910617E-3</v>
      </c>
      <c r="K3794" s="128"/>
      <c r="L3794" s="128">
        <v>3.6600000000000001E-2</v>
      </c>
      <c r="O3794" s="2"/>
    </row>
    <row r="3795" spans="2:15" x14ac:dyDescent="0.2">
      <c r="B3795" s="1">
        <v>3780</v>
      </c>
      <c r="C3795" s="5">
        <f ca="1"/>
        <v>-1.341379008640307</v>
      </c>
      <c r="D3795" s="5">
        <f ca="1">S0*EXP((μ-0.5*σ*σ)*T+σ*SQRT(T)*$C3795)</f>
        <v>0.58219199673803057</v>
      </c>
      <c r="E3795" s="5">
        <f ca="1">MAX(0,CP*(D3795-K))</f>
        <v>0</v>
      </c>
      <c r="F3795" s="4">
        <f ca="1">(CP*(D3795-K)&gt;0)*1</f>
        <v>0</v>
      </c>
      <c r="H3795" s="4">
        <v>3780</v>
      </c>
      <c r="I3795" s="3">
        <v>0.66763274794402683</v>
      </c>
      <c r="J3795" s="128">
        <v>1.1366373067492989E-3</v>
      </c>
      <c r="K3795" s="128"/>
      <c r="L3795" s="128">
        <v>3.9199999999999999E-2</v>
      </c>
      <c r="O3795" s="2"/>
    </row>
    <row r="3796" spans="2:15" x14ac:dyDescent="0.2">
      <c r="B3796" s="1">
        <v>3781</v>
      </c>
      <c r="C3796" s="5">
        <f ca="1"/>
        <v>-1.5345648164055341</v>
      </c>
      <c r="D3796" s="5">
        <f ca="1">S0*EXP((μ-0.5*σ*σ)*T+σ*SQRT(T)*$C3796)</f>
        <v>0.57120866724237407</v>
      </c>
      <c r="E3796" s="5">
        <f ca="1">MAX(0,CP*(D3796-K))</f>
        <v>0</v>
      </c>
      <c r="F3796" s="4">
        <f ca="1">(CP*(D3796-K)&gt;0)*1</f>
        <v>0</v>
      </c>
      <c r="H3796" s="4">
        <v>3781</v>
      </c>
      <c r="I3796" s="3">
        <v>0.66788361129343665</v>
      </c>
      <c r="J3796" s="128">
        <v>1.5166717307928416E-3</v>
      </c>
      <c r="K3796" s="128"/>
      <c r="L3796" s="128">
        <v>4.2999999999999997E-2</v>
      </c>
      <c r="O3796" s="2"/>
    </row>
    <row r="3797" spans="2:15" x14ac:dyDescent="0.2">
      <c r="B3797" s="1">
        <v>3782</v>
      </c>
      <c r="C3797" s="5">
        <f ca="1"/>
        <v>1.1146611314147437</v>
      </c>
      <c r="D3797" s="5">
        <f ca="1">S0*EXP((μ-0.5*σ*σ)*T+σ*SQRT(T)*$C3797)</f>
        <v>0.74169274538197016</v>
      </c>
      <c r="E3797" s="5">
        <f ca="1">MAX(0,CP*(D3797-K))</f>
        <v>0</v>
      </c>
      <c r="F3797" s="4">
        <f ca="1">(CP*(D3797-K)&gt;0)*1</f>
        <v>0</v>
      </c>
      <c r="H3797" s="4">
        <v>3782</v>
      </c>
      <c r="I3797" s="3">
        <v>0.66763168259613825</v>
      </c>
      <c r="J3797" s="128">
        <v>1.2324863832753126E-3</v>
      </c>
      <c r="K3797" s="128"/>
      <c r="L3797" s="128">
        <v>3.56E-2</v>
      </c>
      <c r="O3797" s="2"/>
    </row>
    <row r="3798" spans="2:15" x14ac:dyDescent="0.2">
      <c r="B3798" s="1">
        <v>3783</v>
      </c>
      <c r="C3798" s="5">
        <f ca="1"/>
        <v>0.36129919718720399</v>
      </c>
      <c r="D3798" s="5">
        <f ca="1">S0*EXP((μ-0.5*σ*σ)*T+σ*SQRT(T)*$C3798)</f>
        <v>0.68860170072446625</v>
      </c>
      <c r="E3798" s="5">
        <f ca="1">MAX(0,CP*(D3798-K))</f>
        <v>0</v>
      </c>
      <c r="F3798" s="4">
        <f ca="1">(CP*(D3798-K)&gt;0)*1</f>
        <v>0</v>
      </c>
      <c r="H3798" s="4">
        <v>3783</v>
      </c>
      <c r="I3798" s="3">
        <v>0.6677172658818471</v>
      </c>
      <c r="J3798" s="128">
        <v>1.2187586135847812E-3</v>
      </c>
      <c r="K3798" s="128"/>
      <c r="L3798" s="128">
        <v>4.1599999999999998E-2</v>
      </c>
      <c r="O3798" s="2"/>
    </row>
    <row r="3799" spans="2:15" x14ac:dyDescent="0.2">
      <c r="B3799" s="1">
        <v>3784</v>
      </c>
      <c r="C3799" s="5">
        <f ca="1"/>
        <v>-1.0215625357714402</v>
      </c>
      <c r="D3799" s="5">
        <f ca="1">S0*EXP((μ-0.5*σ*σ)*T+σ*SQRT(T)*$C3799)</f>
        <v>0.60084090447164196</v>
      </c>
      <c r="E3799" s="5">
        <f ca="1">MAX(0,CP*(D3799-K))</f>
        <v>0</v>
      </c>
      <c r="F3799" s="4">
        <f ca="1">(CP*(D3799-K)&gt;0)*1</f>
        <v>0</v>
      </c>
      <c r="H3799" s="4">
        <v>3784</v>
      </c>
      <c r="I3799" s="3">
        <v>0.66770449299160906</v>
      </c>
      <c r="J3799" s="128">
        <v>1.3588857240574028E-3</v>
      </c>
      <c r="K3799" s="128"/>
      <c r="L3799" s="128">
        <v>4.0599999999999997E-2</v>
      </c>
      <c r="O3799" s="2"/>
    </row>
    <row r="3800" spans="2:15" x14ac:dyDescent="0.2">
      <c r="B3800" s="1">
        <v>3785</v>
      </c>
      <c r="C3800" s="5">
        <f ca="1"/>
        <v>-0.23252497666488117</v>
      </c>
      <c r="D3800" s="5">
        <f ca="1">S0*EXP((μ-0.5*σ*σ)*T+σ*SQRT(T)*$C3800)</f>
        <v>0.64944580918095018</v>
      </c>
      <c r="E3800" s="5">
        <f ca="1">MAX(0,CP*(D3800-K))</f>
        <v>0</v>
      </c>
      <c r="F3800" s="4">
        <f ca="1">(CP*(D3800-K)&gt;0)*1</f>
        <v>0</v>
      </c>
      <c r="H3800" s="4">
        <v>3785</v>
      </c>
      <c r="I3800" s="3">
        <v>0.66771059074727268</v>
      </c>
      <c r="J3800" s="128">
        <v>1.3040680572094408E-3</v>
      </c>
      <c r="K3800" s="128"/>
      <c r="L3800" s="128">
        <v>4.2200000000000001E-2</v>
      </c>
      <c r="O3800" s="2"/>
    </row>
    <row r="3801" spans="2:15" x14ac:dyDescent="0.2">
      <c r="B3801" s="1">
        <v>3786</v>
      </c>
      <c r="C3801" s="5">
        <f ca="1"/>
        <v>1.5051414778341445</v>
      </c>
      <c r="D3801" s="5">
        <f ca="1">S0*EXP((μ-0.5*σ*σ)*T+σ*SQRT(T)*$C3801)</f>
        <v>0.77080200440976421</v>
      </c>
      <c r="E3801" s="5">
        <f ca="1">MAX(0,CP*(D3801-K))</f>
        <v>0</v>
      </c>
      <c r="F3801" s="4">
        <f ca="1">(CP*(D3801-K)&gt;0)*1</f>
        <v>0</v>
      </c>
      <c r="H3801" s="4">
        <v>3786</v>
      </c>
      <c r="I3801" s="3">
        <v>0.66768160731061976</v>
      </c>
      <c r="J3801" s="128">
        <v>1.4217538197261754E-3</v>
      </c>
      <c r="K3801" s="128"/>
      <c r="L3801" s="128">
        <v>3.9E-2</v>
      </c>
      <c r="O3801" s="2"/>
    </row>
    <row r="3802" spans="2:15" x14ac:dyDescent="0.2">
      <c r="B3802" s="1">
        <v>3787</v>
      </c>
      <c r="C3802" s="5">
        <f ca="1"/>
        <v>0.63877595459684122</v>
      </c>
      <c r="D3802" s="5">
        <f ca="1">S0*EXP((μ-0.5*σ*σ)*T+σ*SQRT(T)*$C3802)</f>
        <v>0.70769892222640018</v>
      </c>
      <c r="E3802" s="5">
        <f ca="1">MAX(0,CP*(D3802-K))</f>
        <v>0</v>
      </c>
      <c r="F3802" s="4">
        <f ca="1">(CP*(D3802-K)&gt;0)*1</f>
        <v>0</v>
      </c>
      <c r="H3802" s="4">
        <v>3787</v>
      </c>
      <c r="I3802" s="3">
        <v>0.66782526584311985</v>
      </c>
      <c r="J3802" s="128">
        <v>1.4435164140412847E-3</v>
      </c>
      <c r="K3802" s="128"/>
      <c r="L3802" s="128">
        <v>4.2599999999999999E-2</v>
      </c>
      <c r="O3802" s="2"/>
    </row>
    <row r="3803" spans="2:15" x14ac:dyDescent="0.2">
      <c r="B3803" s="1">
        <v>3788</v>
      </c>
      <c r="C3803" s="5">
        <f ca="1"/>
        <v>-1.1023960877994476</v>
      </c>
      <c r="D3803" s="5">
        <f ca="1">S0*EXP((μ-0.5*σ*σ)*T+σ*SQRT(T)*$C3803)</f>
        <v>0.59607172638578998</v>
      </c>
      <c r="E3803" s="5">
        <f ca="1">MAX(0,CP*(D3803-K))</f>
        <v>0</v>
      </c>
      <c r="F3803" s="4">
        <f ca="1">(CP*(D3803-K)&gt;0)*1</f>
        <v>0</v>
      </c>
      <c r="H3803" s="4">
        <v>3788</v>
      </c>
      <c r="I3803" s="3">
        <v>0.66788305728632569</v>
      </c>
      <c r="J3803" s="128">
        <v>1.5983436994765308E-3</v>
      </c>
      <c r="K3803" s="128"/>
      <c r="L3803" s="128">
        <v>4.9000000000000002E-2</v>
      </c>
      <c r="O3803" s="2"/>
    </row>
    <row r="3804" spans="2:15" x14ac:dyDescent="0.2">
      <c r="B3804" s="1">
        <v>3789</v>
      </c>
      <c r="C3804" s="5">
        <f ca="1"/>
        <v>7.1655627665820065E-2</v>
      </c>
      <c r="D3804" s="5">
        <f ca="1">S0*EXP((μ-0.5*σ*σ)*T+σ*SQRT(T)*$C3804)</f>
        <v>0.66921661307720071</v>
      </c>
      <c r="E3804" s="5">
        <f ca="1">MAX(0,CP*(D3804-K))</f>
        <v>0</v>
      </c>
      <c r="F3804" s="4">
        <f ca="1">(CP*(D3804-K)&gt;0)*1</f>
        <v>0</v>
      </c>
      <c r="H3804" s="4">
        <v>3789</v>
      </c>
      <c r="I3804" s="3">
        <v>0.66756762138079806</v>
      </c>
      <c r="J3804" s="128">
        <v>1.238792329857244E-3</v>
      </c>
      <c r="K3804" s="128"/>
      <c r="L3804" s="128">
        <v>3.3799999999999997E-2</v>
      </c>
      <c r="O3804" s="2"/>
    </row>
    <row r="3805" spans="2:15" x14ac:dyDescent="0.2">
      <c r="B3805" s="1">
        <v>3790</v>
      </c>
      <c r="C3805" s="5">
        <f ca="1"/>
        <v>1.4647870688486482</v>
      </c>
      <c r="D3805" s="5">
        <f ca="1">S0*EXP((μ-0.5*σ*σ)*T+σ*SQRT(T)*$C3805)</f>
        <v>0.76774150763321725</v>
      </c>
      <c r="E3805" s="5">
        <f ca="1">MAX(0,CP*(D3805-K))</f>
        <v>0</v>
      </c>
      <c r="F3805" s="4">
        <f ca="1">(CP*(D3805-K)&gt;0)*1</f>
        <v>0</v>
      </c>
      <c r="H3805" s="4">
        <v>3790</v>
      </c>
      <c r="I3805" s="3">
        <v>0.66784047746016106</v>
      </c>
      <c r="J3805" s="128">
        <v>1.5565680813732479E-3</v>
      </c>
      <c r="K3805" s="128"/>
      <c r="L3805" s="128">
        <v>4.4400000000000002E-2</v>
      </c>
      <c r="O3805" s="2"/>
    </row>
    <row r="3806" spans="2:15" x14ac:dyDescent="0.2">
      <c r="B3806" s="1">
        <v>3791</v>
      </c>
      <c r="C3806" s="5">
        <f ca="1"/>
        <v>0.69786420038995423</v>
      </c>
      <c r="D3806" s="5">
        <f ca="1">S0*EXP((μ-0.5*σ*σ)*T+σ*SQRT(T)*$C3806)</f>
        <v>0.71183355484668753</v>
      </c>
      <c r="E3806" s="5">
        <f ca="1">MAX(0,CP*(D3806-K))</f>
        <v>0</v>
      </c>
      <c r="F3806" s="4">
        <f ca="1">(CP*(D3806-K)&gt;0)*1</f>
        <v>0</v>
      </c>
      <c r="H3806" s="4">
        <v>3791</v>
      </c>
      <c r="I3806" s="3">
        <v>0.66774028184528256</v>
      </c>
      <c r="J3806" s="128">
        <v>1.3594726404391009E-3</v>
      </c>
      <c r="K3806" s="128"/>
      <c r="L3806" s="128">
        <v>4.5400000000000003E-2</v>
      </c>
      <c r="O3806" s="2"/>
    </row>
    <row r="3807" spans="2:15" x14ac:dyDescent="0.2">
      <c r="B3807" s="1">
        <v>3792</v>
      </c>
      <c r="C3807" s="5">
        <f ca="1"/>
        <v>-1.3955387219034054</v>
      </c>
      <c r="D3807" s="5">
        <f ca="1">S0*EXP((μ-0.5*σ*σ)*T+σ*SQRT(T)*$C3807)</f>
        <v>0.5790916849407941</v>
      </c>
      <c r="E3807" s="5">
        <f ca="1">MAX(0,CP*(D3807-K))</f>
        <v>0</v>
      </c>
      <c r="F3807" s="4">
        <f ca="1">(CP*(D3807-K)&gt;0)*1</f>
        <v>0</v>
      </c>
      <c r="H3807" s="4">
        <v>3792</v>
      </c>
      <c r="I3807" s="3">
        <v>0.66780102196970981</v>
      </c>
      <c r="J3807" s="128">
        <v>1.4568359385655533E-3</v>
      </c>
      <c r="K3807" s="128"/>
      <c r="L3807" s="128">
        <v>4.7399999999999998E-2</v>
      </c>
      <c r="O3807" s="2"/>
    </row>
    <row r="3808" spans="2:15" x14ac:dyDescent="0.2">
      <c r="B3808" s="1">
        <v>3793</v>
      </c>
      <c r="C3808" s="5">
        <f ca="1"/>
        <v>0.75920523046462784</v>
      </c>
      <c r="D3808" s="5">
        <f ca="1">S0*EXP((μ-0.5*σ*σ)*T+σ*SQRT(T)*$C3808)</f>
        <v>0.71615138039555237</v>
      </c>
      <c r="E3808" s="5">
        <f ca="1">MAX(0,CP*(D3808-K))</f>
        <v>0</v>
      </c>
      <c r="F3808" s="4">
        <f ca="1">(CP*(D3808-K)&gt;0)*1</f>
        <v>0</v>
      </c>
      <c r="H3808" s="4">
        <v>3793</v>
      </c>
      <c r="I3808" s="3">
        <v>0.66780042979905518</v>
      </c>
      <c r="J3808" s="128">
        <v>1.4431279915592691E-3</v>
      </c>
      <c r="K3808" s="128"/>
      <c r="L3808" s="128">
        <v>3.9399999999999998E-2</v>
      </c>
      <c r="O3808" s="2"/>
    </row>
    <row r="3809" spans="2:15" x14ac:dyDescent="0.2">
      <c r="B3809" s="1">
        <v>3794</v>
      </c>
      <c r="C3809" s="5">
        <f ca="1"/>
        <v>-0.56677520253225788</v>
      </c>
      <c r="D3809" s="5">
        <f ca="1">S0*EXP((μ-0.5*σ*σ)*T+σ*SQRT(T)*$C3809)</f>
        <v>0.62839346941690466</v>
      </c>
      <c r="E3809" s="5">
        <f ca="1">MAX(0,CP*(D3809-K))</f>
        <v>0</v>
      </c>
      <c r="F3809" s="4">
        <f ca="1">(CP*(D3809-K)&gt;0)*1</f>
        <v>0</v>
      </c>
      <c r="H3809" s="4">
        <v>3794</v>
      </c>
      <c r="I3809" s="3">
        <v>0.66784145722404686</v>
      </c>
      <c r="J3809" s="128">
        <v>1.5924614896185008E-3</v>
      </c>
      <c r="K3809" s="128"/>
      <c r="L3809" s="128">
        <v>4.2000000000000003E-2</v>
      </c>
      <c r="O3809" s="2"/>
    </row>
    <row r="3810" spans="2:15" x14ac:dyDescent="0.2">
      <c r="B3810" s="1">
        <v>3795</v>
      </c>
      <c r="C3810" s="5">
        <f ca="1"/>
        <v>1.9162628091328096</v>
      </c>
      <c r="D3810" s="5">
        <f ca="1">S0*EXP((μ-0.5*σ*σ)*T+σ*SQRT(T)*$C3810)</f>
        <v>0.80268547418101266</v>
      </c>
      <c r="E3810" s="5">
        <f ca="1">MAX(0,CP*(D3810-K))</f>
        <v>1.4485474181012647E-2</v>
      </c>
      <c r="F3810" s="4">
        <f ca="1">(CP*(D3810-K)&gt;0)*1</f>
        <v>1</v>
      </c>
      <c r="H3810" s="4">
        <v>3795</v>
      </c>
      <c r="I3810" s="3">
        <v>0.66777031634459105</v>
      </c>
      <c r="J3810" s="128">
        <v>1.5512875022844707E-3</v>
      </c>
      <c r="K3810" s="128"/>
      <c r="L3810" s="128">
        <v>4.1200000000000001E-2</v>
      </c>
      <c r="O3810" s="2"/>
    </row>
    <row r="3811" spans="2:15" x14ac:dyDescent="0.2">
      <c r="B3811" s="1">
        <v>3796</v>
      </c>
      <c r="C3811" s="5">
        <f ca="1"/>
        <v>0.96706190019705573</v>
      </c>
      <c r="D3811" s="5">
        <f ca="1">S0*EXP((μ-0.5*σ*σ)*T+σ*SQRT(T)*$C3811)</f>
        <v>0.73097819688705645</v>
      </c>
      <c r="E3811" s="5">
        <f ca="1">MAX(0,CP*(D3811-K))</f>
        <v>0</v>
      </c>
      <c r="F3811" s="4">
        <f ca="1">(CP*(D3811-K)&gt;0)*1</f>
        <v>0</v>
      </c>
      <c r="H3811" s="4">
        <v>3796</v>
      </c>
      <c r="I3811" s="3">
        <v>0.66785083736397588</v>
      </c>
      <c r="J3811" s="128">
        <v>1.5195635509354054E-3</v>
      </c>
      <c r="K3811" s="128"/>
      <c r="L3811" s="128">
        <v>4.5999999999999999E-2</v>
      </c>
      <c r="O3811" s="2"/>
    </row>
    <row r="3812" spans="2:15" x14ac:dyDescent="0.2">
      <c r="B3812" s="1">
        <v>3797</v>
      </c>
      <c r="C3812" s="5">
        <f ca="1"/>
        <v>-0.10348169359043607</v>
      </c>
      <c r="D3812" s="5">
        <f ca="1">S0*EXP((μ-0.5*σ*σ)*T+σ*SQRT(T)*$C3812)</f>
        <v>0.65776087191045296</v>
      </c>
      <c r="E3812" s="5">
        <f ca="1">MAX(0,CP*(D3812-K))</f>
        <v>0</v>
      </c>
      <c r="F3812" s="4">
        <f ca="1">(CP*(D3812-K)&gt;0)*1</f>
        <v>0</v>
      </c>
      <c r="H3812" s="4">
        <v>3797</v>
      </c>
      <c r="I3812" s="3">
        <v>0.66782132882937773</v>
      </c>
      <c r="J3812" s="128">
        <v>1.2956520737181221E-3</v>
      </c>
      <c r="K3812" s="128"/>
      <c r="L3812" s="128">
        <v>4.3999999999999997E-2</v>
      </c>
      <c r="O3812" s="2"/>
    </row>
    <row r="3813" spans="2:15" x14ac:dyDescent="0.2">
      <c r="B3813" s="1">
        <v>3798</v>
      </c>
      <c r="C3813" s="5">
        <f ca="1"/>
        <v>-0.72250063159814104</v>
      </c>
      <c r="D3813" s="5">
        <f ca="1">S0*EXP((μ-0.5*σ*σ)*T+σ*SQRT(T)*$C3813)</f>
        <v>0.61881969003670068</v>
      </c>
      <c r="E3813" s="5">
        <f ca="1">MAX(0,CP*(D3813-K))</f>
        <v>0</v>
      </c>
      <c r="F3813" s="4">
        <f ca="1">(CP*(D3813-K)&gt;0)*1</f>
        <v>0</v>
      </c>
      <c r="H3813" s="4">
        <v>3798</v>
      </c>
      <c r="I3813" s="3">
        <v>0.66771672640705693</v>
      </c>
      <c r="J3813" s="128">
        <v>1.2690866388209096E-3</v>
      </c>
      <c r="K3813" s="128"/>
      <c r="L3813" s="128">
        <v>4.0599999999999997E-2</v>
      </c>
      <c r="O3813" s="2"/>
    </row>
    <row r="3814" spans="2:15" x14ac:dyDescent="0.2">
      <c r="B3814" s="1">
        <v>3799</v>
      </c>
      <c r="C3814" s="5">
        <f ca="1"/>
        <v>0.20615563500677259</v>
      </c>
      <c r="D3814" s="5">
        <f ca="1">S0*EXP((μ-0.5*σ*σ)*T+σ*SQRT(T)*$C3814)</f>
        <v>0.67814953009625512</v>
      </c>
      <c r="E3814" s="5">
        <f ca="1">MAX(0,CP*(D3814-K))</f>
        <v>0</v>
      </c>
      <c r="F3814" s="4">
        <f ca="1">(CP*(D3814-K)&gt;0)*1</f>
        <v>0</v>
      </c>
      <c r="H3814" s="4">
        <v>3799</v>
      </c>
      <c r="I3814" s="3">
        <v>0.66782563948014251</v>
      </c>
      <c r="J3814" s="128">
        <v>1.5170419752599585E-3</v>
      </c>
      <c r="K3814" s="128"/>
      <c r="L3814" s="128">
        <v>4.1200000000000001E-2</v>
      </c>
      <c r="O3814" s="2"/>
    </row>
    <row r="3815" spans="2:15" x14ac:dyDescent="0.2">
      <c r="B3815" s="1">
        <v>3800</v>
      </c>
      <c r="C3815" s="5">
        <f ca="1"/>
        <v>-1.2211736502823605</v>
      </c>
      <c r="D3815" s="5">
        <f ca="1">S0*EXP((μ-0.5*σ*σ)*T+σ*SQRT(T)*$C3815)</f>
        <v>0.58913244748129545</v>
      </c>
      <c r="E3815" s="5">
        <f ca="1">MAX(0,CP*(D3815-K))</f>
        <v>0</v>
      </c>
      <c r="F3815" s="4">
        <f ca="1">(CP*(D3815-K)&gt;0)*1</f>
        <v>0</v>
      </c>
      <c r="H3815" s="4">
        <v>3800</v>
      </c>
      <c r="I3815" s="3">
        <v>0.66781591683521091</v>
      </c>
      <c r="J3815" s="128">
        <v>1.3408992249760734E-3</v>
      </c>
      <c r="K3815" s="128"/>
      <c r="L3815" s="128">
        <v>4.48E-2</v>
      </c>
      <c r="O3815" s="2"/>
    </row>
    <row r="3816" spans="2:15" x14ac:dyDescent="0.2">
      <c r="B3816" s="1">
        <v>3801</v>
      </c>
      <c r="C3816" s="5">
        <f ca="1"/>
        <v>0.59077378198322228</v>
      </c>
      <c r="D3816" s="5">
        <f ca="1">S0*EXP((μ-0.5*σ*σ)*T+σ*SQRT(T)*$C3816)</f>
        <v>0.70435771106155098</v>
      </c>
      <c r="E3816" s="5">
        <f ca="1">MAX(0,CP*(D3816-K))</f>
        <v>0</v>
      </c>
      <c r="F3816" s="4">
        <f ca="1">(CP*(D3816-K)&gt;0)*1</f>
        <v>0</v>
      </c>
      <c r="H3816" s="4">
        <v>3801</v>
      </c>
      <c r="I3816" s="3">
        <v>0.66784737571969022</v>
      </c>
      <c r="J3816" s="128">
        <v>1.5354902640792394E-3</v>
      </c>
      <c r="K3816" s="128"/>
      <c r="L3816" s="128">
        <v>4.48E-2</v>
      </c>
      <c r="O3816" s="2"/>
    </row>
    <row r="3817" spans="2:15" x14ac:dyDescent="0.2">
      <c r="B3817" s="1">
        <v>3802</v>
      </c>
      <c r="C3817" s="5">
        <f ca="1"/>
        <v>-0.31730021421619259</v>
      </c>
      <c r="D3817" s="5">
        <f ca="1">S0*EXP((μ-0.5*σ*σ)*T+σ*SQRT(T)*$C3817)</f>
        <v>0.64404050609626529</v>
      </c>
      <c r="E3817" s="5">
        <f ca="1">MAX(0,CP*(D3817-K))</f>
        <v>0</v>
      </c>
      <c r="F3817" s="4">
        <f ca="1">(CP*(D3817-K)&gt;0)*1</f>
        <v>0</v>
      </c>
      <c r="H3817" s="4">
        <v>3802</v>
      </c>
      <c r="I3817" s="3">
        <v>0.66789556824852703</v>
      </c>
      <c r="J3817" s="128">
        <v>1.3859112083749712E-3</v>
      </c>
      <c r="K3817" s="128"/>
      <c r="L3817" s="128">
        <v>4.5199999999999997E-2</v>
      </c>
      <c r="O3817" s="2"/>
    </row>
    <row r="3818" spans="2:15" x14ac:dyDescent="0.2">
      <c r="B3818" s="1">
        <v>3803</v>
      </c>
      <c r="C3818" s="5">
        <f ca="1"/>
        <v>0.61367983900347578</v>
      </c>
      <c r="D3818" s="5">
        <f ca="1">S0*EXP((μ-0.5*σ*σ)*T+σ*SQRT(T)*$C3818)</f>
        <v>0.70595012436292803</v>
      </c>
      <c r="E3818" s="5">
        <f ca="1">MAX(0,CP*(D3818-K))</f>
        <v>0</v>
      </c>
      <c r="F3818" s="4">
        <f ca="1">(CP*(D3818-K)&gt;0)*1</f>
        <v>0</v>
      </c>
      <c r="H3818" s="4">
        <v>3803</v>
      </c>
      <c r="I3818" s="3">
        <v>0.66773884610144074</v>
      </c>
      <c r="J3818" s="128">
        <v>1.2346444176116139E-3</v>
      </c>
      <c r="K3818" s="128"/>
      <c r="L3818" s="128">
        <v>4.2599999999999999E-2</v>
      </c>
      <c r="O3818" s="2"/>
    </row>
    <row r="3819" spans="2:15" x14ac:dyDescent="0.2">
      <c r="B3819" s="1">
        <v>3804</v>
      </c>
      <c r="C3819" s="5">
        <f ca="1"/>
        <v>-2.5530906500473072</v>
      </c>
      <c r="D3819" s="5">
        <f ca="1">S0*EXP((μ-0.5*σ*σ)*T+σ*SQRT(T)*$C3819)</f>
        <v>0.51663710312363187</v>
      </c>
      <c r="E3819" s="5">
        <f ca="1">MAX(0,CP*(D3819-K))</f>
        <v>0</v>
      </c>
      <c r="F3819" s="4">
        <f ca="1">(CP*(D3819-K)&gt;0)*1</f>
        <v>0</v>
      </c>
      <c r="H3819" s="4">
        <v>3804</v>
      </c>
      <c r="I3819" s="3">
        <v>0.66764884979780892</v>
      </c>
      <c r="J3819" s="128">
        <v>1.3280697136011114E-3</v>
      </c>
      <c r="K3819" s="128"/>
      <c r="L3819" s="128">
        <v>4.1200000000000001E-2</v>
      </c>
      <c r="O3819" s="2"/>
    </row>
    <row r="3820" spans="2:15" x14ac:dyDescent="0.2">
      <c r="B3820" s="1">
        <v>3805</v>
      </c>
      <c r="C3820" s="5">
        <f ca="1"/>
        <v>-0.3750095405909642</v>
      </c>
      <c r="D3820" s="5">
        <f ca="1">S0*EXP((μ-0.5*σ*σ)*T+σ*SQRT(T)*$C3820)</f>
        <v>0.64038669531650894</v>
      </c>
      <c r="E3820" s="5">
        <f ca="1">MAX(0,CP*(D3820-K))</f>
        <v>0</v>
      </c>
      <c r="F3820" s="4">
        <f ca="1">(CP*(D3820-K)&gt;0)*1</f>
        <v>0</v>
      </c>
      <c r="H3820" s="4">
        <v>3805</v>
      </c>
      <c r="I3820" s="3">
        <v>0.66778340025662208</v>
      </c>
      <c r="J3820" s="128">
        <v>1.4285792811762031E-3</v>
      </c>
      <c r="K3820" s="128"/>
      <c r="L3820" s="128">
        <v>4.5400000000000003E-2</v>
      </c>
      <c r="O3820" s="2"/>
    </row>
    <row r="3821" spans="2:15" x14ac:dyDescent="0.2">
      <c r="B3821" s="1">
        <v>3806</v>
      </c>
      <c r="C3821" s="5">
        <f ca="1"/>
        <v>-0.70427640817280424</v>
      </c>
      <c r="D3821" s="5">
        <f ca="1">S0*EXP((μ-0.5*σ*σ)*T+σ*SQRT(T)*$C3821)</f>
        <v>0.61993251043590292</v>
      </c>
      <c r="E3821" s="5">
        <f ca="1">MAX(0,CP*(D3821-K))</f>
        <v>0</v>
      </c>
      <c r="F3821" s="4">
        <f ca="1">(CP*(D3821-K)&gt;0)*1</f>
        <v>0</v>
      </c>
      <c r="H3821" s="4">
        <v>3806</v>
      </c>
      <c r="I3821" s="3">
        <v>0.66793646433514264</v>
      </c>
      <c r="J3821" s="128">
        <v>1.5549881004496846E-3</v>
      </c>
      <c r="K3821" s="128"/>
      <c r="L3821" s="128">
        <v>4.6399999999999997E-2</v>
      </c>
      <c r="O3821" s="2"/>
    </row>
    <row r="3822" spans="2:15" x14ac:dyDescent="0.2">
      <c r="B3822" s="1">
        <v>3807</v>
      </c>
      <c r="C3822" s="5">
        <f ca="1"/>
        <v>-0.69812159609619318</v>
      </c>
      <c r="D3822" s="5">
        <f ca="1">S0*EXP((μ-0.5*σ*σ)*T+σ*SQRT(T)*$C3822)</f>
        <v>0.6203087917905401</v>
      </c>
      <c r="E3822" s="5">
        <f ca="1">MAX(0,CP*(D3822-K))</f>
        <v>0</v>
      </c>
      <c r="F3822" s="4">
        <f ca="1">(CP*(D3822-K)&gt;0)*1</f>
        <v>0</v>
      </c>
      <c r="H3822" s="4">
        <v>3807</v>
      </c>
      <c r="I3822" s="3">
        <v>0.66771396629847235</v>
      </c>
      <c r="J3822" s="128">
        <v>1.4367403411902088E-3</v>
      </c>
      <c r="K3822" s="128"/>
      <c r="L3822" s="128">
        <v>4.48E-2</v>
      </c>
      <c r="O3822" s="2"/>
    </row>
    <row r="3823" spans="2:15" x14ac:dyDescent="0.2">
      <c r="B3823" s="1">
        <v>3808</v>
      </c>
      <c r="C3823" s="5">
        <f ca="1"/>
        <v>-1.8252127874407138</v>
      </c>
      <c r="D3823" s="5">
        <f ca="1">S0*EXP((μ-0.5*σ*σ)*T+σ*SQRT(T)*$C3823)</f>
        <v>0.55507338853745891</v>
      </c>
      <c r="E3823" s="5">
        <f ca="1">MAX(0,CP*(D3823-K))</f>
        <v>0</v>
      </c>
      <c r="F3823" s="4">
        <f ca="1">(CP*(D3823-K)&gt;0)*1</f>
        <v>0</v>
      </c>
      <c r="H3823" s="4">
        <v>3808</v>
      </c>
      <c r="I3823" s="3">
        <v>0.66774165179899192</v>
      </c>
      <c r="J3823" s="128">
        <v>1.4159623744131279E-3</v>
      </c>
      <c r="K3823" s="128"/>
      <c r="L3823" s="128">
        <v>4.1000000000000002E-2</v>
      </c>
      <c r="O3823" s="2"/>
    </row>
    <row r="3824" spans="2:15" x14ac:dyDescent="0.2">
      <c r="B3824" s="1">
        <v>3809</v>
      </c>
      <c r="C3824" s="5">
        <f ca="1"/>
        <v>0.37309736694380224</v>
      </c>
      <c r="D3824" s="5">
        <f ca="1">S0*EXP((μ-0.5*σ*σ)*T+σ*SQRT(T)*$C3824)</f>
        <v>0.68940311495878448</v>
      </c>
      <c r="E3824" s="5">
        <f ca="1">MAX(0,CP*(D3824-K))</f>
        <v>0</v>
      </c>
      <c r="F3824" s="4">
        <f ca="1">(CP*(D3824-K)&gt;0)*1</f>
        <v>0</v>
      </c>
      <c r="H3824" s="4">
        <v>3809</v>
      </c>
      <c r="I3824" s="3">
        <v>0.66774163626843996</v>
      </c>
      <c r="J3824" s="128">
        <v>1.4301812357911605E-3</v>
      </c>
      <c r="K3824" s="128"/>
      <c r="L3824" s="128">
        <v>4.3200000000000002E-2</v>
      </c>
      <c r="O3824" s="2"/>
    </row>
    <row r="3825" spans="2:15" x14ac:dyDescent="0.2">
      <c r="B3825" s="1">
        <v>3810</v>
      </c>
      <c r="C3825" s="5">
        <f ca="1"/>
        <v>5.1055348632667703E-2</v>
      </c>
      <c r="D3825" s="5">
        <f ca="1">S0*EXP((μ-0.5*σ*σ)*T+σ*SQRT(T)*$C3825)</f>
        <v>0.66785886060856936</v>
      </c>
      <c r="E3825" s="5">
        <f ca="1">MAX(0,CP*(D3825-K))</f>
        <v>0</v>
      </c>
      <c r="F3825" s="4">
        <f ca="1">(CP*(D3825-K)&gt;0)*1</f>
        <v>0</v>
      </c>
      <c r="H3825" s="4">
        <v>3810</v>
      </c>
      <c r="I3825" s="3">
        <v>0.66768085792423304</v>
      </c>
      <c r="J3825" s="128">
        <v>1.3081776119803388E-3</v>
      </c>
      <c r="K3825" s="128"/>
      <c r="L3825" s="128">
        <v>3.8800000000000001E-2</v>
      </c>
      <c r="O3825" s="2"/>
    </row>
    <row r="3826" spans="2:15" x14ac:dyDescent="0.2">
      <c r="B3826" s="1">
        <v>3811</v>
      </c>
      <c r="C3826" s="5">
        <f ca="1"/>
        <v>1.1013130891968708</v>
      </c>
      <c r="D3826" s="5">
        <f ca="1">S0*EXP((μ-0.5*σ*σ)*T+σ*SQRT(T)*$C3826)</f>
        <v>0.74071735695186858</v>
      </c>
      <c r="E3826" s="5">
        <f ca="1">MAX(0,CP*(D3826-K))</f>
        <v>0</v>
      </c>
      <c r="F3826" s="4">
        <f ca="1">(CP*(D3826-K)&gt;0)*1</f>
        <v>0</v>
      </c>
      <c r="H3826" s="4">
        <v>3811</v>
      </c>
      <c r="I3826" s="3">
        <v>0.6678447783138306</v>
      </c>
      <c r="J3826" s="128">
        <v>1.4738908127155509E-3</v>
      </c>
      <c r="K3826" s="128"/>
      <c r="L3826" s="128">
        <v>4.1200000000000001E-2</v>
      </c>
      <c r="O3826" s="2"/>
    </row>
    <row r="3827" spans="2:15" x14ac:dyDescent="0.2">
      <c r="B3827" s="1">
        <v>3812</v>
      </c>
      <c r="C3827" s="5">
        <f ca="1"/>
        <v>0.32049104335709688</v>
      </c>
      <c r="D3827" s="5">
        <f ca="1">S0*EXP((μ-0.5*σ*σ)*T+σ*SQRT(T)*$C3827)</f>
        <v>0.68583690256782692</v>
      </c>
      <c r="E3827" s="5">
        <f ca="1">MAX(0,CP*(D3827-K))</f>
        <v>0</v>
      </c>
      <c r="F3827" s="4">
        <f ca="1">(CP*(D3827-K)&gt;0)*1</f>
        <v>0</v>
      </c>
      <c r="H3827" s="4">
        <v>3812</v>
      </c>
      <c r="I3827" s="3">
        <v>0.66758290456667491</v>
      </c>
      <c r="J3827" s="128">
        <v>1.1357808663952959E-3</v>
      </c>
      <c r="K3827" s="128"/>
      <c r="L3827" s="128">
        <v>3.6600000000000001E-2</v>
      </c>
      <c r="O3827" s="2"/>
    </row>
    <row r="3828" spans="2:15" x14ac:dyDescent="0.2">
      <c r="B3828" s="1">
        <v>3813</v>
      </c>
      <c r="C3828" s="5">
        <f ca="1"/>
        <v>0.32262108757305769</v>
      </c>
      <c r="D3828" s="5">
        <f ca="1">S0*EXP((μ-0.5*σ*σ)*T+σ*SQRT(T)*$C3828)</f>
        <v>0.68598094047061986</v>
      </c>
      <c r="E3828" s="5">
        <f ca="1">MAX(0,CP*(D3828-K))</f>
        <v>0</v>
      </c>
      <c r="F3828" s="4">
        <f ca="1">(CP*(D3828-K)&gt;0)*1</f>
        <v>0</v>
      </c>
      <c r="H3828" s="4">
        <v>3813</v>
      </c>
      <c r="I3828" s="3">
        <v>0.66779208717985516</v>
      </c>
      <c r="J3828" s="128">
        <v>1.4115178634408079E-3</v>
      </c>
      <c r="K3828" s="128"/>
      <c r="L3828" s="128">
        <v>4.4400000000000002E-2</v>
      </c>
      <c r="O3828" s="2"/>
    </row>
    <row r="3829" spans="2:15" x14ac:dyDescent="0.2">
      <c r="B3829" s="1">
        <v>3814</v>
      </c>
      <c r="C3829" s="5">
        <f ca="1"/>
        <v>-0.90754513974344941</v>
      </c>
      <c r="D3829" s="5">
        <f ca="1">S0*EXP((μ-0.5*σ*σ)*T+σ*SQRT(T)*$C3829)</f>
        <v>0.60763287042888725</v>
      </c>
      <c r="E3829" s="5">
        <f ca="1">MAX(0,CP*(D3829-K))</f>
        <v>0</v>
      </c>
      <c r="F3829" s="4">
        <f ca="1">(CP*(D3829-K)&gt;0)*1</f>
        <v>0</v>
      </c>
      <c r="H3829" s="4">
        <v>3814</v>
      </c>
      <c r="I3829" s="3">
        <v>0.66788602648969508</v>
      </c>
      <c r="J3829" s="128">
        <v>1.5571572142462494E-3</v>
      </c>
      <c r="K3829" s="128"/>
      <c r="L3829" s="128">
        <v>4.3400000000000001E-2</v>
      </c>
      <c r="O3829" s="2"/>
    </row>
    <row r="3830" spans="2:15" x14ac:dyDescent="0.2">
      <c r="B3830" s="1">
        <v>3815</v>
      </c>
      <c r="C3830" s="5">
        <f ca="1"/>
        <v>-1.0201123205496625</v>
      </c>
      <c r="D3830" s="5">
        <f ca="1">S0*EXP((μ-0.5*σ*σ)*T+σ*SQRT(T)*$C3830)</f>
        <v>0.60092681466917208</v>
      </c>
      <c r="E3830" s="5">
        <f ca="1">MAX(0,CP*(D3830-K))</f>
        <v>0</v>
      </c>
      <c r="F3830" s="4">
        <f ca="1">(CP*(D3830-K)&gt;0)*1</f>
        <v>0</v>
      </c>
      <c r="H3830" s="4">
        <v>3815</v>
      </c>
      <c r="I3830" s="3">
        <v>0.66777247762098313</v>
      </c>
      <c r="J3830" s="128">
        <v>1.4707533641072762E-3</v>
      </c>
      <c r="K3830" s="128"/>
      <c r="L3830" s="128">
        <v>4.3400000000000001E-2</v>
      </c>
      <c r="O3830" s="2"/>
    </row>
    <row r="3831" spans="2:15" x14ac:dyDescent="0.2">
      <c r="B3831" s="1">
        <v>3816</v>
      </c>
      <c r="C3831" s="5">
        <f ca="1"/>
        <v>0.4571752931787702</v>
      </c>
      <c r="D3831" s="5">
        <f ca="1">S0*EXP((μ-0.5*σ*σ)*T+σ*SQRT(T)*$C3831)</f>
        <v>0.69514134740207778</v>
      </c>
      <c r="E3831" s="5">
        <f ca="1">MAX(0,CP*(D3831-K))</f>
        <v>0</v>
      </c>
      <c r="F3831" s="4">
        <f ca="1">(CP*(D3831-K)&gt;0)*1</f>
        <v>0</v>
      </c>
      <c r="H3831" s="4">
        <v>3816</v>
      </c>
      <c r="I3831" s="3">
        <v>0.66767566036752213</v>
      </c>
      <c r="J3831" s="128">
        <v>1.370609970193865E-3</v>
      </c>
      <c r="K3831" s="128"/>
      <c r="L3831" s="128">
        <v>3.8399999999999997E-2</v>
      </c>
      <c r="O3831" s="2"/>
    </row>
    <row r="3832" spans="2:15" x14ac:dyDescent="0.2">
      <c r="B3832" s="1">
        <v>3817</v>
      </c>
      <c r="C3832" s="5">
        <f ca="1"/>
        <v>0.24926176334941424</v>
      </c>
      <c r="D3832" s="5">
        <f ca="1">S0*EXP((μ-0.5*σ*σ)*T+σ*SQRT(T)*$C3832)</f>
        <v>0.68103761094061122</v>
      </c>
      <c r="E3832" s="5">
        <f ca="1">MAX(0,CP*(D3832-K))</f>
        <v>0</v>
      </c>
      <c r="F3832" s="4">
        <f ca="1">(CP*(D3832-K)&gt;0)*1</f>
        <v>0</v>
      </c>
      <c r="H3832" s="4">
        <v>3817</v>
      </c>
      <c r="I3832" s="3">
        <v>0.66784463223209678</v>
      </c>
      <c r="J3832" s="128">
        <v>1.3925029821543152E-3</v>
      </c>
      <c r="K3832" s="128"/>
      <c r="L3832" s="128">
        <v>4.5199999999999997E-2</v>
      </c>
      <c r="O3832" s="2"/>
    </row>
    <row r="3833" spans="2:15" x14ac:dyDescent="0.2">
      <c r="B3833" s="1">
        <v>3818</v>
      </c>
      <c r="C3833" s="5">
        <f ca="1"/>
        <v>-0.96308111156041265</v>
      </c>
      <c r="D3833" s="5">
        <f ca="1">S0*EXP((μ-0.5*σ*σ)*T+σ*SQRT(T)*$C3833)</f>
        <v>0.60431507973709009</v>
      </c>
      <c r="E3833" s="5">
        <f ca="1">MAX(0,CP*(D3833-K))</f>
        <v>0</v>
      </c>
      <c r="F3833" s="4">
        <f ca="1">(CP*(D3833-K)&gt;0)*1</f>
        <v>0</v>
      </c>
      <c r="H3833" s="4">
        <v>3818</v>
      </c>
      <c r="I3833" s="3">
        <v>0.66770487222385166</v>
      </c>
      <c r="J3833" s="128">
        <v>1.3073246025220718E-3</v>
      </c>
      <c r="K3833" s="128"/>
      <c r="L3833" s="128">
        <v>3.9600000000000003E-2</v>
      </c>
      <c r="O3833" s="2"/>
    </row>
    <row r="3834" spans="2:15" x14ac:dyDescent="0.2">
      <c r="B3834" s="1">
        <v>3819</v>
      </c>
      <c r="C3834" s="5">
        <f ca="1"/>
        <v>0.50597111835449604</v>
      </c>
      <c r="D3834" s="5">
        <f ca="1">S0*EXP((μ-0.5*σ*σ)*T+σ*SQRT(T)*$C3834)</f>
        <v>0.69849349048838794</v>
      </c>
      <c r="E3834" s="5">
        <f ca="1">MAX(0,CP*(D3834-K))</f>
        <v>0</v>
      </c>
      <c r="F3834" s="4">
        <f ca="1">(CP*(D3834-K)&gt;0)*1</f>
        <v>0</v>
      </c>
      <c r="H3834" s="4">
        <v>3819</v>
      </c>
      <c r="I3834" s="3">
        <v>0.66791949953208463</v>
      </c>
      <c r="J3834" s="128">
        <v>1.4203461569007366E-3</v>
      </c>
      <c r="K3834" s="128"/>
      <c r="L3834" s="128">
        <v>4.6600000000000003E-2</v>
      </c>
      <c r="O3834" s="2"/>
    </row>
    <row r="3835" spans="2:15" x14ac:dyDescent="0.2">
      <c r="B3835" s="1">
        <v>3820</v>
      </c>
      <c r="C3835" s="5">
        <f ca="1"/>
        <v>-0.96563753131977281</v>
      </c>
      <c r="D3835" s="5">
        <f ca="1">S0*EXP((μ-0.5*σ*σ)*T+σ*SQRT(T)*$C3835)</f>
        <v>0.60416279282132901</v>
      </c>
      <c r="E3835" s="5">
        <f ca="1">MAX(0,CP*(D3835-K))</f>
        <v>0</v>
      </c>
      <c r="F3835" s="4">
        <f ca="1">(CP*(D3835-K)&gt;0)*1</f>
        <v>0</v>
      </c>
      <c r="H3835" s="4">
        <v>3820</v>
      </c>
      <c r="I3835" s="3">
        <v>0.66761365476215284</v>
      </c>
      <c r="J3835" s="128">
        <v>1.1396690592180726E-3</v>
      </c>
      <c r="K3835" s="128"/>
      <c r="L3835" s="128">
        <v>3.7600000000000001E-2</v>
      </c>
      <c r="O3835" s="2"/>
    </row>
    <row r="3836" spans="2:15" x14ac:dyDescent="0.2">
      <c r="B3836" s="1">
        <v>3821</v>
      </c>
      <c r="C3836" s="5">
        <f ca="1"/>
        <v>1.4054981107328681</v>
      </c>
      <c r="D3836" s="5">
        <f ca="1">S0*EXP((μ-0.5*σ*σ)*T+σ*SQRT(T)*$C3836)</f>
        <v>0.763267034335261</v>
      </c>
      <c r="E3836" s="5">
        <f ca="1">MAX(0,CP*(D3836-K))</f>
        <v>0</v>
      </c>
      <c r="F3836" s="4">
        <f ca="1">(CP*(D3836-K)&gt;0)*1</f>
        <v>0</v>
      </c>
      <c r="H3836" s="4">
        <v>3821</v>
      </c>
      <c r="I3836" s="3">
        <v>0.66780022061933308</v>
      </c>
      <c r="J3836" s="128">
        <v>1.5688394349325904E-3</v>
      </c>
      <c r="K3836" s="128"/>
      <c r="L3836" s="128">
        <v>4.4600000000000001E-2</v>
      </c>
      <c r="O3836" s="2"/>
    </row>
    <row r="3837" spans="2:15" x14ac:dyDescent="0.2">
      <c r="B3837" s="1">
        <v>3822</v>
      </c>
      <c r="C3837" s="5">
        <f ca="1"/>
        <v>1.6254627306545899</v>
      </c>
      <c r="D3837" s="5">
        <f ca="1">S0*EXP((μ-0.5*σ*σ)*T+σ*SQRT(T)*$C3837)</f>
        <v>0.77999983241926485</v>
      </c>
      <c r="E3837" s="5">
        <f ca="1">MAX(0,CP*(D3837-K))</f>
        <v>0</v>
      </c>
      <c r="F3837" s="4">
        <f ca="1">(CP*(D3837-K)&gt;0)*1</f>
        <v>0</v>
      </c>
      <c r="H3837" s="4">
        <v>3822</v>
      </c>
      <c r="I3837" s="3">
        <v>0.66755933727945604</v>
      </c>
      <c r="J3837" s="128">
        <v>1.1436758104677079E-3</v>
      </c>
      <c r="K3837" s="128"/>
      <c r="L3837" s="128">
        <v>3.9E-2</v>
      </c>
      <c r="O3837" s="2"/>
    </row>
    <row r="3838" spans="2:15" x14ac:dyDescent="0.2">
      <c r="B3838" s="1">
        <v>3823</v>
      </c>
      <c r="C3838" s="5">
        <f ca="1"/>
        <v>-1.5474583995477327</v>
      </c>
      <c r="D3838" s="5">
        <f ca="1">S0*EXP((μ-0.5*σ*σ)*T+σ*SQRT(T)*$C3838)</f>
        <v>0.57048303906683984</v>
      </c>
      <c r="E3838" s="5">
        <f ca="1">MAX(0,CP*(D3838-K))</f>
        <v>0</v>
      </c>
      <c r="F3838" s="4">
        <f ca="1">(CP*(D3838-K)&gt;0)*1</f>
        <v>0</v>
      </c>
      <c r="H3838" s="4">
        <v>3823</v>
      </c>
      <c r="I3838" s="3">
        <v>0.66772909925688917</v>
      </c>
      <c r="J3838" s="128">
        <v>1.4726694258316395E-3</v>
      </c>
      <c r="K3838" s="128"/>
      <c r="L3838" s="128">
        <v>0.04</v>
      </c>
      <c r="O3838" s="2"/>
    </row>
    <row r="3839" spans="2:15" x14ac:dyDescent="0.2">
      <c r="B3839" s="1">
        <v>3824</v>
      </c>
      <c r="C3839" s="5">
        <f ca="1"/>
        <v>1.7176813706800553</v>
      </c>
      <c r="D3839" s="5">
        <f ca="1">S0*EXP((μ-0.5*σ*σ)*T+σ*SQRT(T)*$C3839)</f>
        <v>0.78712361498461336</v>
      </c>
      <c r="E3839" s="5">
        <f ca="1">MAX(0,CP*(D3839-K))</f>
        <v>0</v>
      </c>
      <c r="F3839" s="4">
        <f ca="1">(CP*(D3839-K)&gt;0)*1</f>
        <v>0</v>
      </c>
      <c r="H3839" s="4">
        <v>3824</v>
      </c>
      <c r="I3839" s="3">
        <v>0.66762123824288211</v>
      </c>
      <c r="J3839" s="128">
        <v>1.1767659439819666E-3</v>
      </c>
      <c r="K3839" s="128"/>
      <c r="L3839" s="128">
        <v>3.7999999999999999E-2</v>
      </c>
      <c r="O3839" s="2"/>
    </row>
    <row r="3840" spans="2:15" x14ac:dyDescent="0.2">
      <c r="B3840" s="1">
        <v>3825</v>
      </c>
      <c r="C3840" s="5">
        <f ca="1"/>
        <v>6.9287629580577256E-2</v>
      </c>
      <c r="D3840" s="5">
        <f ca="1">S0*EXP((μ-0.5*σ*σ)*T+σ*SQRT(T)*$C3840)</f>
        <v>0.66906039938836692</v>
      </c>
      <c r="E3840" s="5">
        <f ca="1">MAX(0,CP*(D3840-K))</f>
        <v>0</v>
      </c>
      <c r="F3840" s="4">
        <f ca="1">(CP*(D3840-K)&gt;0)*1</f>
        <v>0</v>
      </c>
      <c r="H3840" s="4">
        <v>3825</v>
      </c>
      <c r="I3840" s="3">
        <v>0.66784577387958843</v>
      </c>
      <c r="J3840" s="128">
        <v>1.4485446418574471E-3</v>
      </c>
      <c r="K3840" s="128"/>
      <c r="L3840" s="128">
        <v>4.3999999999999997E-2</v>
      </c>
      <c r="O3840" s="2"/>
    </row>
    <row r="3841" spans="2:15" x14ac:dyDescent="0.2">
      <c r="B3841" s="1">
        <v>3826</v>
      </c>
      <c r="C3841" s="5">
        <f ca="1"/>
        <v>-7.0810949364319021E-3</v>
      </c>
      <c r="D3841" s="5">
        <f ca="1">S0*EXP((μ-0.5*σ*σ)*T+σ*SQRT(T)*$C3841)</f>
        <v>0.6640419597185252</v>
      </c>
      <c r="E3841" s="5">
        <f ca="1">MAX(0,CP*(D3841-K))</f>
        <v>0</v>
      </c>
      <c r="F3841" s="4">
        <f ca="1">(CP*(D3841-K)&gt;0)*1</f>
        <v>0</v>
      </c>
      <c r="H3841" s="4">
        <v>3826</v>
      </c>
      <c r="I3841" s="3">
        <v>0.66766273050903324</v>
      </c>
      <c r="J3841" s="128">
        <v>1.3485106005479356E-3</v>
      </c>
      <c r="K3841" s="128"/>
      <c r="L3841" s="128">
        <v>3.9600000000000003E-2</v>
      </c>
      <c r="O3841" s="2"/>
    </row>
    <row r="3842" spans="2:15" x14ac:dyDescent="0.2">
      <c r="B3842" s="1">
        <v>3827</v>
      </c>
      <c r="C3842" s="5">
        <f ca="1"/>
        <v>0.69654149181638059</v>
      </c>
      <c r="D3842" s="5">
        <f ca="1">S0*EXP((μ-0.5*σ*σ)*T+σ*SQRT(T)*$C3842)</f>
        <v>0.71174073602965338</v>
      </c>
      <c r="E3842" s="5">
        <f ca="1">MAX(0,CP*(D3842-K))</f>
        <v>0</v>
      </c>
      <c r="F3842" s="4">
        <f ca="1">(CP*(D3842-K)&gt;0)*1</f>
        <v>0</v>
      </c>
      <c r="H3842" s="4">
        <v>3827</v>
      </c>
      <c r="I3842" s="3">
        <v>0.66789771240681906</v>
      </c>
      <c r="J3842" s="128">
        <v>1.5415024779776331E-3</v>
      </c>
      <c r="K3842" s="128"/>
      <c r="L3842" s="128">
        <v>4.5199999999999997E-2</v>
      </c>
      <c r="O3842" s="2"/>
    </row>
    <row r="3843" spans="2:15" x14ac:dyDescent="0.2">
      <c r="B3843" s="1">
        <v>3828</v>
      </c>
      <c r="C3843" s="5">
        <f ca="1"/>
        <v>0.25360855846103508</v>
      </c>
      <c r="D3843" s="5">
        <f ca="1">S0*EXP((μ-0.5*σ*σ)*T+σ*SQRT(T)*$C3843)</f>
        <v>0.68132952502326338</v>
      </c>
      <c r="E3843" s="5">
        <f ca="1">MAX(0,CP*(D3843-K))</f>
        <v>0</v>
      </c>
      <c r="F3843" s="4">
        <f ca="1">(CP*(D3843-K)&gt;0)*1</f>
        <v>0</v>
      </c>
      <c r="H3843" s="4">
        <v>3828</v>
      </c>
      <c r="I3843" s="3">
        <v>0.66765061928783465</v>
      </c>
      <c r="J3843" s="128">
        <v>1.2209068802350486E-3</v>
      </c>
      <c r="K3843" s="128"/>
      <c r="L3843" s="128">
        <v>0.04</v>
      </c>
      <c r="O3843" s="2"/>
    </row>
    <row r="3844" spans="2:15" x14ac:dyDescent="0.2">
      <c r="B3844" s="1">
        <v>3829</v>
      </c>
      <c r="C3844" s="5">
        <f ca="1"/>
        <v>-0.24364758031665718</v>
      </c>
      <c r="D3844" s="5">
        <f ca="1">S0*EXP((μ-0.5*σ*σ)*T+σ*SQRT(T)*$C3844)</f>
        <v>0.64873405011118723</v>
      </c>
      <c r="E3844" s="5">
        <f ca="1">MAX(0,CP*(D3844-K))</f>
        <v>0</v>
      </c>
      <c r="F3844" s="4">
        <f ca="1">(CP*(D3844-K)&gt;0)*1</f>
        <v>0</v>
      </c>
      <c r="H3844" s="4">
        <v>3829</v>
      </c>
      <c r="I3844" s="3">
        <v>0.66782722985623277</v>
      </c>
      <c r="J3844" s="128">
        <v>1.2357513463939597E-3</v>
      </c>
      <c r="K3844" s="128"/>
      <c r="L3844" s="128">
        <v>4.3999999999999997E-2</v>
      </c>
      <c r="O3844" s="2"/>
    </row>
    <row r="3845" spans="2:15" x14ac:dyDescent="0.2">
      <c r="B3845" s="1">
        <v>3830</v>
      </c>
      <c r="C3845" s="5">
        <f ca="1"/>
        <v>0.79429753892289057</v>
      </c>
      <c r="D3845" s="5">
        <f ca="1">S0*EXP((μ-0.5*σ*σ)*T+σ*SQRT(T)*$C3845)</f>
        <v>0.71863331288781407</v>
      </c>
      <c r="E3845" s="5">
        <f ca="1">MAX(0,CP*(D3845-K))</f>
        <v>0</v>
      </c>
      <c r="F3845" s="4">
        <f ca="1">(CP*(D3845-K)&gt;0)*1</f>
        <v>0</v>
      </c>
      <c r="H3845" s="4">
        <v>3830</v>
      </c>
      <c r="I3845" s="3">
        <v>0.66765493298844281</v>
      </c>
      <c r="J3845" s="128">
        <v>1.2070501621554873E-3</v>
      </c>
      <c r="K3845" s="128"/>
      <c r="L3845" s="128">
        <v>3.7600000000000001E-2</v>
      </c>
      <c r="O3845" s="2"/>
    </row>
    <row r="3846" spans="2:15" x14ac:dyDescent="0.2">
      <c r="B3846" s="1">
        <v>3831</v>
      </c>
      <c r="C3846" s="5">
        <f ca="1"/>
        <v>0.77333301206798533</v>
      </c>
      <c r="D3846" s="5">
        <f ca="1">S0*EXP((μ-0.5*σ*σ)*T+σ*SQRT(T)*$C3846)</f>
        <v>0.71714954693925992</v>
      </c>
      <c r="E3846" s="5">
        <f ca="1">MAX(0,CP*(D3846-K))</f>
        <v>0</v>
      </c>
      <c r="F3846" s="4">
        <f ca="1">(CP*(D3846-K)&gt;0)*1</f>
        <v>0</v>
      </c>
      <c r="H3846" s="4">
        <v>3831</v>
      </c>
      <c r="I3846" s="3">
        <v>0.66772114278311812</v>
      </c>
      <c r="J3846" s="128">
        <v>1.3467812349623675E-3</v>
      </c>
      <c r="K3846" s="128"/>
      <c r="L3846" s="128">
        <v>4.1000000000000002E-2</v>
      </c>
      <c r="O3846" s="2"/>
    </row>
    <row r="3847" spans="2:15" x14ac:dyDescent="0.2">
      <c r="B3847" s="1">
        <v>3832</v>
      </c>
      <c r="C3847" s="5">
        <f ca="1"/>
        <v>-1.0116229357190625</v>
      </c>
      <c r="D3847" s="5">
        <f ca="1">S0*EXP((μ-0.5*σ*σ)*T+σ*SQRT(T)*$C3847)</f>
        <v>0.60142996907338131</v>
      </c>
      <c r="E3847" s="5">
        <f ca="1">MAX(0,CP*(D3847-K))</f>
        <v>0</v>
      </c>
      <c r="F3847" s="4">
        <f ca="1">(CP*(D3847-K)&gt;0)*1</f>
        <v>0</v>
      </c>
      <c r="H3847" s="4">
        <v>3832</v>
      </c>
      <c r="I3847" s="3">
        <v>0.66779609852667809</v>
      </c>
      <c r="J3847" s="128">
        <v>1.380793883329477E-3</v>
      </c>
      <c r="K3847" s="128"/>
      <c r="L3847" s="128">
        <v>4.1399999999999999E-2</v>
      </c>
      <c r="O3847" s="2"/>
    </row>
    <row r="3848" spans="2:15" x14ac:dyDescent="0.2">
      <c r="B3848" s="1">
        <v>3833</v>
      </c>
      <c r="C3848" s="5">
        <f ca="1"/>
        <v>0.20140045685374469</v>
      </c>
      <c r="D3848" s="5">
        <f ca="1">S0*EXP((μ-0.5*σ*σ)*T+σ*SQRT(T)*$C3848)</f>
        <v>0.67783168743870681</v>
      </c>
      <c r="E3848" s="5">
        <f ca="1">MAX(0,CP*(D3848-K))</f>
        <v>0</v>
      </c>
      <c r="F3848" s="4">
        <f ca="1">(CP*(D3848-K)&gt;0)*1</f>
        <v>0</v>
      </c>
      <c r="H3848" s="4">
        <v>3833</v>
      </c>
      <c r="I3848" s="3">
        <v>0.66771936013287658</v>
      </c>
      <c r="J3848" s="128">
        <v>1.3617454042185193E-3</v>
      </c>
      <c r="K3848" s="128"/>
      <c r="L3848" s="128">
        <v>4.0800000000000003E-2</v>
      </c>
      <c r="O3848" s="2"/>
    </row>
    <row r="3849" spans="2:15" x14ac:dyDescent="0.2">
      <c r="B3849" s="1">
        <v>3834</v>
      </c>
      <c r="C3849" s="5">
        <f ca="1"/>
        <v>-0.30581253544163867</v>
      </c>
      <c r="D3849" s="5">
        <f ca="1">S0*EXP((μ-0.5*σ*σ)*T+σ*SQRT(T)*$C3849)</f>
        <v>0.64477032168842685</v>
      </c>
      <c r="E3849" s="5">
        <f ca="1">MAX(0,CP*(D3849-K))</f>
        <v>0</v>
      </c>
      <c r="F3849" s="4">
        <f ca="1">(CP*(D3849-K)&gt;0)*1</f>
        <v>0</v>
      </c>
      <c r="H3849" s="4">
        <v>3834</v>
      </c>
      <c r="I3849" s="3">
        <v>0.66780670886131244</v>
      </c>
      <c r="J3849" s="128">
        <v>1.3923565702199903E-3</v>
      </c>
      <c r="K3849" s="128"/>
      <c r="L3849" s="128">
        <v>4.3400000000000001E-2</v>
      </c>
      <c r="O3849" s="2"/>
    </row>
    <row r="3850" spans="2:15" x14ac:dyDescent="0.2">
      <c r="B3850" s="1">
        <v>3835</v>
      </c>
      <c r="C3850" s="5">
        <f ca="1"/>
        <v>0.92834786466304409</v>
      </c>
      <c r="D3850" s="5">
        <f ca="1">S0*EXP((μ-0.5*σ*σ)*T+σ*SQRT(T)*$C3850)</f>
        <v>0.72819357609326352</v>
      </c>
      <c r="E3850" s="5">
        <f ca="1">MAX(0,CP*(D3850-K))</f>
        <v>0</v>
      </c>
      <c r="F3850" s="4">
        <f ca="1">(CP*(D3850-K)&gt;0)*1</f>
        <v>0</v>
      </c>
      <c r="H3850" s="4">
        <v>3835</v>
      </c>
      <c r="I3850" s="3">
        <v>0.66764469384850256</v>
      </c>
      <c r="J3850" s="128">
        <v>1.182294641290409E-3</v>
      </c>
      <c r="K3850" s="128"/>
      <c r="L3850" s="128">
        <v>3.9E-2</v>
      </c>
      <c r="O3850" s="2"/>
    </row>
    <row r="3851" spans="2:15" x14ac:dyDescent="0.2">
      <c r="B3851" s="1">
        <v>3836</v>
      </c>
      <c r="C3851" s="5">
        <f ca="1"/>
        <v>1.7497971183862238</v>
      </c>
      <c r="D3851" s="5">
        <f ca="1">S0*EXP((μ-0.5*σ*σ)*T+σ*SQRT(T)*$C3851)</f>
        <v>0.7896197634661084</v>
      </c>
      <c r="E3851" s="5">
        <f ca="1">MAX(0,CP*(D3851-K))</f>
        <v>1.4197634661083924E-3</v>
      </c>
      <c r="F3851" s="4">
        <f ca="1">(CP*(D3851-K)&gt;0)*1</f>
        <v>1</v>
      </c>
      <c r="H3851" s="4">
        <v>3836</v>
      </c>
      <c r="I3851" s="3">
        <v>0.66791881468744208</v>
      </c>
      <c r="J3851" s="128">
        <v>1.6668593508226024E-3</v>
      </c>
      <c r="K3851" s="128"/>
      <c r="L3851" s="128">
        <v>0.05</v>
      </c>
      <c r="O3851" s="2"/>
    </row>
    <row r="3852" spans="2:15" x14ac:dyDescent="0.2">
      <c r="B3852" s="1">
        <v>3837</v>
      </c>
      <c r="C3852" s="5">
        <f ca="1"/>
        <v>-0.55435953215578393</v>
      </c>
      <c r="D3852" s="5">
        <f ca="1">S0*EXP((μ-0.5*σ*σ)*T+σ*SQRT(T)*$C3852)</f>
        <v>0.62916311251525459</v>
      </c>
      <c r="E3852" s="5">
        <f ca="1">MAX(0,CP*(D3852-K))</f>
        <v>0</v>
      </c>
      <c r="F3852" s="4">
        <f ca="1">(CP*(D3852-K)&gt;0)*1</f>
        <v>0</v>
      </c>
      <c r="H3852" s="4">
        <v>3837</v>
      </c>
      <c r="I3852" s="3">
        <v>0.66770730226825559</v>
      </c>
      <c r="J3852" s="128">
        <v>1.2387705551219102E-3</v>
      </c>
      <c r="K3852" s="128"/>
      <c r="L3852" s="128">
        <v>4.1000000000000002E-2</v>
      </c>
      <c r="O3852" s="2"/>
    </row>
    <row r="3853" spans="2:15" x14ac:dyDescent="0.2">
      <c r="B3853" s="1">
        <v>3838</v>
      </c>
      <c r="C3853" s="5">
        <f ca="1"/>
        <v>-1.0909429548944416</v>
      </c>
      <c r="D3853" s="5">
        <f ca="1">S0*EXP((μ-0.5*σ*σ)*T+σ*SQRT(T)*$C3853)</f>
        <v>0.5967451521921644</v>
      </c>
      <c r="E3853" s="5">
        <f ca="1">MAX(0,CP*(D3853-K))</f>
        <v>0</v>
      </c>
      <c r="F3853" s="4">
        <f ca="1">(CP*(D3853-K)&gt;0)*1</f>
        <v>0</v>
      </c>
      <c r="H3853" s="4">
        <v>3838</v>
      </c>
      <c r="I3853" s="3">
        <v>0.66773767110875071</v>
      </c>
      <c r="J3853" s="128">
        <v>1.4062671158457563E-3</v>
      </c>
      <c r="K3853" s="128"/>
      <c r="L3853" s="128">
        <v>4.4400000000000002E-2</v>
      </c>
      <c r="O3853" s="2"/>
    </row>
    <row r="3854" spans="2:15" x14ac:dyDescent="0.2">
      <c r="B3854" s="1">
        <v>3839</v>
      </c>
      <c r="C3854" s="5">
        <f ca="1"/>
        <v>-0.16007568041661158</v>
      </c>
      <c r="D3854" s="5">
        <f ca="1">S0*EXP((μ-0.5*σ*σ)*T+σ*SQRT(T)*$C3854)</f>
        <v>0.65410114192421887</v>
      </c>
      <c r="E3854" s="5">
        <f ca="1">MAX(0,CP*(D3854-K))</f>
        <v>0</v>
      </c>
      <c r="F3854" s="4">
        <f ca="1">(CP*(D3854-K)&gt;0)*1</f>
        <v>0</v>
      </c>
      <c r="H3854" s="4">
        <v>3839</v>
      </c>
      <c r="I3854" s="3">
        <v>0.66773507259857401</v>
      </c>
      <c r="J3854" s="128">
        <v>1.3883641286707813E-3</v>
      </c>
      <c r="K3854" s="128"/>
      <c r="L3854" s="128">
        <v>4.2599999999999999E-2</v>
      </c>
      <c r="O3854" s="2"/>
    </row>
    <row r="3855" spans="2:15" x14ac:dyDescent="0.2">
      <c r="B3855" s="1">
        <v>3840</v>
      </c>
      <c r="C3855" s="5">
        <f ca="1"/>
        <v>-1.0370149357775293</v>
      </c>
      <c r="D3855" s="5">
        <f ca="1">S0*EXP((μ-0.5*σ*σ)*T+σ*SQRT(T)*$C3855)</f>
        <v>0.59992627247402408</v>
      </c>
      <c r="E3855" s="5">
        <f ca="1">MAX(0,CP*(D3855-K))</f>
        <v>0</v>
      </c>
      <c r="F3855" s="4">
        <f ca="1">(CP*(D3855-K)&gt;0)*1</f>
        <v>0</v>
      </c>
      <c r="H3855" s="4">
        <v>3840</v>
      </c>
      <c r="I3855" s="3">
        <v>0.66777795800706641</v>
      </c>
      <c r="J3855" s="128">
        <v>1.3939657031693687E-3</v>
      </c>
      <c r="K3855" s="128"/>
      <c r="L3855" s="128">
        <v>4.6199999999999998E-2</v>
      </c>
      <c r="O3855" s="2"/>
    </row>
    <row r="3856" spans="2:15" x14ac:dyDescent="0.2">
      <c r="B3856" s="1">
        <v>3841</v>
      </c>
      <c r="C3856" s="5">
        <f ca="1"/>
        <v>-1.7194688066394355</v>
      </c>
      <c r="D3856" s="5">
        <f ca="1">S0*EXP((μ-0.5*σ*σ)*T+σ*SQRT(T)*$C3856)</f>
        <v>0.56089031423643343</v>
      </c>
      <c r="E3856" s="5">
        <f ca="1">MAX(0,CP*(D3856-K))</f>
        <v>0</v>
      </c>
      <c r="F3856" s="4">
        <f ca="1">(CP*(D3856-K)&gt;0)*1</f>
        <v>0</v>
      </c>
      <c r="H3856" s="4">
        <v>3841</v>
      </c>
      <c r="I3856" s="3">
        <v>0.66763109558318845</v>
      </c>
      <c r="J3856" s="128">
        <v>1.3091124723081803E-3</v>
      </c>
      <c r="K3856" s="128"/>
      <c r="L3856" s="128">
        <v>3.8199999999999998E-2</v>
      </c>
      <c r="O3856" s="2"/>
    </row>
    <row r="3857" spans="2:15" x14ac:dyDescent="0.2">
      <c r="B3857" s="1">
        <v>3842</v>
      </c>
      <c r="C3857" s="5">
        <f ca="1"/>
        <v>0.42906207250421796</v>
      </c>
      <c r="D3857" s="5">
        <f ca="1">S0*EXP((μ-0.5*σ*σ)*T+σ*SQRT(T)*$C3857)</f>
        <v>0.6932173533071746</v>
      </c>
      <c r="E3857" s="5">
        <f ca="1">MAX(0,CP*(D3857-K))</f>
        <v>0</v>
      </c>
      <c r="F3857" s="4">
        <f ca="1">(CP*(D3857-K)&gt;0)*1</f>
        <v>0</v>
      </c>
      <c r="H3857" s="4">
        <v>3842</v>
      </c>
      <c r="I3857" s="3">
        <v>0.66754255979021204</v>
      </c>
      <c r="J3857" s="128">
        <v>1.1087553510133309E-3</v>
      </c>
      <c r="K3857" s="128"/>
      <c r="L3857" s="128">
        <v>3.44E-2</v>
      </c>
      <c r="O3857" s="2"/>
    </row>
    <row r="3858" spans="2:15" x14ac:dyDescent="0.2">
      <c r="B3858" s="1">
        <v>3843</v>
      </c>
      <c r="C3858" s="5">
        <f ca="1"/>
        <v>-1.9129658546050226</v>
      </c>
      <c r="D3858" s="5">
        <f ca="1">S0*EXP((μ-0.5*σ*σ)*T+σ*SQRT(T)*$C3858)</f>
        <v>0.55029196550476323</v>
      </c>
      <c r="E3858" s="5">
        <f ca="1">MAX(0,CP*(D3858-K))</f>
        <v>0</v>
      </c>
      <c r="F3858" s="4">
        <f ca="1">(CP*(D3858-K)&gt;0)*1</f>
        <v>0</v>
      </c>
      <c r="H3858" s="4">
        <v>3843</v>
      </c>
      <c r="I3858" s="3">
        <v>0.66775616896232637</v>
      </c>
      <c r="J3858" s="128">
        <v>1.216047987555574E-3</v>
      </c>
      <c r="K3858" s="128"/>
      <c r="L3858" s="128">
        <v>4.36E-2</v>
      </c>
      <c r="O3858" s="2"/>
    </row>
    <row r="3859" spans="2:15" x14ac:dyDescent="0.2">
      <c r="B3859" s="1">
        <v>3844</v>
      </c>
      <c r="C3859" s="5">
        <f ca="1"/>
        <v>-0.36836320216531371</v>
      </c>
      <c r="D3859" s="5">
        <f ca="1">S0*EXP((μ-0.5*σ*σ)*T+σ*SQRT(T)*$C3859)</f>
        <v>0.64080644344160598</v>
      </c>
      <c r="E3859" s="5">
        <f ca="1">MAX(0,CP*(D3859-K))</f>
        <v>0</v>
      </c>
      <c r="F3859" s="4">
        <f ca="1">(CP*(D3859-K)&gt;0)*1</f>
        <v>0</v>
      </c>
      <c r="H3859" s="4">
        <v>3844</v>
      </c>
      <c r="I3859" s="3">
        <v>0.66786636959178358</v>
      </c>
      <c r="J3859" s="128">
        <v>1.5078597759355839E-3</v>
      </c>
      <c r="K3859" s="128"/>
      <c r="L3859" s="128">
        <v>4.5199999999999997E-2</v>
      </c>
      <c r="O3859" s="2"/>
    </row>
    <row r="3860" spans="2:15" x14ac:dyDescent="0.2">
      <c r="B3860" s="1">
        <v>3845</v>
      </c>
      <c r="C3860" s="5">
        <f ca="1"/>
        <v>-0.19152108486208122</v>
      </c>
      <c r="D3860" s="5">
        <f ca="1">S0*EXP((μ-0.5*σ*σ)*T+σ*SQRT(T)*$C3860)</f>
        <v>0.65207648798135487</v>
      </c>
      <c r="E3860" s="5">
        <f ca="1">MAX(0,CP*(D3860-K))</f>
        <v>0</v>
      </c>
      <c r="F3860" s="4">
        <f ca="1">(CP*(D3860-K)&gt;0)*1</f>
        <v>0</v>
      </c>
      <c r="H3860" s="4">
        <v>3845</v>
      </c>
      <c r="I3860" s="3">
        <v>0.66783440517509884</v>
      </c>
      <c r="J3860" s="128">
        <v>1.4066114399136252E-3</v>
      </c>
      <c r="K3860" s="128"/>
      <c r="L3860" s="128">
        <v>4.3200000000000002E-2</v>
      </c>
      <c r="O3860" s="2"/>
    </row>
    <row r="3861" spans="2:15" x14ac:dyDescent="0.2">
      <c r="B3861" s="1">
        <v>3846</v>
      </c>
      <c r="C3861" s="5">
        <f ca="1"/>
        <v>-1.3792994072869058</v>
      </c>
      <c r="D3861" s="5">
        <f ca="1">S0*EXP((μ-0.5*σ*σ)*T+σ*SQRT(T)*$C3861)</f>
        <v>0.58001954919293808</v>
      </c>
      <c r="E3861" s="5">
        <f ca="1">MAX(0,CP*(D3861-K))</f>
        <v>0</v>
      </c>
      <c r="F3861" s="4">
        <f ca="1">(CP*(D3861-K)&gt;0)*1</f>
        <v>0</v>
      </c>
      <c r="H3861" s="4">
        <v>3846</v>
      </c>
      <c r="I3861" s="3">
        <v>0.6676513900806994</v>
      </c>
      <c r="J3861" s="128">
        <v>1.2654682809183674E-3</v>
      </c>
      <c r="K3861" s="128"/>
      <c r="L3861" s="128">
        <v>3.8399999999999997E-2</v>
      </c>
      <c r="O3861" s="2"/>
    </row>
    <row r="3862" spans="2:15" x14ac:dyDescent="0.2">
      <c r="B3862" s="1">
        <v>3847</v>
      </c>
      <c r="C3862" s="5">
        <f ca="1"/>
        <v>-1.5404021965967556</v>
      </c>
      <c r="D3862" s="5">
        <f ca="1">S0*EXP((μ-0.5*σ*σ)*T+σ*SQRT(T)*$C3862)</f>
        <v>0.57088003548552324</v>
      </c>
      <c r="E3862" s="5">
        <f ca="1">MAX(0,CP*(D3862-K))</f>
        <v>0</v>
      </c>
      <c r="F3862" s="4">
        <f ca="1">(CP*(D3862-K)&gt;0)*1</f>
        <v>0</v>
      </c>
      <c r="H3862" s="4">
        <v>3847</v>
      </c>
      <c r="I3862" s="3">
        <v>0.66760514028769491</v>
      </c>
      <c r="J3862" s="128">
        <v>1.2269964116321994E-3</v>
      </c>
      <c r="K3862" s="128"/>
      <c r="L3862" s="128">
        <v>3.9E-2</v>
      </c>
      <c r="O3862" s="2"/>
    </row>
    <row r="3863" spans="2:15" x14ac:dyDescent="0.2">
      <c r="B3863" s="1">
        <v>3848</v>
      </c>
      <c r="C3863" s="5">
        <f ca="1"/>
        <v>-1.245349387780436</v>
      </c>
      <c r="D3863" s="5">
        <f ca="1">S0*EXP((μ-0.5*σ*σ)*T+σ*SQRT(T)*$C3863)</f>
        <v>0.58772996661965293</v>
      </c>
      <c r="E3863" s="5">
        <f ca="1">MAX(0,CP*(D3863-K))</f>
        <v>0</v>
      </c>
      <c r="F3863" s="4">
        <f ca="1">(CP*(D3863-K)&gt;0)*1</f>
        <v>0</v>
      </c>
      <c r="H3863" s="4">
        <v>3848</v>
      </c>
      <c r="I3863" s="3">
        <v>0.66763124690434006</v>
      </c>
      <c r="J3863" s="128">
        <v>1.2063043009515584E-3</v>
      </c>
      <c r="K3863" s="128"/>
      <c r="L3863" s="128">
        <v>4.02E-2</v>
      </c>
      <c r="O3863" s="2"/>
    </row>
    <row r="3864" spans="2:15" x14ac:dyDescent="0.2">
      <c r="B3864" s="1">
        <v>3849</v>
      </c>
      <c r="C3864" s="5">
        <f ca="1"/>
        <v>-0.49953480592998467</v>
      </c>
      <c r="D3864" s="5">
        <f ca="1">S0*EXP((μ-0.5*σ*σ)*T+σ*SQRT(T)*$C3864)</f>
        <v>0.63257296554567954</v>
      </c>
      <c r="E3864" s="5">
        <f ca="1">MAX(0,CP*(D3864-K))</f>
        <v>0</v>
      </c>
      <c r="F3864" s="4">
        <f ca="1">(CP*(D3864-K)&gt;0)*1</f>
        <v>0</v>
      </c>
      <c r="H3864" s="4">
        <v>3849</v>
      </c>
      <c r="I3864" s="3">
        <v>0.66778152791569534</v>
      </c>
      <c r="J3864" s="128">
        <v>1.3944048640873558E-3</v>
      </c>
      <c r="K3864" s="128"/>
      <c r="L3864" s="128">
        <v>4.2799999999999998E-2</v>
      </c>
      <c r="O3864" s="2"/>
    </row>
    <row r="3865" spans="2:15" x14ac:dyDescent="0.2">
      <c r="B3865" s="1">
        <v>3850</v>
      </c>
      <c r="C3865" s="5">
        <f ca="1"/>
        <v>5.3446982614845095E-2</v>
      </c>
      <c r="D3865" s="5">
        <f ca="1">S0*EXP((μ-0.5*σ*σ)*T+σ*SQRT(T)*$C3865)</f>
        <v>0.66801635037156792</v>
      </c>
      <c r="E3865" s="5">
        <f ca="1">MAX(0,CP*(D3865-K))</f>
        <v>0</v>
      </c>
      <c r="F3865" s="4">
        <f ca="1">(CP*(D3865-K)&gt;0)*1</f>
        <v>0</v>
      </c>
      <c r="H3865" s="4">
        <v>3850</v>
      </c>
      <c r="I3865" s="3">
        <v>0.66768802170927621</v>
      </c>
      <c r="J3865" s="128">
        <v>1.2753370665603806E-3</v>
      </c>
      <c r="K3865" s="128"/>
      <c r="L3865" s="128">
        <v>3.9399999999999998E-2</v>
      </c>
      <c r="O3865" s="2"/>
    </row>
    <row r="3866" spans="2:15" x14ac:dyDescent="0.2">
      <c r="B3866" s="1">
        <v>3851</v>
      </c>
      <c r="C3866" s="5">
        <f ca="1"/>
        <v>-0.4692669744244819</v>
      </c>
      <c r="D3866" s="5">
        <f ca="1">S0*EXP((μ-0.5*σ*σ)*T+σ*SQRT(T)*$C3866)</f>
        <v>0.6344634007244615</v>
      </c>
      <c r="E3866" s="5">
        <f ca="1">MAX(0,CP*(D3866-K))</f>
        <v>0</v>
      </c>
      <c r="F3866" s="4">
        <f ca="1">(CP*(D3866-K)&gt;0)*1</f>
        <v>0</v>
      </c>
      <c r="H3866" s="4">
        <v>3851</v>
      </c>
      <c r="I3866" s="3">
        <v>0.66793083675595755</v>
      </c>
      <c r="J3866" s="128">
        <v>1.6165480705053056E-3</v>
      </c>
      <c r="K3866" s="128"/>
      <c r="L3866" s="128">
        <v>4.48E-2</v>
      </c>
      <c r="O3866" s="2"/>
    </row>
    <row r="3867" spans="2:15" x14ac:dyDescent="0.2">
      <c r="B3867" s="1">
        <v>3852</v>
      </c>
      <c r="C3867" s="5">
        <f ca="1"/>
        <v>0.27331410964129432</v>
      </c>
      <c r="D3867" s="5">
        <f ca="1">S0*EXP((μ-0.5*σ*σ)*T+σ*SQRT(T)*$C3867)</f>
        <v>0.68265444436883604</v>
      </c>
      <c r="E3867" s="5">
        <f ca="1">MAX(0,CP*(D3867-K))</f>
        <v>0</v>
      </c>
      <c r="F3867" s="4">
        <f ca="1">(CP*(D3867-K)&gt;0)*1</f>
        <v>0</v>
      </c>
      <c r="H3867" s="4">
        <v>3852</v>
      </c>
      <c r="I3867" s="3">
        <v>0.66777065160982219</v>
      </c>
      <c r="J3867" s="128">
        <v>1.4646242060631775E-3</v>
      </c>
      <c r="K3867" s="128"/>
      <c r="L3867" s="128">
        <v>4.0599999999999997E-2</v>
      </c>
      <c r="O3867" s="2"/>
    </row>
    <row r="3868" spans="2:15" x14ac:dyDescent="0.2">
      <c r="B3868" s="1">
        <v>3853</v>
      </c>
      <c r="C3868" s="5">
        <f ca="1"/>
        <v>-0.51725060321051541</v>
      </c>
      <c r="D3868" s="5">
        <f ca="1">S0*EXP((μ-0.5*σ*σ)*T+σ*SQRT(T)*$C3868)</f>
        <v>0.6314691059290729</v>
      </c>
      <c r="E3868" s="5">
        <f ca="1">MAX(0,CP*(D3868-K))</f>
        <v>0</v>
      </c>
      <c r="F3868" s="4">
        <f ca="1">(CP*(D3868-K)&gt;0)*1</f>
        <v>0</v>
      </c>
      <c r="H3868" s="4">
        <v>3853</v>
      </c>
      <c r="I3868" s="3">
        <v>0.66764525784676321</v>
      </c>
      <c r="J3868" s="128">
        <v>1.2237074637976989E-3</v>
      </c>
      <c r="K3868" s="128"/>
      <c r="L3868" s="128">
        <v>4.2000000000000003E-2</v>
      </c>
      <c r="O3868" s="2"/>
    </row>
    <row r="3869" spans="2:15" x14ac:dyDescent="0.2">
      <c r="B3869" s="1">
        <v>3854</v>
      </c>
      <c r="C3869" s="5">
        <f ca="1"/>
        <v>-1.1546466500151222</v>
      </c>
      <c r="D3869" s="5">
        <f ca="1">S0*EXP((μ-0.5*σ*σ)*T+σ*SQRT(T)*$C3869)</f>
        <v>0.5930091064091817</v>
      </c>
      <c r="E3869" s="5">
        <f ca="1">MAX(0,CP*(D3869-K))</f>
        <v>0</v>
      </c>
      <c r="F3869" s="4">
        <f ca="1">(CP*(D3869-K)&gt;0)*1</f>
        <v>0</v>
      </c>
      <c r="H3869" s="4">
        <v>3854</v>
      </c>
      <c r="I3869" s="3">
        <v>0.6677108337936003</v>
      </c>
      <c r="J3869" s="128">
        <v>1.2666845114092027E-3</v>
      </c>
      <c r="K3869" s="128"/>
      <c r="L3869" s="128">
        <v>4.1599999999999998E-2</v>
      </c>
      <c r="O3869" s="2"/>
    </row>
    <row r="3870" spans="2:15" x14ac:dyDescent="0.2">
      <c r="B3870" s="1">
        <v>3855</v>
      </c>
      <c r="C3870" s="5">
        <f ca="1"/>
        <v>-0.52917916459813208</v>
      </c>
      <c r="D3870" s="5">
        <f ca="1">S0*EXP((μ-0.5*σ*σ)*T+σ*SQRT(T)*$C3870)</f>
        <v>0.63072693052635886</v>
      </c>
      <c r="E3870" s="5">
        <f ca="1">MAX(0,CP*(D3870-K))</f>
        <v>0</v>
      </c>
      <c r="F3870" s="4">
        <f ca="1">(CP*(D3870-K)&gt;0)*1</f>
        <v>0</v>
      </c>
      <c r="H3870" s="4">
        <v>3855</v>
      </c>
      <c r="I3870" s="3">
        <v>0.66771904721046982</v>
      </c>
      <c r="J3870" s="128">
        <v>1.3352552107241344E-3</v>
      </c>
      <c r="K3870" s="128"/>
      <c r="L3870" s="128">
        <v>3.78E-2</v>
      </c>
      <c r="O3870" s="2"/>
    </row>
    <row r="3871" spans="2:15" x14ac:dyDescent="0.2">
      <c r="B3871" s="1">
        <v>3856</v>
      </c>
      <c r="C3871" s="5">
        <f ca="1"/>
        <v>-2.2947256835545193</v>
      </c>
      <c r="D3871" s="5">
        <f ca="1">S0*EXP((μ-0.5*σ*σ)*T+σ*SQRT(T)*$C3871)</f>
        <v>0.52996567916879567</v>
      </c>
      <c r="E3871" s="5">
        <f ca="1">MAX(0,CP*(D3871-K))</f>
        <v>0</v>
      </c>
      <c r="F3871" s="4">
        <f ca="1">(CP*(D3871-K)&gt;0)*1</f>
        <v>0</v>
      </c>
      <c r="H3871" s="4">
        <v>3856</v>
      </c>
      <c r="I3871" s="3">
        <v>0.66770981397438345</v>
      </c>
      <c r="J3871" s="128">
        <v>1.305398205637948E-3</v>
      </c>
      <c r="K3871" s="128"/>
      <c r="L3871" s="128">
        <v>4.3400000000000001E-2</v>
      </c>
      <c r="O3871" s="2"/>
    </row>
    <row r="3872" spans="2:15" x14ac:dyDescent="0.2">
      <c r="B3872" s="1">
        <v>3857</v>
      </c>
      <c r="C3872" s="5">
        <f ca="1"/>
        <v>-0.7478524331162939</v>
      </c>
      <c r="D3872" s="5">
        <f ca="1">S0*EXP((μ-0.5*σ*σ)*T+σ*SQRT(T)*$C3872)</f>
        <v>0.61727496191728404</v>
      </c>
      <c r="E3872" s="5">
        <f ca="1">MAX(0,CP*(D3872-K))</f>
        <v>0</v>
      </c>
      <c r="F3872" s="4">
        <f ca="1">(CP*(D3872-K)&gt;0)*1</f>
        <v>0</v>
      </c>
      <c r="H3872" s="4">
        <v>3857</v>
      </c>
      <c r="I3872" s="3">
        <v>0.66781492624404637</v>
      </c>
      <c r="J3872" s="128">
        <v>1.4351861722877867E-3</v>
      </c>
      <c r="K3872" s="128"/>
      <c r="L3872" s="128">
        <v>4.36E-2</v>
      </c>
      <c r="O3872" s="2"/>
    </row>
    <row r="3873" spans="2:15" x14ac:dyDescent="0.2">
      <c r="B3873" s="1">
        <v>3858</v>
      </c>
      <c r="C3873" s="5">
        <f ca="1"/>
        <v>0.94137350110071916</v>
      </c>
      <c r="D3873" s="5">
        <f ca="1">S0*EXP((μ-0.5*σ*σ)*T+σ*SQRT(T)*$C3873)</f>
        <v>0.72912929714191854</v>
      </c>
      <c r="E3873" s="5">
        <f ca="1">MAX(0,CP*(D3873-K))</f>
        <v>0</v>
      </c>
      <c r="F3873" s="4">
        <f ca="1">(CP*(D3873-K)&gt;0)*1</f>
        <v>0</v>
      </c>
      <c r="H3873" s="4">
        <v>3858</v>
      </c>
      <c r="I3873" s="3">
        <v>0.66781101533612475</v>
      </c>
      <c r="J3873" s="128">
        <v>1.3916227144695835E-3</v>
      </c>
      <c r="K3873" s="128"/>
      <c r="L3873" s="128">
        <v>4.1200000000000001E-2</v>
      </c>
      <c r="O3873" s="2"/>
    </row>
    <row r="3874" spans="2:15" x14ac:dyDescent="0.2">
      <c r="B3874" s="1">
        <v>3859</v>
      </c>
      <c r="C3874" s="5">
        <f ca="1"/>
        <v>-0.3433544561548636</v>
      </c>
      <c r="D3874" s="5">
        <f ca="1">S0*EXP((μ-0.5*σ*σ)*T+σ*SQRT(T)*$C3874)</f>
        <v>0.64238833243246507</v>
      </c>
      <c r="E3874" s="5">
        <f ca="1">MAX(0,CP*(D3874-K))</f>
        <v>0</v>
      </c>
      <c r="F3874" s="4">
        <f ca="1">(CP*(D3874-K)&gt;0)*1</f>
        <v>0</v>
      </c>
      <c r="H3874" s="4">
        <v>3859</v>
      </c>
      <c r="I3874" s="3">
        <v>0.66771379741997039</v>
      </c>
      <c r="J3874" s="128">
        <v>1.3356470492368467E-3</v>
      </c>
      <c r="K3874" s="128"/>
      <c r="L3874" s="128">
        <v>4.02E-2</v>
      </c>
      <c r="O3874" s="2"/>
    </row>
    <row r="3875" spans="2:15" x14ac:dyDescent="0.2">
      <c r="B3875" s="1">
        <v>3860</v>
      </c>
      <c r="C3875" s="5">
        <f ca="1"/>
        <v>-0.59553500129280379</v>
      </c>
      <c r="D3875" s="5">
        <f ca="1">S0*EXP((μ-0.5*σ*σ)*T+σ*SQRT(T)*$C3875)</f>
        <v>0.62661427387306301</v>
      </c>
      <c r="E3875" s="5">
        <f ca="1">MAX(0,CP*(D3875-K))</f>
        <v>0</v>
      </c>
      <c r="F3875" s="4">
        <f ca="1">(CP*(D3875-K)&gt;0)*1</f>
        <v>0</v>
      </c>
      <c r="H3875" s="4">
        <v>3860</v>
      </c>
      <c r="I3875" s="3">
        <v>0.66776758914916301</v>
      </c>
      <c r="J3875" s="128">
        <v>1.4133350392037563E-3</v>
      </c>
      <c r="K3875" s="128"/>
      <c r="L3875" s="128">
        <v>4.5199999999999997E-2</v>
      </c>
      <c r="O3875" s="2"/>
    </row>
    <row r="3876" spans="2:15" x14ac:dyDescent="0.2">
      <c r="B3876" s="1">
        <v>3861</v>
      </c>
      <c r="C3876" s="5">
        <f ca="1"/>
        <v>-1.1452004238132492</v>
      </c>
      <c r="D3876" s="5">
        <f ca="1">S0*EXP((μ-0.5*σ*σ)*T+σ*SQRT(T)*$C3876)</f>
        <v>0.59356162088971587</v>
      </c>
      <c r="E3876" s="5">
        <f ca="1">MAX(0,CP*(D3876-K))</f>
        <v>0</v>
      </c>
      <c r="F3876" s="4">
        <f ca="1">(CP*(D3876-K)&gt;0)*1</f>
        <v>0</v>
      </c>
      <c r="H3876" s="4">
        <v>3861</v>
      </c>
      <c r="I3876" s="3">
        <v>0.66765364423304896</v>
      </c>
      <c r="J3876" s="128">
        <v>1.2877799263599204E-3</v>
      </c>
      <c r="K3876" s="128"/>
      <c r="L3876" s="128">
        <v>4.2000000000000003E-2</v>
      </c>
      <c r="O3876" s="2"/>
    </row>
    <row r="3877" spans="2:15" x14ac:dyDescent="0.2">
      <c r="B3877" s="1">
        <v>3862</v>
      </c>
      <c r="C3877" s="5">
        <f ca="1"/>
        <v>-0.75665951409668553</v>
      </c>
      <c r="D3877" s="5">
        <f ca="1">S0*EXP((μ-0.5*σ*σ)*T+σ*SQRT(T)*$C3877)</f>
        <v>0.61673923453686708</v>
      </c>
      <c r="E3877" s="5">
        <f ca="1">MAX(0,CP*(D3877-K))</f>
        <v>0</v>
      </c>
      <c r="F3877" s="4">
        <f ca="1">(CP*(D3877-K)&gt;0)*1</f>
        <v>0</v>
      </c>
      <c r="H3877" s="4">
        <v>3862</v>
      </c>
      <c r="I3877" s="3">
        <v>0.66776258862004101</v>
      </c>
      <c r="J3877" s="128">
        <v>1.3553701852176462E-3</v>
      </c>
      <c r="K3877" s="128"/>
      <c r="L3877" s="128">
        <v>4.4400000000000002E-2</v>
      </c>
      <c r="O3877" s="2"/>
    </row>
    <row r="3878" spans="2:15" x14ac:dyDescent="0.2">
      <c r="B3878" s="1">
        <v>3863</v>
      </c>
      <c r="C3878" s="5">
        <f ca="1"/>
        <v>-0.3738707024420066</v>
      </c>
      <c r="D3878" s="5">
        <f ca="1">S0*EXP((μ-0.5*σ*σ)*T+σ*SQRT(T)*$C3878)</f>
        <v>0.64045859887900236</v>
      </c>
      <c r="E3878" s="5">
        <f ca="1">MAX(0,CP*(D3878-K))</f>
        <v>0</v>
      </c>
      <c r="F3878" s="4">
        <f ca="1">(CP*(D3878-K)&gt;0)*1</f>
        <v>0</v>
      </c>
      <c r="H3878" s="4">
        <v>3863</v>
      </c>
      <c r="I3878" s="3">
        <v>0.66778494707377811</v>
      </c>
      <c r="J3878" s="128">
        <v>1.4537931694874446E-3</v>
      </c>
      <c r="K3878" s="128"/>
      <c r="L3878" s="128">
        <v>4.4600000000000001E-2</v>
      </c>
      <c r="O3878" s="2"/>
    </row>
    <row r="3879" spans="2:15" x14ac:dyDescent="0.2">
      <c r="B3879" s="1">
        <v>3864</v>
      </c>
      <c r="C3879" s="5">
        <f ca="1"/>
        <v>-1.0895751612409235</v>
      </c>
      <c r="D3879" s="5">
        <f ca="1">S0*EXP((μ-0.5*σ*σ)*T+σ*SQRT(T)*$C3879)</f>
        <v>0.59682562709972453</v>
      </c>
      <c r="E3879" s="5">
        <f ca="1">MAX(0,CP*(D3879-K))</f>
        <v>0</v>
      </c>
      <c r="F3879" s="4">
        <f ca="1">(CP*(D3879-K)&gt;0)*1</f>
        <v>0</v>
      </c>
      <c r="H3879" s="4">
        <v>3864</v>
      </c>
      <c r="I3879" s="3">
        <v>0.6678003330093979</v>
      </c>
      <c r="J3879" s="128">
        <v>1.4583412723631322E-3</v>
      </c>
      <c r="K3879" s="128"/>
      <c r="L3879" s="128">
        <v>4.1599999999999998E-2</v>
      </c>
      <c r="O3879" s="2"/>
    </row>
    <row r="3880" spans="2:15" x14ac:dyDescent="0.2">
      <c r="B3880" s="1">
        <v>3865</v>
      </c>
      <c r="C3880" s="5">
        <f ca="1"/>
        <v>-0.15504427734765855</v>
      </c>
      <c r="D3880" s="5">
        <f ca="1">S0*EXP((μ-0.5*σ*σ)*T+σ*SQRT(T)*$C3880)</f>
        <v>0.65442567835454213</v>
      </c>
      <c r="E3880" s="5">
        <f ca="1">MAX(0,CP*(D3880-K))</f>
        <v>0</v>
      </c>
      <c r="F3880" s="4">
        <f ca="1">(CP*(D3880-K)&gt;0)*1</f>
        <v>0</v>
      </c>
      <c r="H3880" s="4">
        <v>3865</v>
      </c>
      <c r="I3880" s="3">
        <v>0.6678089807058647</v>
      </c>
      <c r="J3880" s="128">
        <v>1.4892236270460685E-3</v>
      </c>
      <c r="K3880" s="128"/>
      <c r="L3880" s="128">
        <v>4.4600000000000001E-2</v>
      </c>
      <c r="O3880" s="2"/>
    </row>
    <row r="3881" spans="2:15" x14ac:dyDescent="0.2">
      <c r="B3881" s="1">
        <v>3866</v>
      </c>
      <c r="C3881" s="5">
        <f ca="1"/>
        <v>-1.703590746495244</v>
      </c>
      <c r="D3881" s="5">
        <f ca="1">S0*EXP((μ-0.5*σ*σ)*T+σ*SQRT(T)*$C3881)</f>
        <v>0.56176900703167076</v>
      </c>
      <c r="E3881" s="5">
        <f ca="1">MAX(0,CP*(D3881-K))</f>
        <v>0</v>
      </c>
      <c r="F3881" s="4">
        <f ca="1">(CP*(D3881-K)&gt;0)*1</f>
        <v>0</v>
      </c>
      <c r="H3881" s="4">
        <v>3866</v>
      </c>
      <c r="I3881" s="3">
        <v>0.66753846902044256</v>
      </c>
      <c r="J3881" s="128">
        <v>1.0677375729117302E-3</v>
      </c>
      <c r="K3881" s="128"/>
      <c r="L3881" s="128">
        <v>3.6600000000000001E-2</v>
      </c>
      <c r="O3881" s="2"/>
    </row>
    <row r="3882" spans="2:15" x14ac:dyDescent="0.2">
      <c r="B3882" s="1">
        <v>3867</v>
      </c>
      <c r="C3882" s="5">
        <f ca="1"/>
        <v>-0.32880878911142064</v>
      </c>
      <c r="D3882" s="5">
        <f ca="1">S0*EXP((μ-0.5*σ*σ)*T+σ*SQRT(T)*$C3882)</f>
        <v>0.64331019130054479</v>
      </c>
      <c r="E3882" s="5">
        <f ca="1">MAX(0,CP*(D3882-K))</f>
        <v>0</v>
      </c>
      <c r="F3882" s="4">
        <f ca="1">(CP*(D3882-K)&gt;0)*1</f>
        <v>0</v>
      </c>
      <c r="H3882" s="4">
        <v>3867</v>
      </c>
      <c r="I3882" s="3">
        <v>0.66776092264443965</v>
      </c>
      <c r="J3882" s="128">
        <v>1.382886829873268E-3</v>
      </c>
      <c r="K3882" s="128"/>
      <c r="L3882" s="128">
        <v>4.3400000000000001E-2</v>
      </c>
      <c r="O3882" s="2"/>
    </row>
    <row r="3883" spans="2:15" x14ac:dyDescent="0.2">
      <c r="B3883" s="1">
        <v>3868</v>
      </c>
      <c r="C3883" s="5">
        <f ca="1"/>
        <v>1.0527932515465739</v>
      </c>
      <c r="D3883" s="5">
        <f ca="1">S0*EXP((μ-0.5*σ*σ)*T+σ*SQRT(T)*$C3883)</f>
        <v>0.7371826347925331</v>
      </c>
      <c r="E3883" s="5">
        <f ca="1">MAX(0,CP*(D3883-K))</f>
        <v>0</v>
      </c>
      <c r="F3883" s="4">
        <f ca="1">(CP*(D3883-K)&gt;0)*1</f>
        <v>0</v>
      </c>
      <c r="H3883" s="4">
        <v>3868</v>
      </c>
      <c r="I3883" s="3">
        <v>0.667662265564267</v>
      </c>
      <c r="J3883" s="128">
        <v>1.2438211979203082E-3</v>
      </c>
      <c r="K3883" s="128"/>
      <c r="L3883" s="128">
        <v>3.9600000000000003E-2</v>
      </c>
      <c r="O3883" s="2"/>
    </row>
    <row r="3884" spans="2:15" x14ac:dyDescent="0.2">
      <c r="B3884" s="1">
        <v>3869</v>
      </c>
      <c r="C3884" s="5">
        <f ca="1"/>
        <v>0.55413728949289887</v>
      </c>
      <c r="D3884" s="5">
        <f ca="1">S0*EXP((μ-0.5*σ*σ)*T+σ*SQRT(T)*$C3884)</f>
        <v>0.70181823101613539</v>
      </c>
      <c r="E3884" s="5">
        <f ca="1">MAX(0,CP*(D3884-K))</f>
        <v>0</v>
      </c>
      <c r="F3884" s="4">
        <f ca="1">(CP*(D3884-K)&gt;0)*1</f>
        <v>0</v>
      </c>
      <c r="H3884" s="4">
        <v>3869</v>
      </c>
      <c r="I3884" s="3">
        <v>0.66777880472754714</v>
      </c>
      <c r="J3884" s="128">
        <v>1.3420310713489407E-3</v>
      </c>
      <c r="K3884" s="128"/>
      <c r="L3884" s="128">
        <v>4.3200000000000002E-2</v>
      </c>
      <c r="O3884" s="2"/>
    </row>
    <row r="3885" spans="2:15" x14ac:dyDescent="0.2">
      <c r="B3885" s="1">
        <v>3870</v>
      </c>
      <c r="C3885" s="5">
        <f ca="1"/>
        <v>-0.14126286370249699</v>
      </c>
      <c r="D3885" s="5">
        <f ca="1">S0*EXP((μ-0.5*σ*σ)*T+σ*SQRT(T)*$C3885)</f>
        <v>0.65531543427480377</v>
      </c>
      <c r="E3885" s="5">
        <f ca="1">MAX(0,CP*(D3885-K))</f>
        <v>0</v>
      </c>
      <c r="F3885" s="4">
        <f ca="1">(CP*(D3885-K)&gt;0)*1</f>
        <v>0</v>
      </c>
      <c r="H3885" s="4">
        <v>3870</v>
      </c>
      <c r="I3885" s="3">
        <v>0.66784728263088466</v>
      </c>
      <c r="J3885" s="128">
        <v>1.4436838423301658E-3</v>
      </c>
      <c r="K3885" s="128"/>
      <c r="L3885" s="128">
        <v>4.2999999999999997E-2</v>
      </c>
      <c r="O3885" s="2"/>
    </row>
    <row r="3886" spans="2:15" x14ac:dyDescent="0.2">
      <c r="B3886" s="1">
        <v>3871</v>
      </c>
      <c r="C3886" s="5">
        <f ca="1"/>
        <v>0.60269629318915763</v>
      </c>
      <c r="D3886" s="5">
        <f ca="1">S0*EXP((μ-0.5*σ*σ)*T+σ*SQRT(T)*$C3886)</f>
        <v>0.70518610706576612</v>
      </c>
      <c r="E3886" s="5">
        <f ca="1">MAX(0,CP*(D3886-K))</f>
        <v>0</v>
      </c>
      <c r="F3886" s="4">
        <f ca="1">(CP*(D3886-K)&gt;0)*1</f>
        <v>0</v>
      </c>
      <c r="H3886" s="4">
        <v>3871</v>
      </c>
      <c r="I3886" s="3">
        <v>0.66759377851953228</v>
      </c>
      <c r="J3886" s="128">
        <v>1.1475124066622161E-3</v>
      </c>
      <c r="K3886" s="128"/>
      <c r="L3886" s="128">
        <v>3.8600000000000002E-2</v>
      </c>
      <c r="O3886" s="2"/>
    </row>
    <row r="3887" spans="2:15" x14ac:dyDescent="0.2">
      <c r="B3887" s="1">
        <v>3872</v>
      </c>
      <c r="C3887" s="5">
        <f ca="1"/>
        <v>0.60803310565606195</v>
      </c>
      <c r="D3887" s="5">
        <f ca="1">S0*EXP((μ-0.5*σ*σ)*T+σ*SQRT(T)*$C3887)</f>
        <v>0.70555723330932307</v>
      </c>
      <c r="E3887" s="5">
        <f ca="1">MAX(0,CP*(D3887-K))</f>
        <v>0</v>
      </c>
      <c r="F3887" s="4">
        <f ca="1">(CP*(D3887-K)&gt;0)*1</f>
        <v>0</v>
      </c>
      <c r="H3887" s="4">
        <v>3872</v>
      </c>
      <c r="I3887" s="3">
        <v>0.667942381749147</v>
      </c>
      <c r="J3887" s="128">
        <v>1.5986824695283922E-3</v>
      </c>
      <c r="K3887" s="128"/>
      <c r="L3887" s="128">
        <v>4.5199999999999997E-2</v>
      </c>
      <c r="O3887" s="2"/>
    </row>
    <row r="3888" spans="2:15" x14ac:dyDescent="0.2">
      <c r="B3888" s="1">
        <v>3873</v>
      </c>
      <c r="C3888" s="5">
        <f ca="1"/>
        <v>0.2096987100641951</v>
      </c>
      <c r="D3888" s="5">
        <f ca="1">S0*EXP((μ-0.5*σ*σ)*T+σ*SQRT(T)*$C3888)</f>
        <v>0.67838645100550132</v>
      </c>
      <c r="E3888" s="5">
        <f ca="1">MAX(0,CP*(D3888-K))</f>
        <v>0</v>
      </c>
      <c r="F3888" s="4">
        <f ca="1">(CP*(D3888-K)&gt;0)*1</f>
        <v>0</v>
      </c>
      <c r="H3888" s="4">
        <v>3873</v>
      </c>
      <c r="I3888" s="3">
        <v>0.66776450124147446</v>
      </c>
      <c r="J3888" s="128">
        <v>1.312869822986332E-3</v>
      </c>
      <c r="K3888" s="128"/>
      <c r="L3888" s="128">
        <v>4.24E-2</v>
      </c>
      <c r="O3888" s="2"/>
    </row>
    <row r="3889" spans="2:15" x14ac:dyDescent="0.2">
      <c r="B3889" s="1">
        <v>3874</v>
      </c>
      <c r="C3889" s="5">
        <f ca="1"/>
        <v>-0.89430756633232322</v>
      </c>
      <c r="D3889" s="5">
        <f ca="1">S0*EXP((μ-0.5*σ*σ)*T+σ*SQRT(T)*$C3889)</f>
        <v>0.60842638477385502</v>
      </c>
      <c r="E3889" s="5">
        <f ca="1">MAX(0,CP*(D3889-K))</f>
        <v>0</v>
      </c>
      <c r="F3889" s="4">
        <f ca="1">(CP*(D3889-K)&gt;0)*1</f>
        <v>0</v>
      </c>
      <c r="H3889" s="4">
        <v>3874</v>
      </c>
      <c r="I3889" s="3">
        <v>0.6676048896739365</v>
      </c>
      <c r="J3889" s="128">
        <v>1.2767207053712899E-3</v>
      </c>
      <c r="K3889" s="128"/>
      <c r="L3889" s="128">
        <v>3.9199999999999999E-2</v>
      </c>
      <c r="O3889" s="2"/>
    </row>
    <row r="3890" spans="2:15" x14ac:dyDescent="0.2">
      <c r="B3890" s="1">
        <v>3875</v>
      </c>
      <c r="C3890" s="5">
        <f ca="1"/>
        <v>-0.10624381746172364</v>
      </c>
      <c r="D3890" s="5">
        <f ca="1">S0*EXP((μ-0.5*σ*σ)*T+σ*SQRT(T)*$C3890)</f>
        <v>0.65758178090416974</v>
      </c>
      <c r="E3890" s="5">
        <f ca="1">MAX(0,CP*(D3890-K))</f>
        <v>0</v>
      </c>
      <c r="F3890" s="4">
        <f ca="1">(CP*(D3890-K)&gt;0)*1</f>
        <v>0</v>
      </c>
      <c r="H3890" s="4">
        <v>3875</v>
      </c>
      <c r="I3890" s="3">
        <v>0.66781238873615989</v>
      </c>
      <c r="J3890" s="128">
        <v>1.3115020876398387E-3</v>
      </c>
      <c r="K3890" s="128"/>
      <c r="L3890" s="128">
        <v>4.36E-2</v>
      </c>
      <c r="O3890" s="2"/>
    </row>
    <row r="3891" spans="2:15" x14ac:dyDescent="0.2">
      <c r="B3891" s="1">
        <v>3876</v>
      </c>
      <c r="C3891" s="5">
        <f ca="1"/>
        <v>-1.3631193268574822</v>
      </c>
      <c r="D3891" s="5">
        <f ca="1">S0*EXP((μ-0.5*σ*σ)*T+σ*SQRT(T)*$C3891)</f>
        <v>0.58094550755333774</v>
      </c>
      <c r="E3891" s="5">
        <f ca="1">MAX(0,CP*(D3891-K))</f>
        <v>0</v>
      </c>
      <c r="F3891" s="4">
        <f ca="1">(CP*(D3891-K)&gt;0)*1</f>
        <v>0</v>
      </c>
      <c r="H3891" s="4">
        <v>3876</v>
      </c>
      <c r="I3891" s="3">
        <v>0.6676046076729536</v>
      </c>
      <c r="J3891" s="128">
        <v>1.2419603870391055E-3</v>
      </c>
      <c r="K3891" s="128"/>
      <c r="L3891" s="128">
        <v>4.0399999999999998E-2</v>
      </c>
      <c r="O3891" s="2"/>
    </row>
    <row r="3892" spans="2:15" x14ac:dyDescent="0.2">
      <c r="B3892" s="1">
        <v>3877</v>
      </c>
      <c r="C3892" s="5">
        <f ca="1"/>
        <v>0.34536768864191858</v>
      </c>
      <c r="D3892" s="5">
        <f ca="1">S0*EXP((μ-0.5*σ*σ)*T+σ*SQRT(T)*$C3892)</f>
        <v>0.68752099937109123</v>
      </c>
      <c r="E3892" s="5">
        <f ca="1">MAX(0,CP*(D3892-K))</f>
        <v>0</v>
      </c>
      <c r="F3892" s="4">
        <f ca="1">(CP*(D3892-K)&gt;0)*1</f>
        <v>0</v>
      </c>
      <c r="H3892" s="4">
        <v>3877</v>
      </c>
      <c r="I3892" s="3">
        <v>0.66774484574003501</v>
      </c>
      <c r="J3892" s="128">
        <v>1.3093995938388485E-3</v>
      </c>
      <c r="K3892" s="128"/>
      <c r="L3892" s="128">
        <v>4.2599999999999999E-2</v>
      </c>
      <c r="O3892" s="2"/>
    </row>
    <row r="3893" spans="2:15" x14ac:dyDescent="0.2">
      <c r="B3893" s="1">
        <v>3878</v>
      </c>
      <c r="C3893" s="5">
        <f ca="1"/>
        <v>-0.26101686068632857</v>
      </c>
      <c r="D3893" s="5">
        <f ca="1">S0*EXP((μ-0.5*σ*σ)*T+σ*SQRT(T)*$C3893)</f>
        <v>0.647624112799426</v>
      </c>
      <c r="E3893" s="5">
        <f ca="1">MAX(0,CP*(D3893-K))</f>
        <v>0</v>
      </c>
      <c r="F3893" s="4">
        <f ca="1">(CP*(D3893-K)&gt;0)*1</f>
        <v>0</v>
      </c>
      <c r="H3893" s="4">
        <v>3878</v>
      </c>
      <c r="I3893" s="3">
        <v>0.66777671913580083</v>
      </c>
      <c r="J3893" s="128">
        <v>1.271870192822701E-3</v>
      </c>
      <c r="K3893" s="128"/>
      <c r="L3893" s="128">
        <v>4.2999999999999997E-2</v>
      </c>
      <c r="O3893" s="2"/>
    </row>
    <row r="3894" spans="2:15" x14ac:dyDescent="0.2">
      <c r="B3894" s="1">
        <v>3879</v>
      </c>
      <c r="C3894" s="5">
        <f ca="1"/>
        <v>0.14063616720064567</v>
      </c>
      <c r="D3894" s="5">
        <f ca="1">S0*EXP((μ-0.5*σ*σ)*T+σ*SQRT(T)*$C3894)</f>
        <v>0.67378320909034228</v>
      </c>
      <c r="E3894" s="5">
        <f ca="1">MAX(0,CP*(D3894-K))</f>
        <v>0</v>
      </c>
      <c r="F3894" s="4">
        <f ca="1">(CP*(D3894-K)&gt;0)*1</f>
        <v>0</v>
      </c>
      <c r="H3894" s="4">
        <v>3879</v>
      </c>
      <c r="I3894" s="3">
        <v>0.66776792504245319</v>
      </c>
      <c r="J3894" s="128">
        <v>1.4788445529681823E-3</v>
      </c>
      <c r="K3894" s="128"/>
      <c r="L3894" s="128">
        <v>4.1200000000000001E-2</v>
      </c>
      <c r="O3894" s="2"/>
    </row>
    <row r="3895" spans="2:15" x14ac:dyDescent="0.2">
      <c r="B3895" s="1">
        <v>3880</v>
      </c>
      <c r="C3895" s="5">
        <f ca="1"/>
        <v>0.68690234771624281</v>
      </c>
      <c r="D3895" s="5">
        <f ca="1">S0*EXP((μ-0.5*σ*σ)*T+σ*SQRT(T)*$C3895)</f>
        <v>0.71106469091616398</v>
      </c>
      <c r="E3895" s="5">
        <f ca="1">MAX(0,CP*(D3895-K))</f>
        <v>0</v>
      </c>
      <c r="F3895" s="4">
        <f ca="1">(CP*(D3895-K)&gt;0)*1</f>
        <v>0</v>
      </c>
      <c r="H3895" s="4">
        <v>3880</v>
      </c>
      <c r="I3895" s="3">
        <v>0.66791817110500351</v>
      </c>
      <c r="J3895" s="128">
        <v>1.5189264813706195E-3</v>
      </c>
      <c r="K3895" s="128"/>
      <c r="L3895" s="128">
        <v>4.6800000000000001E-2</v>
      </c>
      <c r="O3895" s="2"/>
    </row>
    <row r="3896" spans="2:15" x14ac:dyDescent="0.2">
      <c r="B3896" s="1">
        <v>3881</v>
      </c>
      <c r="C3896" s="5">
        <f ca="1"/>
        <v>0.63788290900817057</v>
      </c>
      <c r="D3896" s="5">
        <f ca="1">S0*EXP((μ-0.5*σ*σ)*T+σ*SQRT(T)*$C3896)</f>
        <v>0.70763661695873092</v>
      </c>
      <c r="E3896" s="5">
        <f ca="1">MAX(0,CP*(D3896-K))</f>
        <v>0</v>
      </c>
      <c r="F3896" s="4">
        <f ca="1">(CP*(D3896-K)&gt;0)*1</f>
        <v>0</v>
      </c>
      <c r="H3896" s="4">
        <v>3881</v>
      </c>
      <c r="I3896" s="3">
        <v>0.66785668860164726</v>
      </c>
      <c r="J3896" s="128">
        <v>1.4939236524234324E-3</v>
      </c>
      <c r="K3896" s="128"/>
      <c r="L3896" s="128">
        <v>4.1200000000000001E-2</v>
      </c>
      <c r="O3896" s="2"/>
    </row>
    <row r="3897" spans="2:15" x14ac:dyDescent="0.2">
      <c r="B3897" s="1">
        <v>3882</v>
      </c>
      <c r="C3897" s="5">
        <f ca="1"/>
        <v>0.46151932952269947</v>
      </c>
      <c r="D3897" s="5">
        <f ca="1">S0*EXP((μ-0.5*σ*σ)*T+σ*SQRT(T)*$C3897)</f>
        <v>0.69543911764307376</v>
      </c>
      <c r="E3897" s="5">
        <f ca="1">MAX(0,CP*(D3897-K))</f>
        <v>0</v>
      </c>
      <c r="F3897" s="4">
        <f ca="1">(CP*(D3897-K)&gt;0)*1</f>
        <v>0</v>
      </c>
      <c r="H3897" s="4">
        <v>3882</v>
      </c>
      <c r="I3897" s="3">
        <v>0.66768004973715167</v>
      </c>
      <c r="J3897" s="128">
        <v>1.2490501434997919E-3</v>
      </c>
      <c r="K3897" s="128"/>
      <c r="L3897" s="128">
        <v>4.4999999999999998E-2</v>
      </c>
      <c r="O3897" s="2"/>
    </row>
    <row r="3898" spans="2:15" x14ac:dyDescent="0.2">
      <c r="B3898" s="1">
        <v>3883</v>
      </c>
      <c r="C3898" s="5">
        <f ca="1"/>
        <v>-1.3360082852762672E-2</v>
      </c>
      <c r="D3898" s="5">
        <f ca="1">S0*EXP((μ-0.5*σ*σ)*T+σ*SQRT(T)*$C3898)</f>
        <v>0.66363102533887242</v>
      </c>
      <c r="E3898" s="5">
        <f ca="1">MAX(0,CP*(D3898-K))</f>
        <v>0</v>
      </c>
      <c r="F3898" s="4">
        <f ca="1">(CP*(D3898-K)&gt;0)*1</f>
        <v>0</v>
      </c>
      <c r="H3898" s="4">
        <v>3883</v>
      </c>
      <c r="I3898" s="3">
        <v>0.66776422867980512</v>
      </c>
      <c r="J3898" s="128">
        <v>1.3356265786674019E-3</v>
      </c>
      <c r="K3898" s="128"/>
      <c r="L3898" s="128">
        <v>4.2200000000000001E-2</v>
      </c>
      <c r="O3898" s="2"/>
    </row>
    <row r="3899" spans="2:15" x14ac:dyDescent="0.2">
      <c r="B3899" s="1">
        <v>3884</v>
      </c>
      <c r="C3899" s="5">
        <f ca="1"/>
        <v>-3.3190252768253263E-2</v>
      </c>
      <c r="D3899" s="5">
        <f ca="1">S0*EXP((μ-0.5*σ*σ)*T+σ*SQRT(T)*$C3899)</f>
        <v>0.66233488990830336</v>
      </c>
      <c r="E3899" s="5">
        <f ca="1">MAX(0,CP*(D3899-K))</f>
        <v>0</v>
      </c>
      <c r="F3899" s="4">
        <f ca="1">(CP*(D3899-K)&gt;0)*1</f>
        <v>0</v>
      </c>
      <c r="H3899" s="4">
        <v>3884</v>
      </c>
      <c r="I3899" s="3">
        <v>0.66758862550095244</v>
      </c>
      <c r="J3899" s="128">
        <v>1.1588914434970178E-3</v>
      </c>
      <c r="K3899" s="128"/>
      <c r="L3899" s="128">
        <v>3.7400000000000003E-2</v>
      </c>
      <c r="O3899" s="2"/>
    </row>
    <row r="3900" spans="2:15" x14ac:dyDescent="0.2">
      <c r="B3900" s="1">
        <v>3885</v>
      </c>
      <c r="C3900" s="5">
        <f ca="1"/>
        <v>0.39835519207611597</v>
      </c>
      <c r="D3900" s="5">
        <f ca="1">S0*EXP((μ-0.5*σ*σ)*T+σ*SQRT(T)*$C3900)</f>
        <v>0.69112194029099849</v>
      </c>
      <c r="E3900" s="5">
        <f ca="1">MAX(0,CP*(D3900-K))</f>
        <v>0</v>
      </c>
      <c r="F3900" s="4">
        <f ca="1">(CP*(D3900-K)&gt;0)*1</f>
        <v>0</v>
      </c>
      <c r="H3900" s="4">
        <v>3885</v>
      </c>
      <c r="I3900" s="3">
        <v>0.6678692480459506</v>
      </c>
      <c r="J3900" s="128">
        <v>1.3729048947566727E-3</v>
      </c>
      <c r="K3900" s="128"/>
      <c r="L3900" s="128">
        <v>4.3200000000000002E-2</v>
      </c>
      <c r="O3900" s="2"/>
    </row>
    <row r="3901" spans="2:15" x14ac:dyDescent="0.2">
      <c r="B3901" s="1">
        <v>3886</v>
      </c>
      <c r="C3901" s="5">
        <f ca="1"/>
        <v>0.52167395165165042</v>
      </c>
      <c r="D3901" s="5">
        <f ca="1">S0*EXP((μ-0.5*σ*σ)*T+σ*SQRT(T)*$C3901)</f>
        <v>0.69957566752329658</v>
      </c>
      <c r="E3901" s="5">
        <f ca="1">MAX(0,CP*(D3901-K))</f>
        <v>0</v>
      </c>
      <c r="F3901" s="4">
        <f ca="1">(CP*(D3901-K)&gt;0)*1</f>
        <v>0</v>
      </c>
      <c r="H3901" s="4">
        <v>3886</v>
      </c>
      <c r="I3901" s="3">
        <v>0.6675762856347669</v>
      </c>
      <c r="J3901" s="128">
        <v>1.2465887456926444E-3</v>
      </c>
      <c r="K3901" s="128"/>
      <c r="L3901" s="128">
        <v>3.9E-2</v>
      </c>
      <c r="O3901" s="2"/>
    </row>
    <row r="3902" spans="2:15" x14ac:dyDescent="0.2">
      <c r="B3902" s="1">
        <v>3887</v>
      </c>
      <c r="C3902" s="5">
        <f ca="1"/>
        <v>-1.2482169760439181</v>
      </c>
      <c r="D3902" s="5">
        <f ca="1">S0*EXP((μ-0.5*σ*σ)*T+σ*SQRT(T)*$C3902)</f>
        <v>0.58756383398152223</v>
      </c>
      <c r="E3902" s="5">
        <f ca="1">MAX(0,CP*(D3902-K))</f>
        <v>0</v>
      </c>
      <c r="F3902" s="4">
        <f ca="1">(CP*(D3902-K)&gt;0)*1</f>
        <v>0</v>
      </c>
      <c r="H3902" s="4">
        <v>3887</v>
      </c>
      <c r="I3902" s="3">
        <v>0.66777087319664563</v>
      </c>
      <c r="J3902" s="128">
        <v>1.4674619271340433E-3</v>
      </c>
      <c r="K3902" s="128"/>
      <c r="L3902" s="128">
        <v>4.1799999999999997E-2</v>
      </c>
      <c r="O3902" s="2"/>
    </row>
    <row r="3903" spans="2:15" x14ac:dyDescent="0.2">
      <c r="B3903" s="1">
        <v>3888</v>
      </c>
      <c r="C3903" s="5">
        <f ca="1"/>
        <v>-5.2354974855343038E-2</v>
      </c>
      <c r="D3903" s="5">
        <f ca="1">S0*EXP((μ-0.5*σ*σ)*T+σ*SQRT(T)*$C3903)</f>
        <v>0.66108465487091495</v>
      </c>
      <c r="E3903" s="5">
        <f ca="1">MAX(0,CP*(D3903-K))</f>
        <v>0</v>
      </c>
      <c r="F3903" s="4">
        <f ca="1">(CP*(D3903-K)&gt;0)*1</f>
        <v>0</v>
      </c>
      <c r="H3903" s="4">
        <v>3888</v>
      </c>
      <c r="I3903" s="3">
        <v>0.66781042421601855</v>
      </c>
      <c r="J3903" s="128">
        <v>1.4516324494127206E-3</v>
      </c>
      <c r="K3903" s="128"/>
      <c r="L3903" s="128">
        <v>4.7399999999999998E-2</v>
      </c>
      <c r="O3903" s="2"/>
    </row>
    <row r="3904" spans="2:15" x14ac:dyDescent="0.2">
      <c r="B3904" s="1">
        <v>3889</v>
      </c>
      <c r="C3904" s="5">
        <f ca="1"/>
        <v>-0.3911071493998875</v>
      </c>
      <c r="D3904" s="5">
        <f ca="1">S0*EXP((μ-0.5*σ*σ)*T+σ*SQRT(T)*$C3904)</f>
        <v>0.6393711932341255</v>
      </c>
      <c r="E3904" s="5">
        <f ca="1">MAX(0,CP*(D3904-K))</f>
        <v>0</v>
      </c>
      <c r="F3904" s="4">
        <f ca="1">(CP*(D3904-K)&gt;0)*1</f>
        <v>0</v>
      </c>
      <c r="H3904" s="4">
        <v>3889</v>
      </c>
      <c r="I3904" s="3">
        <v>0.66783316052813602</v>
      </c>
      <c r="J3904" s="128">
        <v>1.5398658832072552E-3</v>
      </c>
      <c r="K3904" s="128"/>
      <c r="L3904" s="128">
        <v>4.4999999999999998E-2</v>
      </c>
      <c r="O3904" s="2"/>
    </row>
    <row r="3905" spans="2:15" x14ac:dyDescent="0.2">
      <c r="B3905" s="1">
        <v>3890</v>
      </c>
      <c r="C3905" s="5">
        <f ca="1"/>
        <v>0.57350896921838801</v>
      </c>
      <c r="D3905" s="5">
        <f ca="1">S0*EXP((μ-0.5*σ*σ)*T+σ*SQRT(T)*$C3905)</f>
        <v>0.70315984760996908</v>
      </c>
      <c r="E3905" s="5">
        <f ca="1">MAX(0,CP*(D3905-K))</f>
        <v>0</v>
      </c>
      <c r="F3905" s="4">
        <f ca="1">(CP*(D3905-K)&gt;0)*1</f>
        <v>0</v>
      </c>
      <c r="H3905" s="4">
        <v>3890</v>
      </c>
      <c r="I3905" s="3">
        <v>0.66785551133515697</v>
      </c>
      <c r="J3905" s="128">
        <v>1.3988974052965256E-3</v>
      </c>
      <c r="K3905" s="128"/>
      <c r="L3905" s="128">
        <v>4.0399999999999998E-2</v>
      </c>
      <c r="O3905" s="2"/>
    </row>
    <row r="3906" spans="2:15" x14ac:dyDescent="0.2">
      <c r="B3906" s="1">
        <v>3891</v>
      </c>
      <c r="C3906" s="5">
        <f ca="1"/>
        <v>-1.039689958498591</v>
      </c>
      <c r="D3906" s="5">
        <f ca="1">S0*EXP((μ-0.5*σ*σ)*T+σ*SQRT(T)*$C3906)</f>
        <v>0.59976807854543968</v>
      </c>
      <c r="E3906" s="5">
        <f ca="1">MAX(0,CP*(D3906-K))</f>
        <v>0</v>
      </c>
      <c r="F3906" s="4">
        <f ca="1">(CP*(D3906-K)&gt;0)*1</f>
        <v>0</v>
      </c>
      <c r="H3906" s="4">
        <v>3891</v>
      </c>
      <c r="I3906" s="3">
        <v>0.66763312910715755</v>
      </c>
      <c r="J3906" s="128">
        <v>1.1680256532941382E-3</v>
      </c>
      <c r="K3906" s="128"/>
      <c r="L3906" s="128">
        <v>3.5400000000000001E-2</v>
      </c>
      <c r="O3906" s="2"/>
    </row>
    <row r="3907" spans="2:15" x14ac:dyDescent="0.2">
      <c r="B3907" s="1">
        <v>3892</v>
      </c>
      <c r="C3907" s="5">
        <f ca="1"/>
        <v>0.20745661081465655</v>
      </c>
      <c r="D3907" s="5">
        <f ca="1">S0*EXP((μ-0.5*σ*σ)*T+σ*SQRT(T)*$C3907)</f>
        <v>0.67823651507427507</v>
      </c>
      <c r="E3907" s="5">
        <f ca="1">MAX(0,CP*(D3907-K))</f>
        <v>0</v>
      </c>
      <c r="F3907" s="4">
        <f ca="1">(CP*(D3907-K)&gt;0)*1</f>
        <v>0</v>
      </c>
      <c r="H3907" s="4">
        <v>3892</v>
      </c>
      <c r="I3907" s="3">
        <v>0.66770156040249551</v>
      </c>
      <c r="J3907" s="128">
        <v>1.3711362258993335E-3</v>
      </c>
      <c r="K3907" s="128"/>
      <c r="L3907" s="128">
        <v>4.2000000000000003E-2</v>
      </c>
      <c r="O3907" s="2"/>
    </row>
    <row r="3908" spans="2:15" x14ac:dyDescent="0.2">
      <c r="B3908" s="1">
        <v>3893</v>
      </c>
      <c r="C3908" s="5">
        <f ca="1"/>
        <v>0.90565805910931274</v>
      </c>
      <c r="D3908" s="5">
        <f ca="1">S0*EXP((μ-0.5*σ*σ)*T+σ*SQRT(T)*$C3908)</f>
        <v>0.72656647819048203</v>
      </c>
      <c r="E3908" s="5">
        <f ca="1">MAX(0,CP*(D3908-K))</f>
        <v>0</v>
      </c>
      <c r="F3908" s="4">
        <f ca="1">(CP*(D3908-K)&gt;0)*1</f>
        <v>0</v>
      </c>
      <c r="H3908" s="4">
        <v>3893</v>
      </c>
      <c r="I3908" s="3">
        <v>0.66779186324474338</v>
      </c>
      <c r="J3908" s="128">
        <v>1.4296824103928042E-3</v>
      </c>
      <c r="K3908" s="128"/>
      <c r="L3908" s="128">
        <v>4.24E-2</v>
      </c>
      <c r="O3908" s="2"/>
    </row>
    <row r="3909" spans="2:15" x14ac:dyDescent="0.2">
      <c r="B3909" s="1">
        <v>3894</v>
      </c>
      <c r="C3909" s="5">
        <f ca="1"/>
        <v>0.68593264463894477</v>
      </c>
      <c r="D3909" s="5">
        <f ca="1">S0*EXP((μ-0.5*σ*σ)*T+σ*SQRT(T)*$C3909)</f>
        <v>0.71099671597369318</v>
      </c>
      <c r="E3909" s="5">
        <f ca="1">MAX(0,CP*(D3909-K))</f>
        <v>0</v>
      </c>
      <c r="F3909" s="4">
        <f ca="1">(CP*(D3909-K)&gt;0)*1</f>
        <v>0</v>
      </c>
      <c r="H3909" s="4">
        <v>3894</v>
      </c>
      <c r="I3909" s="3">
        <v>0.66778836039186285</v>
      </c>
      <c r="J3909" s="128">
        <v>1.338284648218144E-3</v>
      </c>
      <c r="K3909" s="128"/>
      <c r="L3909" s="128">
        <v>4.1399999999999999E-2</v>
      </c>
      <c r="O3909" s="2"/>
    </row>
    <row r="3910" spans="2:15" x14ac:dyDescent="0.2">
      <c r="B3910" s="1">
        <v>3895</v>
      </c>
      <c r="C3910" s="5">
        <f ca="1"/>
        <v>-0.44786309727526413</v>
      </c>
      <c r="D3910" s="5">
        <f ca="1">S0*EXP((μ-0.5*σ*σ)*T+σ*SQRT(T)*$C3910)</f>
        <v>0.63580362981261984</v>
      </c>
      <c r="E3910" s="5">
        <f ca="1">MAX(0,CP*(D3910-K))</f>
        <v>0</v>
      </c>
      <c r="F3910" s="4">
        <f ca="1">(CP*(D3910-K)&gt;0)*1</f>
        <v>0</v>
      </c>
      <c r="H3910" s="4">
        <v>3895</v>
      </c>
      <c r="I3910" s="3">
        <v>0.66762952595667258</v>
      </c>
      <c r="J3910" s="128">
        <v>1.2252632148092427E-3</v>
      </c>
      <c r="K3910" s="128"/>
      <c r="L3910" s="128">
        <v>3.6799999999999999E-2</v>
      </c>
      <c r="O3910" s="2"/>
    </row>
    <row r="3911" spans="2:15" x14ac:dyDescent="0.2">
      <c r="B3911" s="1">
        <v>3896</v>
      </c>
      <c r="C3911" s="5">
        <f ca="1"/>
        <v>0.63132807146329073</v>
      </c>
      <c r="D3911" s="5">
        <f ca="1">S0*EXP((μ-0.5*σ*σ)*T+σ*SQRT(T)*$C3911)</f>
        <v>0.70717947231843048</v>
      </c>
      <c r="E3911" s="5">
        <f ca="1">MAX(0,CP*(D3911-K))</f>
        <v>0</v>
      </c>
      <c r="F3911" s="4">
        <f ca="1">(CP*(D3911-K)&gt;0)*1</f>
        <v>0</v>
      </c>
      <c r="H3911" s="4">
        <v>3896</v>
      </c>
      <c r="I3911" s="3">
        <v>0.66757760268515098</v>
      </c>
      <c r="J3911" s="128">
        <v>1.1220950813637324E-3</v>
      </c>
      <c r="K3911" s="128"/>
      <c r="L3911" s="128">
        <v>3.78E-2</v>
      </c>
      <c r="O3911" s="2"/>
    </row>
    <row r="3912" spans="2:15" x14ac:dyDescent="0.2">
      <c r="B3912" s="1">
        <v>3897</v>
      </c>
      <c r="C3912" s="5">
        <f ca="1"/>
        <v>-0.45446501491361591</v>
      </c>
      <c r="D3912" s="5">
        <f ca="1">S0*EXP((μ-0.5*σ*σ)*T+σ*SQRT(T)*$C3912)</f>
        <v>0.63538994126390635</v>
      </c>
      <c r="E3912" s="5">
        <f ca="1">MAX(0,CP*(D3912-K))</f>
        <v>0</v>
      </c>
      <c r="F3912" s="4">
        <f ca="1">(CP*(D3912-K)&gt;0)*1</f>
        <v>0</v>
      </c>
      <c r="H3912" s="4">
        <v>3897</v>
      </c>
      <c r="I3912" s="3">
        <v>0.667844565489918</v>
      </c>
      <c r="J3912" s="128">
        <v>1.4430033714824121E-3</v>
      </c>
      <c r="K3912" s="128"/>
      <c r="L3912" s="128">
        <v>4.6600000000000003E-2</v>
      </c>
      <c r="O3912" s="2"/>
    </row>
    <row r="3913" spans="2:15" x14ac:dyDescent="0.2">
      <c r="B3913" s="1">
        <v>3898</v>
      </c>
      <c r="C3913" s="5">
        <f ca="1"/>
        <v>1.3131244060030081</v>
      </c>
      <c r="D3913" s="5">
        <f ca="1">S0*EXP((μ-0.5*σ*σ)*T+σ*SQRT(T)*$C3913)</f>
        <v>0.75634760063255635</v>
      </c>
      <c r="E3913" s="5">
        <f ca="1">MAX(0,CP*(D3913-K))</f>
        <v>0</v>
      </c>
      <c r="F3913" s="4">
        <f ca="1">(CP*(D3913-K)&gt;0)*1</f>
        <v>0</v>
      </c>
      <c r="H3913" s="4">
        <v>3898</v>
      </c>
      <c r="I3913" s="3">
        <v>0.66774338938512223</v>
      </c>
      <c r="J3913" s="128">
        <v>1.2342068453853052E-3</v>
      </c>
      <c r="K3913" s="128"/>
      <c r="L3913" s="128">
        <v>4.2200000000000001E-2</v>
      </c>
      <c r="O3913" s="2"/>
    </row>
    <row r="3914" spans="2:15" x14ac:dyDescent="0.2">
      <c r="B3914" s="1">
        <v>3899</v>
      </c>
      <c r="C3914" s="5">
        <f ca="1"/>
        <v>-0.26162516191558038</v>
      </c>
      <c r="D3914" s="5">
        <f ca="1">S0*EXP((μ-0.5*σ*σ)*T+σ*SQRT(T)*$C3914)</f>
        <v>0.6475852753766671</v>
      </c>
      <c r="E3914" s="5">
        <f ca="1">MAX(0,CP*(D3914-K))</f>
        <v>0</v>
      </c>
      <c r="F3914" s="4">
        <f ca="1">(CP*(D3914-K)&gt;0)*1</f>
        <v>0</v>
      </c>
      <c r="H3914" s="4">
        <v>3899</v>
      </c>
      <c r="I3914" s="3">
        <v>0.66781616993492221</v>
      </c>
      <c r="J3914" s="128">
        <v>1.53090390318509E-3</v>
      </c>
      <c r="K3914" s="128"/>
      <c r="L3914" s="128">
        <v>4.2799999999999998E-2</v>
      </c>
      <c r="O3914" s="2"/>
    </row>
    <row r="3915" spans="2:15" x14ac:dyDescent="0.2">
      <c r="B3915" s="1">
        <v>3900</v>
      </c>
      <c r="C3915" s="5">
        <f ca="1"/>
        <v>-6.0799201554603291E-2</v>
      </c>
      <c r="D3915" s="5">
        <f ca="1">S0*EXP((μ-0.5*σ*σ)*T+σ*SQRT(T)*$C3915)</f>
        <v>0.66053453425612318</v>
      </c>
      <c r="E3915" s="5">
        <f ca="1">MAX(0,CP*(D3915-K))</f>
        <v>0</v>
      </c>
      <c r="F3915" s="4">
        <f ca="1">(CP*(D3915-K)&gt;0)*1</f>
        <v>0</v>
      </c>
      <c r="H3915" s="4">
        <v>3900</v>
      </c>
      <c r="I3915" s="3">
        <v>0.66797894566590321</v>
      </c>
      <c r="J3915" s="128">
        <v>1.5844556104767414E-3</v>
      </c>
      <c r="K3915" s="128"/>
      <c r="L3915" s="128">
        <v>4.82E-2</v>
      </c>
      <c r="O3915" s="2"/>
    </row>
    <row r="3916" spans="2:15" x14ac:dyDescent="0.2">
      <c r="B3916" s="1">
        <v>3901</v>
      </c>
      <c r="C3916" s="5">
        <f ca="1"/>
        <v>-2.1314274973201766</v>
      </c>
      <c r="D3916" s="5">
        <f ca="1">S0*EXP((μ-0.5*σ*σ)*T+σ*SQRT(T)*$C3916)</f>
        <v>0.53856672781761694</v>
      </c>
      <c r="E3916" s="5">
        <f ca="1">MAX(0,CP*(D3916-K))</f>
        <v>0</v>
      </c>
      <c r="F3916" s="4">
        <f ca="1">(CP*(D3916-K)&gt;0)*1</f>
        <v>0</v>
      </c>
      <c r="H3916" s="4">
        <v>3901</v>
      </c>
      <c r="I3916" s="3">
        <v>0.667797930514761</v>
      </c>
      <c r="J3916" s="128">
        <v>1.4763750008827221E-3</v>
      </c>
      <c r="K3916" s="128"/>
      <c r="L3916" s="128">
        <v>3.9399999999999998E-2</v>
      </c>
      <c r="O3916" s="2"/>
    </row>
    <row r="3917" spans="2:15" x14ac:dyDescent="0.2">
      <c r="B3917" s="1">
        <v>3902</v>
      </c>
      <c r="C3917" s="5">
        <f ca="1"/>
        <v>-1.5635654106407126</v>
      </c>
      <c r="D3917" s="5">
        <f ca="1">S0*EXP((μ-0.5*σ*σ)*T+σ*SQRT(T)*$C3917)</f>
        <v>0.56957785970775499</v>
      </c>
      <c r="E3917" s="5">
        <f ca="1">MAX(0,CP*(D3917-K))</f>
        <v>0</v>
      </c>
      <c r="F3917" s="4">
        <f ca="1">(CP*(D3917-K)&gt;0)*1</f>
        <v>0</v>
      </c>
      <c r="H3917" s="4">
        <v>3902</v>
      </c>
      <c r="I3917" s="3">
        <v>0.66771932671196277</v>
      </c>
      <c r="J3917" s="128">
        <v>1.3541104177131422E-3</v>
      </c>
      <c r="K3917" s="128"/>
      <c r="L3917" s="128">
        <v>4.1399999999999999E-2</v>
      </c>
      <c r="O3917" s="2"/>
    </row>
    <row r="3918" spans="2:15" x14ac:dyDescent="0.2">
      <c r="B3918" s="1">
        <v>3903</v>
      </c>
      <c r="C3918" s="5">
        <f ca="1"/>
        <v>2.7738656966863107</v>
      </c>
      <c r="D3918" s="5">
        <f ca="1">S0*EXP((μ-0.5*σ*σ)*T+σ*SQRT(T)*$C3918)</f>
        <v>0.87350324761679898</v>
      </c>
      <c r="E3918" s="5">
        <f ca="1">MAX(0,CP*(D3918-K))</f>
        <v>8.5303247616798972E-2</v>
      </c>
      <c r="F3918" s="4">
        <f ca="1">(CP*(D3918-K)&gt;0)*1</f>
        <v>1</v>
      </c>
      <c r="H3918" s="4">
        <v>3903</v>
      </c>
      <c r="I3918" s="3">
        <v>0.66781091715123675</v>
      </c>
      <c r="J3918" s="128">
        <v>1.2935921143323583E-3</v>
      </c>
      <c r="K3918" s="128"/>
      <c r="L3918" s="128">
        <v>4.36E-2</v>
      </c>
      <c r="O3918" s="2"/>
    </row>
    <row r="3919" spans="2:15" x14ac:dyDescent="0.2">
      <c r="B3919" s="1">
        <v>3904</v>
      </c>
      <c r="C3919" s="5">
        <f ca="1"/>
        <v>-3.8819752707658368E-2</v>
      </c>
      <c r="D3919" s="5">
        <f ca="1">S0*EXP((μ-0.5*σ*σ)*T+σ*SQRT(T)*$C3919)</f>
        <v>0.66196739725475462</v>
      </c>
      <c r="E3919" s="5">
        <f ca="1">MAX(0,CP*(D3919-K))</f>
        <v>0</v>
      </c>
      <c r="F3919" s="4">
        <f ca="1">(CP*(D3919-K)&gt;0)*1</f>
        <v>0</v>
      </c>
      <c r="H3919" s="4">
        <v>3904</v>
      </c>
      <c r="I3919" s="3">
        <v>0.66767295067238919</v>
      </c>
      <c r="J3919" s="128">
        <v>1.3244679281611093E-3</v>
      </c>
      <c r="K3919" s="128"/>
      <c r="L3919" s="128">
        <v>4.1200000000000001E-2</v>
      </c>
      <c r="O3919" s="2"/>
    </row>
    <row r="3920" spans="2:15" x14ac:dyDescent="0.2">
      <c r="B3920" s="1">
        <v>3905</v>
      </c>
      <c r="C3920" s="5">
        <f ca="1"/>
        <v>-0.14363112200189221</v>
      </c>
      <c r="D3920" s="5">
        <f ca="1">S0*EXP((μ-0.5*σ*σ)*T+σ*SQRT(T)*$C3920)</f>
        <v>0.65516244869859863</v>
      </c>
      <c r="E3920" s="5">
        <f ca="1">MAX(0,CP*(D3920-K))</f>
        <v>0</v>
      </c>
      <c r="F3920" s="4">
        <f ca="1">(CP*(D3920-K)&gt;0)*1</f>
        <v>0</v>
      </c>
      <c r="H3920" s="4">
        <v>3905</v>
      </c>
      <c r="I3920" s="3">
        <v>0.66781306282517128</v>
      </c>
      <c r="J3920" s="128">
        <v>1.4377215210673437E-3</v>
      </c>
      <c r="K3920" s="128"/>
      <c r="L3920" s="128">
        <v>4.36E-2</v>
      </c>
      <c r="O3920" s="2"/>
    </row>
    <row r="3921" spans="2:15" x14ac:dyDescent="0.2">
      <c r="B3921" s="1">
        <v>3906</v>
      </c>
      <c r="C3921" s="5">
        <f ca="1"/>
        <v>-0.63841572457749662</v>
      </c>
      <c r="D3921" s="5">
        <f ca="1">S0*EXP((μ-0.5*σ*σ)*T+σ*SQRT(T)*$C3921)</f>
        <v>0.62397085224316651</v>
      </c>
      <c r="E3921" s="5">
        <f ca="1">MAX(0,CP*(D3921-K))</f>
        <v>0</v>
      </c>
      <c r="F3921" s="4">
        <f ca="1">(CP*(D3921-K)&gt;0)*1</f>
        <v>0</v>
      </c>
      <c r="H3921" s="4">
        <v>3906</v>
      </c>
      <c r="I3921" s="3">
        <v>0.66768137932743066</v>
      </c>
      <c r="J3921" s="128">
        <v>1.1525540650435988E-3</v>
      </c>
      <c r="K3921" s="128"/>
      <c r="L3921" s="128">
        <v>3.9600000000000003E-2</v>
      </c>
      <c r="O3921" s="2"/>
    </row>
    <row r="3922" spans="2:15" x14ac:dyDescent="0.2">
      <c r="B3922" s="1">
        <v>3907</v>
      </c>
      <c r="C3922" s="5">
        <f ca="1"/>
        <v>-6.4899413138400034E-3</v>
      </c>
      <c r="D3922" s="5">
        <f ca="1">S0*EXP((μ-0.5*σ*σ)*T+σ*SQRT(T)*$C3922)</f>
        <v>0.66408066143739619</v>
      </c>
      <c r="E3922" s="5">
        <f ca="1">MAX(0,CP*(D3922-K))</f>
        <v>0</v>
      </c>
      <c r="F3922" s="4">
        <f ca="1">(CP*(D3922-K)&gt;0)*1</f>
        <v>0</v>
      </c>
      <c r="H3922" s="4">
        <v>3907</v>
      </c>
      <c r="I3922" s="3">
        <v>0.66767207668068318</v>
      </c>
      <c r="J3922" s="128">
        <v>1.2150024246078701E-3</v>
      </c>
      <c r="K3922" s="128"/>
      <c r="L3922" s="128">
        <v>3.9800000000000002E-2</v>
      </c>
      <c r="O3922" s="2"/>
    </row>
    <row r="3923" spans="2:15" x14ac:dyDescent="0.2">
      <c r="B3923" s="1">
        <v>3908</v>
      </c>
      <c r="C3923" s="5">
        <f ca="1"/>
        <v>-0.92076364780179665</v>
      </c>
      <c r="D3923" s="5">
        <f ca="1">S0*EXP((μ-0.5*σ*σ)*T+σ*SQRT(T)*$C3923)</f>
        <v>0.60684153161263621</v>
      </c>
      <c r="E3923" s="5">
        <f ca="1">MAX(0,CP*(D3923-K))</f>
        <v>0</v>
      </c>
      <c r="F3923" s="4">
        <f ca="1">(CP*(D3923-K)&gt;0)*1</f>
        <v>0</v>
      </c>
      <c r="H3923" s="4">
        <v>3908</v>
      </c>
      <c r="I3923" s="3">
        <v>0.6675782369322355</v>
      </c>
      <c r="J3923" s="128">
        <v>1.356537206382022E-3</v>
      </c>
      <c r="K3923" s="128"/>
      <c r="L3923" s="128">
        <v>3.9800000000000002E-2</v>
      </c>
      <c r="O3923" s="2"/>
    </row>
    <row r="3924" spans="2:15" x14ac:dyDescent="0.2">
      <c r="B3924" s="1">
        <v>3909</v>
      </c>
      <c r="C3924" s="5">
        <f ca="1"/>
        <v>0.25471678594741815</v>
      </c>
      <c r="D3924" s="5">
        <f ca="1">S0*EXP((μ-0.5*σ*σ)*T+σ*SQRT(T)*$C3924)</f>
        <v>0.68140396934412806</v>
      </c>
      <c r="E3924" s="5">
        <f ca="1">MAX(0,CP*(D3924-K))</f>
        <v>0</v>
      </c>
      <c r="F3924" s="4">
        <f ca="1">(CP*(D3924-K)&gt;0)*1</f>
        <v>0</v>
      </c>
      <c r="H3924" s="4">
        <v>3909</v>
      </c>
      <c r="I3924" s="3">
        <v>0.66784805430408101</v>
      </c>
      <c r="J3924" s="128">
        <v>1.5639671576800742E-3</v>
      </c>
      <c r="K3924" s="128"/>
      <c r="L3924" s="128">
        <v>4.4600000000000001E-2</v>
      </c>
      <c r="O3924" s="2"/>
    </row>
    <row r="3925" spans="2:15" x14ac:dyDescent="0.2">
      <c r="B3925" s="1">
        <v>3910</v>
      </c>
      <c r="C3925" s="5">
        <f ca="1"/>
        <v>0.10122735314117588</v>
      </c>
      <c r="D3925" s="5">
        <f ca="1">S0*EXP((μ-0.5*σ*σ)*T+σ*SQRT(T)*$C3925)</f>
        <v>0.67117049504675907</v>
      </c>
      <c r="E3925" s="5">
        <f ca="1">MAX(0,CP*(D3925-K))</f>
        <v>0</v>
      </c>
      <c r="F3925" s="4">
        <f ca="1">(CP*(D3925-K)&gt;0)*1</f>
        <v>0</v>
      </c>
      <c r="H3925" s="4">
        <v>3910</v>
      </c>
      <c r="I3925" s="3">
        <v>0.66780818053139357</v>
      </c>
      <c r="J3925" s="128">
        <v>1.2969285686587723E-3</v>
      </c>
      <c r="K3925" s="128"/>
      <c r="L3925" s="128">
        <v>4.2599999999999999E-2</v>
      </c>
      <c r="O3925" s="2"/>
    </row>
    <row r="3926" spans="2:15" x14ac:dyDescent="0.2">
      <c r="B3926" s="1">
        <v>3911</v>
      </c>
      <c r="C3926" s="5">
        <f ca="1"/>
        <v>1.3811290169504133</v>
      </c>
      <c r="D3926" s="5">
        <f ca="1">S0*EXP((μ-0.5*σ*σ)*T+σ*SQRT(T)*$C3926)</f>
        <v>0.7614354959866293</v>
      </c>
      <c r="E3926" s="5">
        <f ca="1">MAX(0,CP*(D3926-K))</f>
        <v>0</v>
      </c>
      <c r="F3926" s="4">
        <f ca="1">(CP*(D3926-K)&gt;0)*1</f>
        <v>0</v>
      </c>
      <c r="H3926" s="4">
        <v>3911</v>
      </c>
      <c r="I3926" s="3">
        <v>0.66780101985008922</v>
      </c>
      <c r="J3926" s="128">
        <v>1.3979906266149472E-3</v>
      </c>
      <c r="K3926" s="128"/>
      <c r="L3926" s="128">
        <v>4.1000000000000002E-2</v>
      </c>
      <c r="O3926" s="2"/>
    </row>
    <row r="3927" spans="2:15" x14ac:dyDescent="0.2">
      <c r="B3927" s="1">
        <v>3912</v>
      </c>
      <c r="C3927" s="5">
        <f ca="1"/>
        <v>0.5052821579149388</v>
      </c>
      <c r="D3927" s="5">
        <f ca="1">S0*EXP((μ-0.5*σ*σ)*T+σ*SQRT(T)*$C3927)</f>
        <v>0.69844604841950908</v>
      </c>
      <c r="E3927" s="5">
        <f ca="1">MAX(0,CP*(D3927-K))</f>
        <v>0</v>
      </c>
      <c r="F3927" s="4">
        <f ca="1">(CP*(D3927-K)&gt;0)*1</f>
        <v>0</v>
      </c>
      <c r="H3927" s="4">
        <v>3912</v>
      </c>
      <c r="I3927" s="3">
        <v>0.66774955430577787</v>
      </c>
      <c r="J3927" s="128">
        <v>1.2401978952225471E-3</v>
      </c>
      <c r="K3927" s="128"/>
      <c r="L3927" s="128">
        <v>3.7999999999999999E-2</v>
      </c>
      <c r="O3927" s="2"/>
    </row>
    <row r="3928" spans="2:15" x14ac:dyDescent="0.2">
      <c r="B3928" s="1">
        <v>3913</v>
      </c>
      <c r="C3928" s="5">
        <f ca="1"/>
        <v>-1.1113413073636533</v>
      </c>
      <c r="D3928" s="5">
        <f ca="1">S0*EXP((μ-0.5*σ*σ)*T+σ*SQRT(T)*$C3928)</f>
        <v>0.59554629046112328</v>
      </c>
      <c r="E3928" s="5">
        <f ca="1">MAX(0,CP*(D3928-K))</f>
        <v>0</v>
      </c>
      <c r="F3928" s="4">
        <f ca="1">(CP*(D3928-K)&gt;0)*1</f>
        <v>0</v>
      </c>
      <c r="H3928" s="4">
        <v>3913</v>
      </c>
      <c r="I3928" s="3">
        <v>0.66773008774021492</v>
      </c>
      <c r="J3928" s="128">
        <v>1.3750687653310526E-3</v>
      </c>
      <c r="K3928" s="128"/>
      <c r="L3928" s="128">
        <v>3.9E-2</v>
      </c>
      <c r="O3928" s="2"/>
    </row>
    <row r="3929" spans="2:15" x14ac:dyDescent="0.2">
      <c r="B3929" s="1">
        <v>3914</v>
      </c>
      <c r="C3929" s="5">
        <f ca="1"/>
        <v>-0.32165790666988214</v>
      </c>
      <c r="D3929" s="5">
        <f ca="1">S0*EXP((μ-0.5*σ*σ)*T+σ*SQRT(T)*$C3929)</f>
        <v>0.64376387678626856</v>
      </c>
      <c r="E3929" s="5">
        <f ca="1">MAX(0,CP*(D3929-K))</f>
        <v>0</v>
      </c>
      <c r="F3929" s="4">
        <f ca="1">(CP*(D3929-K)&gt;0)*1</f>
        <v>0</v>
      </c>
      <c r="H3929" s="4">
        <v>3914</v>
      </c>
      <c r="I3929" s="3">
        <v>0.66769282289134391</v>
      </c>
      <c r="J3929" s="128">
        <v>1.3750231562110007E-3</v>
      </c>
      <c r="K3929" s="128"/>
      <c r="L3929" s="128">
        <v>3.7999999999999999E-2</v>
      </c>
      <c r="O3929" s="2"/>
    </row>
    <row r="3930" spans="2:15" x14ac:dyDescent="0.2">
      <c r="B3930" s="1">
        <v>3915</v>
      </c>
      <c r="C3930" s="5">
        <f ca="1"/>
        <v>0.10879110791736285</v>
      </c>
      <c r="D3930" s="5">
        <f ca="1">S0*EXP((μ-0.5*σ*σ)*T+σ*SQRT(T)*$C3930)</f>
        <v>0.67167116779363778</v>
      </c>
      <c r="E3930" s="5">
        <f ca="1">MAX(0,CP*(D3930-K))</f>
        <v>0</v>
      </c>
      <c r="F3930" s="4">
        <f ca="1">(CP*(D3930-K)&gt;0)*1</f>
        <v>0</v>
      </c>
      <c r="H3930" s="4">
        <v>3915</v>
      </c>
      <c r="I3930" s="3">
        <v>0.6678020592220727</v>
      </c>
      <c r="J3930" s="128">
        <v>1.5291459401524622E-3</v>
      </c>
      <c r="K3930" s="128"/>
      <c r="L3930" s="128">
        <v>4.2599999999999999E-2</v>
      </c>
      <c r="O3930" s="2"/>
    </row>
    <row r="3931" spans="2:15" x14ac:dyDescent="0.2">
      <c r="B3931" s="1">
        <v>3916</v>
      </c>
      <c r="C3931" s="5">
        <f ca="1"/>
        <v>0.12522726070432388</v>
      </c>
      <c r="D3931" s="5">
        <f ca="1">S0*EXP((μ-0.5*σ*σ)*T+σ*SQRT(T)*$C3931)</f>
        <v>0.67276042516850687</v>
      </c>
      <c r="E3931" s="5">
        <f ca="1">MAX(0,CP*(D3931-K))</f>
        <v>0</v>
      </c>
      <c r="F3931" s="4">
        <f ca="1">(CP*(D3931-K)&gt;0)*1</f>
        <v>0</v>
      </c>
      <c r="H3931" s="4">
        <v>3916</v>
      </c>
      <c r="I3931" s="3">
        <v>0.66779486633055241</v>
      </c>
      <c r="J3931" s="128">
        <v>1.4146235784625151E-3</v>
      </c>
      <c r="K3931" s="128"/>
      <c r="L3931" s="128">
        <v>4.1399999999999999E-2</v>
      </c>
      <c r="O3931" s="2"/>
    </row>
    <row r="3932" spans="2:15" x14ac:dyDescent="0.2">
      <c r="B3932" s="1">
        <v>3917</v>
      </c>
      <c r="C3932" s="5">
        <f ca="1"/>
        <v>-0.15062759592350322</v>
      </c>
      <c r="D3932" s="5">
        <f ca="1">S0*EXP((μ-0.5*σ*σ)*T+σ*SQRT(T)*$C3932)</f>
        <v>0.65471069661345971</v>
      </c>
      <c r="E3932" s="5">
        <f ca="1">MAX(0,CP*(D3932-K))</f>
        <v>0</v>
      </c>
      <c r="F3932" s="4">
        <f ca="1">(CP*(D3932-K)&gt;0)*1</f>
        <v>0</v>
      </c>
      <c r="H3932" s="4">
        <v>3917</v>
      </c>
      <c r="I3932" s="3">
        <v>0.66764517802781687</v>
      </c>
      <c r="J3932" s="128">
        <v>1.1975326470727884E-3</v>
      </c>
      <c r="K3932" s="128"/>
      <c r="L3932" s="128">
        <v>3.6600000000000001E-2</v>
      </c>
      <c r="O3932" s="2"/>
    </row>
    <row r="3933" spans="2:15" x14ac:dyDescent="0.2">
      <c r="B3933" s="1">
        <v>3918</v>
      </c>
      <c r="C3933" s="5">
        <f ca="1"/>
        <v>1.3172406855673877</v>
      </c>
      <c r="D3933" s="5">
        <f ca="1">S0*EXP((μ-0.5*σ*σ)*T+σ*SQRT(T)*$C3933)</f>
        <v>0.75665459905324495</v>
      </c>
      <c r="E3933" s="5">
        <f ca="1">MAX(0,CP*(D3933-K))</f>
        <v>0</v>
      </c>
      <c r="F3933" s="4">
        <f ca="1">(CP*(D3933-K)&gt;0)*1</f>
        <v>0</v>
      </c>
      <c r="H3933" s="4">
        <v>3918</v>
      </c>
      <c r="I3933" s="3">
        <v>0.66787431602082648</v>
      </c>
      <c r="J3933" s="128">
        <v>1.3796122950364667E-3</v>
      </c>
      <c r="K3933" s="128"/>
      <c r="L3933" s="128">
        <v>4.2200000000000001E-2</v>
      </c>
      <c r="O3933" s="2"/>
    </row>
    <row r="3934" spans="2:15" x14ac:dyDescent="0.2">
      <c r="B3934" s="1">
        <v>3919</v>
      </c>
      <c r="C3934" s="5">
        <f ca="1"/>
        <v>-1.4745729592309891</v>
      </c>
      <c r="D3934" s="5">
        <f ca="1">S0*EXP((μ-0.5*σ*σ)*T+σ*SQRT(T)*$C3934)</f>
        <v>0.57459706007393863</v>
      </c>
      <c r="E3934" s="5">
        <f ca="1">MAX(0,CP*(D3934-K))</f>
        <v>0</v>
      </c>
      <c r="F3934" s="4">
        <f ca="1">(CP*(D3934-K)&gt;0)*1</f>
        <v>0</v>
      </c>
      <c r="H3934" s="4">
        <v>3919</v>
      </c>
      <c r="I3934" s="3">
        <v>0.66770855615856872</v>
      </c>
      <c r="J3934" s="128">
        <v>1.3436743960118249E-3</v>
      </c>
      <c r="K3934" s="128"/>
      <c r="L3934" s="128">
        <v>4.1000000000000002E-2</v>
      </c>
      <c r="O3934" s="2"/>
    </row>
    <row r="3935" spans="2:15" x14ac:dyDescent="0.2">
      <c r="B3935" s="1">
        <v>3920</v>
      </c>
      <c r="C3935" s="5">
        <f ca="1"/>
        <v>0.45200767603531861</v>
      </c>
      <c r="D3935" s="5">
        <f ca="1">S0*EXP((μ-0.5*σ*σ)*T+σ*SQRT(T)*$C3935)</f>
        <v>0.69478728929054578</v>
      </c>
      <c r="E3935" s="5">
        <f ca="1">MAX(0,CP*(D3935-K))</f>
        <v>0</v>
      </c>
      <c r="F3935" s="4">
        <f ca="1">(CP*(D3935-K)&gt;0)*1</f>
        <v>0</v>
      </c>
      <c r="H3935" s="4">
        <v>3920</v>
      </c>
      <c r="I3935" s="3">
        <v>0.66761318632849675</v>
      </c>
      <c r="J3935" s="128">
        <v>1.2051584511214985E-3</v>
      </c>
      <c r="K3935" s="128"/>
      <c r="L3935" s="128">
        <v>0.04</v>
      </c>
      <c r="O3935" s="2"/>
    </row>
    <row r="3936" spans="2:15" x14ac:dyDescent="0.2">
      <c r="B3936" s="1">
        <v>3921</v>
      </c>
      <c r="C3936" s="5">
        <f ca="1"/>
        <v>-1.058306465513476</v>
      </c>
      <c r="D3936" s="5">
        <f ca="1">S0*EXP((μ-0.5*σ*σ)*T+σ*SQRT(T)*$C3936)</f>
        <v>0.59866830115956249</v>
      </c>
      <c r="E3936" s="5">
        <f ca="1">MAX(0,CP*(D3936-K))</f>
        <v>0</v>
      </c>
      <c r="F3936" s="4">
        <f ca="1">(CP*(D3936-K)&gt;0)*1</f>
        <v>0</v>
      </c>
      <c r="H3936" s="4">
        <v>3921</v>
      </c>
      <c r="I3936" s="3">
        <v>0.66778878763280869</v>
      </c>
      <c r="J3936" s="128">
        <v>1.357706705999416E-3</v>
      </c>
      <c r="K3936" s="128"/>
      <c r="L3936" s="128">
        <v>4.0800000000000003E-2</v>
      </c>
      <c r="O3936" s="2"/>
    </row>
    <row r="3937" spans="2:15" x14ac:dyDescent="0.2">
      <c r="B3937" s="1">
        <v>3922</v>
      </c>
      <c r="C3937" s="5">
        <f ca="1"/>
        <v>1.5515534872800907</v>
      </c>
      <c r="D3937" s="5">
        <f ca="1">S0*EXP((μ-0.5*σ*σ)*T+σ*SQRT(T)*$C3937)</f>
        <v>0.77433700015052276</v>
      </c>
      <c r="E3937" s="5">
        <f ca="1">MAX(0,CP*(D3937-K))</f>
        <v>0</v>
      </c>
      <c r="F3937" s="4">
        <f ca="1">(CP*(D3937-K)&gt;0)*1</f>
        <v>0</v>
      </c>
      <c r="H3937" s="4">
        <v>3922</v>
      </c>
      <c r="I3937" s="3">
        <v>0.66769514596255508</v>
      </c>
      <c r="J3937" s="128">
        <v>1.3179925092279131E-3</v>
      </c>
      <c r="K3937" s="128"/>
      <c r="L3937" s="128">
        <v>4.0399999999999998E-2</v>
      </c>
      <c r="O3937" s="2"/>
    </row>
    <row r="3938" spans="2:15" x14ac:dyDescent="0.2">
      <c r="B3938" s="1">
        <v>3923</v>
      </c>
      <c r="C3938" s="5">
        <f ca="1"/>
        <v>1.1643542103296387</v>
      </c>
      <c r="D3938" s="5">
        <f ca="1">S0*EXP((μ-0.5*σ*σ)*T+σ*SQRT(T)*$C3938)</f>
        <v>0.74533529873065441</v>
      </c>
      <c r="E3938" s="5">
        <f ca="1">MAX(0,CP*(D3938-K))</f>
        <v>0</v>
      </c>
      <c r="F3938" s="4">
        <f ca="1">(CP*(D3938-K)&gt;0)*1</f>
        <v>0</v>
      </c>
      <c r="H3938" s="4">
        <v>3923</v>
      </c>
      <c r="I3938" s="3">
        <v>0.66781203786415477</v>
      </c>
      <c r="J3938" s="128">
        <v>1.2963785638261801E-3</v>
      </c>
      <c r="K3938" s="128"/>
      <c r="L3938" s="128">
        <v>4.1399999999999999E-2</v>
      </c>
      <c r="O3938" s="2"/>
    </row>
    <row r="3939" spans="2:15" x14ac:dyDescent="0.2">
      <c r="B3939" s="1">
        <v>3924</v>
      </c>
      <c r="C3939" s="5">
        <f ca="1"/>
        <v>1.5620267432755341</v>
      </c>
      <c r="D3939" s="5">
        <f ca="1">S0*EXP((μ-0.5*σ*σ)*T+σ*SQRT(T)*$C3939)</f>
        <v>0.77513694064465677</v>
      </c>
      <c r="E3939" s="5">
        <f ca="1">MAX(0,CP*(D3939-K))</f>
        <v>0</v>
      </c>
      <c r="F3939" s="4">
        <f ca="1">(CP*(D3939-K)&gt;0)*1</f>
        <v>0</v>
      </c>
      <c r="H3939" s="4">
        <v>3924</v>
      </c>
      <c r="I3939" s="3">
        <v>0.66775994614143852</v>
      </c>
      <c r="J3939" s="128">
        <v>1.4209648735087049E-3</v>
      </c>
      <c r="K3939" s="128"/>
      <c r="L3939" s="128">
        <v>4.1200000000000001E-2</v>
      </c>
      <c r="O3939" s="2"/>
    </row>
    <row r="3940" spans="2:15" x14ac:dyDescent="0.2">
      <c r="B3940" s="1">
        <v>3925</v>
      </c>
      <c r="C3940" s="5">
        <f ca="1"/>
        <v>-2.1561473889307687</v>
      </c>
      <c r="D3940" s="5">
        <f ca="1">S0*EXP((μ-0.5*σ*σ)*T+σ*SQRT(T)*$C3940)</f>
        <v>0.5372558002197686</v>
      </c>
      <c r="E3940" s="5">
        <f ca="1">MAX(0,CP*(D3940-K))</f>
        <v>0</v>
      </c>
      <c r="F3940" s="4">
        <f ca="1">(CP*(D3940-K)&gt;0)*1</f>
        <v>0</v>
      </c>
      <c r="H3940" s="4">
        <v>3925</v>
      </c>
      <c r="I3940" s="3">
        <v>0.66780817770024392</v>
      </c>
      <c r="J3940" s="128">
        <v>1.4282060405211394E-3</v>
      </c>
      <c r="K3940" s="128"/>
      <c r="L3940" s="128">
        <v>4.0399999999999998E-2</v>
      </c>
      <c r="O3940" s="2"/>
    </row>
    <row r="3941" spans="2:15" x14ac:dyDescent="0.2">
      <c r="B3941" s="1">
        <v>3926</v>
      </c>
      <c r="C3941" s="5">
        <f ca="1"/>
        <v>6.6234649833700726E-2</v>
      </c>
      <c r="D3941" s="5">
        <f ca="1">S0*EXP((μ-0.5*σ*σ)*T+σ*SQRT(T)*$C3941)</f>
        <v>0.66885905217995012</v>
      </c>
      <c r="E3941" s="5">
        <f ca="1">MAX(0,CP*(D3941-K))</f>
        <v>0</v>
      </c>
      <c r="F3941" s="4">
        <f ca="1">(CP*(D3941-K)&gt;0)*1</f>
        <v>0</v>
      </c>
      <c r="H3941" s="4">
        <v>3926</v>
      </c>
      <c r="I3941" s="3">
        <v>0.66762370778187063</v>
      </c>
      <c r="J3941" s="128">
        <v>1.2000466692723641E-3</v>
      </c>
      <c r="K3941" s="128"/>
      <c r="L3941" s="128">
        <v>3.78E-2</v>
      </c>
      <c r="O3941" s="2"/>
    </row>
    <row r="3942" spans="2:15" x14ac:dyDescent="0.2">
      <c r="B3942" s="1">
        <v>3927</v>
      </c>
      <c r="C3942" s="5">
        <f ca="1"/>
        <v>-1.1085746151603224</v>
      </c>
      <c r="D3942" s="5">
        <f ca="1">S0*EXP((μ-0.5*σ*σ)*T+σ*SQRT(T)*$C3942)</f>
        <v>0.59570875452830552</v>
      </c>
      <c r="E3942" s="5">
        <f ca="1">MAX(0,CP*(D3942-K))</f>
        <v>0</v>
      </c>
      <c r="F3942" s="4">
        <f ca="1">(CP*(D3942-K)&gt;0)*1</f>
        <v>0</v>
      </c>
      <c r="H3942" s="4">
        <v>3927</v>
      </c>
      <c r="I3942" s="3">
        <v>0.66763677417120948</v>
      </c>
      <c r="J3942" s="128">
        <v>1.2574791871492372E-3</v>
      </c>
      <c r="K3942" s="128"/>
      <c r="L3942" s="128">
        <v>3.8800000000000001E-2</v>
      </c>
      <c r="O3942" s="2"/>
    </row>
    <row r="3943" spans="2:15" x14ac:dyDescent="0.2">
      <c r="B3943" s="1">
        <v>3928</v>
      </c>
      <c r="C3943" s="5">
        <f ca="1"/>
        <v>0.29338503234359992</v>
      </c>
      <c r="D3943" s="5">
        <f ca="1">S0*EXP((μ-0.5*σ*σ)*T+σ*SQRT(T)*$C3943)</f>
        <v>0.68400657835820122</v>
      </c>
      <c r="E3943" s="5">
        <f ca="1">MAX(0,CP*(D3943-K))</f>
        <v>0</v>
      </c>
      <c r="F3943" s="4">
        <f ca="1">(CP*(D3943-K)&gt;0)*1</f>
        <v>0</v>
      </c>
      <c r="H3943" s="4">
        <v>3928</v>
      </c>
      <c r="I3943" s="3">
        <v>0.6677671648634379</v>
      </c>
      <c r="J3943" s="128">
        <v>1.2884937110849116E-3</v>
      </c>
      <c r="K3943" s="128"/>
      <c r="L3943" s="128">
        <v>4.4600000000000001E-2</v>
      </c>
      <c r="O3943" s="2"/>
    </row>
    <row r="3944" spans="2:15" x14ac:dyDescent="0.2">
      <c r="B3944" s="1">
        <v>3929</v>
      </c>
      <c r="C3944" s="5">
        <f ca="1"/>
        <v>0.62430004560460695</v>
      </c>
      <c r="D3944" s="5">
        <f ca="1">S0*EXP((μ-0.5*σ*σ)*T+σ*SQRT(T)*$C3944)</f>
        <v>0.706689654849608</v>
      </c>
      <c r="E3944" s="5">
        <f ca="1">MAX(0,CP*(D3944-K))</f>
        <v>0</v>
      </c>
      <c r="F3944" s="4">
        <f ca="1">(CP*(D3944-K)&gt;0)*1</f>
        <v>0</v>
      </c>
      <c r="H3944" s="4">
        <v>3929</v>
      </c>
      <c r="I3944" s="3">
        <v>0.66773912855459283</v>
      </c>
      <c r="J3944" s="128">
        <v>1.3994653772864106E-3</v>
      </c>
      <c r="K3944" s="128"/>
      <c r="L3944" s="128">
        <v>4.3799999999999999E-2</v>
      </c>
      <c r="O3944" s="2"/>
    </row>
    <row r="3945" spans="2:15" x14ac:dyDescent="0.2">
      <c r="B3945" s="1">
        <v>3930</v>
      </c>
      <c r="C3945" s="5">
        <f ca="1"/>
        <v>0.51034706978545197</v>
      </c>
      <c r="D3945" s="5">
        <f ca="1">S0*EXP((μ-0.5*σ*σ)*T+σ*SQRT(T)*$C3945)</f>
        <v>0.69879489535509354</v>
      </c>
      <c r="E3945" s="5">
        <f ca="1">MAX(0,CP*(D3945-K))</f>
        <v>0</v>
      </c>
      <c r="F3945" s="4">
        <f ca="1">(CP*(D3945-K)&gt;0)*1</f>
        <v>0</v>
      </c>
      <c r="H3945" s="4">
        <v>3930</v>
      </c>
      <c r="I3945" s="3">
        <v>0.66769346976437005</v>
      </c>
      <c r="J3945" s="128">
        <v>1.3102202731354968E-3</v>
      </c>
      <c r="K3945" s="128"/>
      <c r="L3945" s="128">
        <v>4.1399999999999999E-2</v>
      </c>
      <c r="O3945" s="2"/>
    </row>
    <row r="3946" spans="2:15" x14ac:dyDescent="0.2">
      <c r="B3946" s="1">
        <v>3931</v>
      </c>
      <c r="C3946" s="5">
        <f ca="1"/>
        <v>-0.51061170885261153</v>
      </c>
      <c r="D3946" s="5">
        <f ca="1">S0*EXP((μ-0.5*σ*σ)*T+σ*SQRT(T)*$C3946)</f>
        <v>0.63188254519379361</v>
      </c>
      <c r="E3946" s="5">
        <f ca="1">MAX(0,CP*(D3946-K))</f>
        <v>0</v>
      </c>
      <c r="F3946" s="4">
        <f ca="1">(CP*(D3946-K)&gt;0)*1</f>
        <v>0</v>
      </c>
      <c r="H3946" s="4">
        <v>3931</v>
      </c>
      <c r="I3946" s="3">
        <v>0.66797700596253784</v>
      </c>
      <c r="J3946" s="128">
        <v>1.6090582823597621E-3</v>
      </c>
      <c r="K3946" s="128"/>
      <c r="L3946" s="128">
        <v>4.8599999999999997E-2</v>
      </c>
      <c r="O3946" s="2"/>
    </row>
    <row r="3947" spans="2:15" x14ac:dyDescent="0.2">
      <c r="B3947" s="1">
        <v>3932</v>
      </c>
      <c r="C3947" s="5">
        <f ca="1"/>
        <v>-0.65432572063466732</v>
      </c>
      <c r="D3947" s="5">
        <f ca="1">S0*EXP((μ-0.5*σ*σ)*T+σ*SQRT(T)*$C3947)</f>
        <v>0.62299290474779578</v>
      </c>
      <c r="E3947" s="5">
        <f ca="1">MAX(0,CP*(D3947-K))</f>
        <v>0</v>
      </c>
      <c r="F3947" s="4">
        <f ca="1">(CP*(D3947-K)&gt;0)*1</f>
        <v>0</v>
      </c>
      <c r="H3947" s="4">
        <v>3932</v>
      </c>
      <c r="I3947" s="3">
        <v>0.66785933373846595</v>
      </c>
      <c r="J3947" s="128">
        <v>1.4638263977770725E-3</v>
      </c>
      <c r="K3947" s="128"/>
      <c r="L3947" s="128">
        <v>4.48E-2</v>
      </c>
      <c r="O3947" s="2"/>
    </row>
    <row r="3948" spans="2:15" x14ac:dyDescent="0.2">
      <c r="B3948" s="1">
        <v>3933</v>
      </c>
      <c r="C3948" s="5">
        <f ca="1"/>
        <v>0.12482233884711559</v>
      </c>
      <c r="D3948" s="5">
        <f ca="1">S0*EXP((μ-0.5*σ*σ)*T+σ*SQRT(T)*$C3948)</f>
        <v>0.672733568959478</v>
      </c>
      <c r="E3948" s="5">
        <f ca="1">MAX(0,CP*(D3948-K))</f>
        <v>0</v>
      </c>
      <c r="F3948" s="4">
        <f ca="1">(CP*(D3948-K)&gt;0)*1</f>
        <v>0</v>
      </c>
      <c r="H3948" s="4">
        <v>3933</v>
      </c>
      <c r="I3948" s="3">
        <v>0.66768017580456585</v>
      </c>
      <c r="J3948" s="128">
        <v>1.4034250557053694E-3</v>
      </c>
      <c r="K3948" s="128"/>
      <c r="L3948" s="128">
        <v>3.7999999999999999E-2</v>
      </c>
      <c r="O3948" s="2"/>
    </row>
    <row r="3949" spans="2:15" x14ac:dyDescent="0.2">
      <c r="B3949" s="1">
        <v>3934</v>
      </c>
      <c r="C3949" s="5">
        <f ca="1"/>
        <v>0.98420691278315164</v>
      </c>
      <c r="D3949" s="5">
        <f ca="1">S0*EXP((μ-0.5*σ*σ)*T+σ*SQRT(T)*$C3949)</f>
        <v>0.73221480201816258</v>
      </c>
      <c r="E3949" s="5">
        <f ca="1">MAX(0,CP*(D3949-K))</f>
        <v>0</v>
      </c>
      <c r="F3949" s="4">
        <f ca="1">(CP*(D3949-K)&gt;0)*1</f>
        <v>0</v>
      </c>
      <c r="H3949" s="4">
        <v>3934</v>
      </c>
      <c r="I3949" s="3">
        <v>0.66767931148526138</v>
      </c>
      <c r="J3949" s="128">
        <v>1.420537723140022E-3</v>
      </c>
      <c r="K3949" s="128"/>
      <c r="L3949" s="128">
        <v>4.02E-2</v>
      </c>
      <c r="O3949" s="2"/>
    </row>
    <row r="3950" spans="2:15" x14ac:dyDescent="0.2">
      <c r="B3950" s="1">
        <v>3935</v>
      </c>
      <c r="C3950" s="5">
        <f ca="1"/>
        <v>-1.0308251851751673</v>
      </c>
      <c r="D3950" s="5">
        <f ca="1">S0*EXP((μ-0.5*σ*σ)*T+σ*SQRT(T)*$C3950)</f>
        <v>0.60029247831714605</v>
      </c>
      <c r="E3950" s="5">
        <f ca="1">MAX(0,CP*(D3950-K))</f>
        <v>0</v>
      </c>
      <c r="F3950" s="4">
        <f ca="1">(CP*(D3950-K)&gt;0)*1</f>
        <v>0</v>
      </c>
      <c r="H3950" s="4">
        <v>3935</v>
      </c>
      <c r="I3950" s="3">
        <v>0.66775892463937347</v>
      </c>
      <c r="J3950" s="128">
        <v>1.4175307449497958E-3</v>
      </c>
      <c r="K3950" s="128"/>
      <c r="L3950" s="128">
        <v>4.0599999999999997E-2</v>
      </c>
      <c r="O3950" s="2"/>
    </row>
    <row r="3951" spans="2:15" x14ac:dyDescent="0.2">
      <c r="B3951" s="1">
        <v>3936</v>
      </c>
      <c r="C3951" s="5">
        <f ca="1"/>
        <v>1.227921109343868</v>
      </c>
      <c r="D3951" s="5">
        <f ca="1">S0*EXP((μ-0.5*σ*σ)*T+σ*SQRT(T)*$C3951)</f>
        <v>0.75002090709912617</v>
      </c>
      <c r="E3951" s="5">
        <f ca="1">MAX(0,CP*(D3951-K))</f>
        <v>0</v>
      </c>
      <c r="F3951" s="4">
        <f ca="1">(CP*(D3951-K)&gt;0)*1</f>
        <v>0</v>
      </c>
      <c r="H3951" s="4">
        <v>3936</v>
      </c>
      <c r="I3951" s="3">
        <v>0.66759155136655901</v>
      </c>
      <c r="J3951" s="128">
        <v>1.1503618073791233E-3</v>
      </c>
      <c r="K3951" s="128"/>
      <c r="L3951" s="128">
        <v>3.5999999999999997E-2</v>
      </c>
      <c r="O3951" s="2"/>
    </row>
    <row r="3952" spans="2:15" x14ac:dyDescent="0.2">
      <c r="B3952" s="1">
        <v>3937</v>
      </c>
      <c r="C3952" s="5">
        <f ca="1"/>
        <v>-1.0675774499687494</v>
      </c>
      <c r="D3952" s="5">
        <f ca="1">S0*EXP((μ-0.5*σ*σ)*T+σ*SQRT(T)*$C3952)</f>
        <v>0.59812136658445059</v>
      </c>
      <c r="E3952" s="5">
        <f ca="1">MAX(0,CP*(D3952-K))</f>
        <v>0</v>
      </c>
      <c r="F3952" s="4">
        <f ca="1">(CP*(D3952-K)&gt;0)*1</f>
        <v>0</v>
      </c>
      <c r="H3952" s="4">
        <v>3937</v>
      </c>
      <c r="I3952" s="3">
        <v>0.66778449062611733</v>
      </c>
      <c r="J3952" s="128">
        <v>1.3923661900092472E-3</v>
      </c>
      <c r="K3952" s="128"/>
      <c r="L3952" s="128">
        <v>4.1200000000000001E-2</v>
      </c>
      <c r="O3952" s="2"/>
    </row>
    <row r="3953" spans="2:15" x14ac:dyDescent="0.2">
      <c r="B3953" s="1">
        <v>3938</v>
      </c>
      <c r="C3953" s="5">
        <f ca="1"/>
        <v>-0.22331207263958322</v>
      </c>
      <c r="D3953" s="5">
        <f ca="1">S0*EXP((μ-0.5*σ*σ)*T+σ*SQRT(T)*$C3953)</f>
        <v>0.65003595377195589</v>
      </c>
      <c r="E3953" s="5">
        <f ca="1">MAX(0,CP*(D3953-K))</f>
        <v>0</v>
      </c>
      <c r="F3953" s="4">
        <f ca="1">(CP*(D3953-K)&gt;0)*1</f>
        <v>0</v>
      </c>
      <c r="H3953" s="4">
        <v>3938</v>
      </c>
      <c r="I3953" s="3">
        <v>0.6678328458785957</v>
      </c>
      <c r="J3953" s="128">
        <v>1.4675579418410949E-3</v>
      </c>
      <c r="K3953" s="128"/>
      <c r="L3953" s="128">
        <v>4.3799999999999999E-2</v>
      </c>
      <c r="O3953" s="2"/>
    </row>
    <row r="3954" spans="2:15" x14ac:dyDescent="0.2">
      <c r="B3954" s="1">
        <v>3939</v>
      </c>
      <c r="C3954" s="5">
        <f ca="1"/>
        <v>0.77332379837620902</v>
      </c>
      <c r="D3954" s="5">
        <f ca="1">S0*EXP((μ-0.5*σ*σ)*T+σ*SQRT(T)*$C3954)</f>
        <v>0.71714889551349514</v>
      </c>
      <c r="E3954" s="5">
        <f ca="1">MAX(0,CP*(D3954-K))</f>
        <v>0</v>
      </c>
      <c r="F3954" s="4">
        <f ca="1">(CP*(D3954-K)&gt;0)*1</f>
        <v>0</v>
      </c>
      <c r="H3954" s="4">
        <v>3939</v>
      </c>
      <c r="I3954" s="3">
        <v>0.66792484393464513</v>
      </c>
      <c r="J3954" s="128">
        <v>1.5771588330194095E-3</v>
      </c>
      <c r="K3954" s="128"/>
      <c r="L3954" s="128">
        <v>4.7399999999999998E-2</v>
      </c>
      <c r="O3954" s="2"/>
    </row>
    <row r="3955" spans="2:15" x14ac:dyDescent="0.2">
      <c r="B3955" s="1">
        <v>3940</v>
      </c>
      <c r="C3955" s="5">
        <f ca="1"/>
        <v>1.3484990955892009</v>
      </c>
      <c r="D3955" s="5">
        <f ca="1">S0*EXP((μ-0.5*σ*σ)*T+σ*SQRT(T)*$C3955)</f>
        <v>0.75898996870407109</v>
      </c>
      <c r="E3955" s="5">
        <f ca="1">MAX(0,CP*(D3955-K))</f>
        <v>0</v>
      </c>
      <c r="F3955" s="4">
        <f ca="1">(CP*(D3955-K)&gt;0)*1</f>
        <v>0</v>
      </c>
      <c r="H3955" s="4">
        <v>3940</v>
      </c>
      <c r="I3955" s="3">
        <v>0.66782772605304552</v>
      </c>
      <c r="J3955" s="128">
        <v>1.4850581728375683E-3</v>
      </c>
      <c r="K3955" s="128"/>
      <c r="L3955" s="128">
        <v>4.3799999999999999E-2</v>
      </c>
      <c r="O3955" s="2"/>
    </row>
    <row r="3956" spans="2:15" x14ac:dyDescent="0.2">
      <c r="B3956" s="1">
        <v>3941</v>
      </c>
      <c r="C3956" s="5">
        <f ca="1"/>
        <v>-0.40071319908978037</v>
      </c>
      <c r="D3956" s="5">
        <f ca="1">S0*EXP((μ-0.5*σ*σ)*T+σ*SQRT(T)*$C3956)</f>
        <v>0.6387659722399458</v>
      </c>
      <c r="E3956" s="5">
        <f ca="1">MAX(0,CP*(D3956-K))</f>
        <v>0</v>
      </c>
      <c r="F3956" s="4">
        <f ca="1">(CP*(D3956-K)&gt;0)*1</f>
        <v>0</v>
      </c>
      <c r="H3956" s="4">
        <v>3941</v>
      </c>
      <c r="I3956" s="3">
        <v>0.66772720460470147</v>
      </c>
      <c r="J3956" s="128">
        <v>1.4179879685647105E-3</v>
      </c>
      <c r="K3956" s="128"/>
      <c r="L3956" s="128">
        <v>3.8600000000000002E-2</v>
      </c>
      <c r="O3956" s="2"/>
    </row>
    <row r="3957" spans="2:15" x14ac:dyDescent="0.2">
      <c r="B3957" s="1">
        <v>3942</v>
      </c>
      <c r="C3957" s="5">
        <f ca="1"/>
        <v>0.69066178579929105</v>
      </c>
      <c r="D3957" s="5">
        <f ca="1">S0*EXP((μ-0.5*σ*σ)*T+σ*SQRT(T)*$C3957)</f>
        <v>0.71132828414816096</v>
      </c>
      <c r="E3957" s="5">
        <f ca="1">MAX(0,CP*(D3957-K))</f>
        <v>0</v>
      </c>
      <c r="F3957" s="4">
        <f ca="1">(CP*(D3957-K)&gt;0)*1</f>
        <v>0</v>
      </c>
      <c r="H3957" s="4">
        <v>3942</v>
      </c>
      <c r="I3957" s="3">
        <v>0.6677891861551547</v>
      </c>
      <c r="J3957" s="128">
        <v>1.4377962903570833E-3</v>
      </c>
      <c r="K3957" s="128"/>
      <c r="L3957" s="128">
        <v>4.1399999999999999E-2</v>
      </c>
      <c r="O3957" s="2"/>
    </row>
    <row r="3958" spans="2:15" x14ac:dyDescent="0.2">
      <c r="B3958" s="1">
        <v>3943</v>
      </c>
      <c r="C3958" s="5">
        <f ca="1"/>
        <v>-0.33889892611097794</v>
      </c>
      <c r="D3958" s="5">
        <f ca="1">S0*EXP((μ-0.5*σ*σ)*T+σ*SQRT(T)*$C3958)</f>
        <v>0.64267056955050605</v>
      </c>
      <c r="E3958" s="5">
        <f ca="1">MAX(0,CP*(D3958-K))</f>
        <v>0</v>
      </c>
      <c r="F3958" s="4">
        <f ca="1">(CP*(D3958-K)&gt;0)*1</f>
        <v>0</v>
      </c>
      <c r="H3958" s="4">
        <v>3943</v>
      </c>
      <c r="I3958" s="3">
        <v>0.66782183435571985</v>
      </c>
      <c r="J3958" s="128">
        <v>1.3469849176709844E-3</v>
      </c>
      <c r="K3958" s="128"/>
      <c r="L3958" s="128">
        <v>4.0599999999999997E-2</v>
      </c>
      <c r="O3958" s="2"/>
    </row>
    <row r="3959" spans="2:15" x14ac:dyDescent="0.2">
      <c r="B3959" s="1">
        <v>3944</v>
      </c>
      <c r="C3959" s="5">
        <f ca="1"/>
        <v>0.12300397825353587</v>
      </c>
      <c r="D3959" s="5">
        <f ca="1">S0*EXP((μ-0.5*σ*σ)*T+σ*SQRT(T)*$C3959)</f>
        <v>0.67261298045643925</v>
      </c>
      <c r="E3959" s="5">
        <f ca="1">MAX(0,CP*(D3959-K))</f>
        <v>0</v>
      </c>
      <c r="F3959" s="4">
        <f ca="1">(CP*(D3959-K)&gt;0)*1</f>
        <v>0</v>
      </c>
      <c r="H3959" s="4">
        <v>3944</v>
      </c>
      <c r="I3959" s="3">
        <v>0.66781489056502197</v>
      </c>
      <c r="J3959" s="128">
        <v>1.3623356309753283E-3</v>
      </c>
      <c r="K3959" s="128"/>
      <c r="L3959" s="128">
        <v>4.1599999999999998E-2</v>
      </c>
      <c r="O3959" s="2"/>
    </row>
    <row r="3960" spans="2:15" x14ac:dyDescent="0.2">
      <c r="B3960" s="1">
        <v>3945</v>
      </c>
      <c r="C3960" s="5">
        <f ca="1"/>
        <v>-0.32174905215193828</v>
      </c>
      <c r="D3960" s="5">
        <f ca="1">S0*EXP((μ-0.5*σ*σ)*T+σ*SQRT(T)*$C3960)</f>
        <v>0.64375809207723478</v>
      </c>
      <c r="E3960" s="5">
        <f ca="1">MAX(0,CP*(D3960-K))</f>
        <v>0</v>
      </c>
      <c r="F3960" s="4">
        <f ca="1">(CP*(D3960-K)&gt;0)*1</f>
        <v>0</v>
      </c>
      <c r="H3960" s="4">
        <v>3945</v>
      </c>
      <c r="I3960" s="3">
        <v>0.66770191103834442</v>
      </c>
      <c r="J3960" s="128">
        <v>1.3047914945196457E-3</v>
      </c>
      <c r="K3960" s="128"/>
      <c r="L3960" s="128">
        <v>0.04</v>
      </c>
      <c r="O3960" s="2"/>
    </row>
    <row r="3961" spans="2:15" x14ac:dyDescent="0.2">
      <c r="B3961" s="1">
        <v>3946</v>
      </c>
      <c r="C3961" s="5">
        <f ca="1"/>
        <v>0.36266106872763315</v>
      </c>
      <c r="D3961" s="5">
        <f ca="1">S0*EXP((μ-0.5*σ*σ)*T+σ*SQRT(T)*$C3961)</f>
        <v>0.68869416098464031</v>
      </c>
      <c r="E3961" s="5">
        <f ca="1">MAX(0,CP*(D3961-K))</f>
        <v>0</v>
      </c>
      <c r="F3961" s="4">
        <f ca="1">(CP*(D3961-K)&gt;0)*1</f>
        <v>0</v>
      </c>
      <c r="H3961" s="4">
        <v>3946</v>
      </c>
      <c r="I3961" s="3">
        <v>0.6675781038664147</v>
      </c>
      <c r="J3961" s="128">
        <v>1.2021945616752063E-3</v>
      </c>
      <c r="K3961" s="128"/>
      <c r="L3961" s="128">
        <v>3.8600000000000002E-2</v>
      </c>
      <c r="O3961" s="2"/>
    </row>
    <row r="3962" spans="2:15" x14ac:dyDescent="0.2">
      <c r="B3962" s="1">
        <v>3947</v>
      </c>
      <c r="C3962" s="5">
        <f ca="1"/>
        <v>1.3775329721474834</v>
      </c>
      <c r="D3962" s="5">
        <f ca="1">S0*EXP((μ-0.5*σ*σ)*T+σ*SQRT(T)*$C3962)</f>
        <v>0.76116559594521749</v>
      </c>
      <c r="E3962" s="5">
        <f ca="1">MAX(0,CP*(D3962-K))</f>
        <v>0</v>
      </c>
      <c r="F3962" s="4">
        <f ca="1">(CP*(D3962-K)&gt;0)*1</f>
        <v>0</v>
      </c>
      <c r="H3962" s="4">
        <v>3947</v>
      </c>
      <c r="I3962" s="3">
        <v>0.66789061105965508</v>
      </c>
      <c r="J3962" s="128">
        <v>1.6685257631270177E-3</v>
      </c>
      <c r="K3962" s="128"/>
      <c r="L3962" s="128">
        <v>4.8399999999999999E-2</v>
      </c>
      <c r="O3962" s="2"/>
    </row>
    <row r="3963" spans="2:15" x14ac:dyDescent="0.2">
      <c r="B3963" s="1">
        <v>3948</v>
      </c>
      <c r="C3963" s="5">
        <f ca="1"/>
        <v>0.90168788008712419</v>
      </c>
      <c r="D3963" s="5">
        <f ca="1">S0*EXP((μ-0.5*σ*σ)*T+σ*SQRT(T)*$C3963)</f>
        <v>0.72628214852319506</v>
      </c>
      <c r="E3963" s="5">
        <f ca="1">MAX(0,CP*(D3963-K))</f>
        <v>0</v>
      </c>
      <c r="F3963" s="4">
        <f ca="1">(CP*(D3963-K)&gt;0)*1</f>
        <v>0</v>
      </c>
      <c r="H3963" s="4">
        <v>3948</v>
      </c>
      <c r="I3963" s="3">
        <v>0.6676709536322446</v>
      </c>
      <c r="J3963" s="128">
        <v>1.3100233700103227E-3</v>
      </c>
      <c r="K3963" s="128"/>
      <c r="L3963" s="128">
        <v>3.9E-2</v>
      </c>
      <c r="O3963" s="2"/>
    </row>
    <row r="3964" spans="2:15" x14ac:dyDescent="0.2">
      <c r="B3964" s="1">
        <v>3949</v>
      </c>
      <c r="C3964" s="5">
        <f ca="1"/>
        <v>1.4240947956754326</v>
      </c>
      <c r="D3964" s="5">
        <f ca="1">S0*EXP((μ-0.5*σ*σ)*T+σ*SQRT(T)*$C3964)</f>
        <v>0.7646676917935249</v>
      </c>
      <c r="E3964" s="5">
        <f ca="1">MAX(0,CP*(D3964-K))</f>
        <v>0</v>
      </c>
      <c r="F3964" s="4">
        <f ca="1">(CP*(D3964-K)&gt;0)*1</f>
        <v>0</v>
      </c>
      <c r="H3964" s="4">
        <v>3949</v>
      </c>
      <c r="I3964" s="3">
        <v>0.66767529863843289</v>
      </c>
      <c r="J3964" s="128">
        <v>1.2699949408860613E-3</v>
      </c>
      <c r="K3964" s="128"/>
      <c r="L3964" s="128">
        <v>3.6799999999999999E-2</v>
      </c>
      <c r="O3964" s="2"/>
    </row>
    <row r="3965" spans="2:15" x14ac:dyDescent="0.2">
      <c r="B3965" s="1">
        <v>3950</v>
      </c>
      <c r="C3965" s="5">
        <f ca="1"/>
        <v>-0.20961475423309789</v>
      </c>
      <c r="D3965" s="5">
        <f ca="1">S0*EXP((μ-0.5*σ*σ)*T+σ*SQRT(T)*$C3965)</f>
        <v>0.65091434484905686</v>
      </c>
      <c r="E3965" s="5">
        <f ca="1">MAX(0,CP*(D3965-K))</f>
        <v>0</v>
      </c>
      <c r="F3965" s="4">
        <f ca="1">(CP*(D3965-K)&gt;0)*1</f>
        <v>0</v>
      </c>
      <c r="H3965" s="4">
        <v>3950</v>
      </c>
      <c r="I3965" s="3">
        <v>0.6676299608124644</v>
      </c>
      <c r="J3965" s="128">
        <v>1.1436294719570244E-3</v>
      </c>
      <c r="K3965" s="128"/>
      <c r="L3965" s="128">
        <v>3.5999999999999997E-2</v>
      </c>
      <c r="O3965" s="2"/>
    </row>
    <row r="3966" spans="2:15" x14ac:dyDescent="0.2">
      <c r="B3966" s="1">
        <v>3951</v>
      </c>
      <c r="C3966" s="5">
        <f ca="1"/>
        <v>0.27218491625373969</v>
      </c>
      <c r="D3966" s="5">
        <f ca="1">S0*EXP((μ-0.5*σ*σ)*T+σ*SQRT(T)*$C3966)</f>
        <v>0.68257845255769944</v>
      </c>
      <c r="E3966" s="5">
        <f ca="1">MAX(0,CP*(D3966-K))</f>
        <v>0</v>
      </c>
      <c r="F3966" s="4">
        <f ca="1">(CP*(D3966-K)&gt;0)*1</f>
        <v>0</v>
      </c>
      <c r="H3966" s="4">
        <v>3951</v>
      </c>
      <c r="I3966" s="3">
        <v>0.66757914275316321</v>
      </c>
      <c r="J3966" s="128">
        <v>1.2062295263577298E-3</v>
      </c>
      <c r="K3966" s="128"/>
      <c r="L3966" s="128">
        <v>3.8800000000000001E-2</v>
      </c>
      <c r="O3966" s="2"/>
    </row>
    <row r="3967" spans="2:15" x14ac:dyDescent="0.2">
      <c r="B3967" s="1">
        <v>3952</v>
      </c>
      <c r="C3967" s="5">
        <f ca="1"/>
        <v>-0.16200623892004043</v>
      </c>
      <c r="D3967" s="5">
        <f ca="1">S0*EXP((μ-0.5*σ*σ)*T+σ*SQRT(T)*$C3967)</f>
        <v>0.6539766594344314</v>
      </c>
      <c r="E3967" s="5">
        <f ca="1">MAX(0,CP*(D3967-K))</f>
        <v>0</v>
      </c>
      <c r="F3967" s="4">
        <f ca="1">(CP*(D3967-K)&gt;0)*1</f>
        <v>0</v>
      </c>
      <c r="H3967" s="4">
        <v>3952</v>
      </c>
      <c r="I3967" s="3">
        <v>0.66793610688160732</v>
      </c>
      <c r="J3967" s="128">
        <v>1.5195168008180272E-3</v>
      </c>
      <c r="K3967" s="128"/>
      <c r="L3967" s="128">
        <v>4.6199999999999998E-2</v>
      </c>
      <c r="O3967" s="2"/>
    </row>
    <row r="3968" spans="2:15" x14ac:dyDescent="0.2">
      <c r="B3968" s="1">
        <v>3953</v>
      </c>
      <c r="C3968" s="5">
        <f ca="1"/>
        <v>0.30819282757065736</v>
      </c>
      <c r="D3968" s="5">
        <f ca="1">S0*EXP((μ-0.5*σ*σ)*T+σ*SQRT(T)*$C3968)</f>
        <v>0.68500586352969883</v>
      </c>
      <c r="E3968" s="5">
        <f ca="1">MAX(0,CP*(D3968-K))</f>
        <v>0</v>
      </c>
      <c r="F3968" s="4">
        <f ca="1">(CP*(D3968-K)&gt;0)*1</f>
        <v>0</v>
      </c>
      <c r="H3968" s="4">
        <v>3953</v>
      </c>
      <c r="I3968" s="3">
        <v>0.6677464639381222</v>
      </c>
      <c r="J3968" s="128">
        <v>1.2441121759624349E-3</v>
      </c>
      <c r="K3968" s="128"/>
      <c r="L3968" s="128">
        <v>4.1599999999999998E-2</v>
      </c>
      <c r="O3968" s="2"/>
    </row>
    <row r="3969" spans="2:15" x14ac:dyDescent="0.2">
      <c r="B3969" s="1">
        <v>3954</v>
      </c>
      <c r="C3969" s="5">
        <f ca="1"/>
        <v>-0.33367600358515875</v>
      </c>
      <c r="D3969" s="5">
        <f ca="1">S0*EXP((μ-0.5*σ*σ)*T+σ*SQRT(T)*$C3969)</f>
        <v>0.64300157529717028</v>
      </c>
      <c r="E3969" s="5">
        <f ca="1">MAX(0,CP*(D3969-K))</f>
        <v>0</v>
      </c>
      <c r="F3969" s="4">
        <f ca="1">(CP*(D3969-K)&gt;0)*1</f>
        <v>0</v>
      </c>
      <c r="H3969" s="4">
        <v>3954</v>
      </c>
      <c r="I3969" s="3">
        <v>0.66790293737117346</v>
      </c>
      <c r="J3969" s="128">
        <v>1.4856556181406134E-3</v>
      </c>
      <c r="K3969" s="128"/>
      <c r="L3969" s="128">
        <v>4.5199999999999997E-2</v>
      </c>
      <c r="O3969" s="2"/>
    </row>
    <row r="3970" spans="2:15" x14ac:dyDescent="0.2">
      <c r="B3970" s="1">
        <v>3955</v>
      </c>
      <c r="C3970" s="5">
        <f ca="1"/>
        <v>-1.0020231517266773</v>
      </c>
      <c r="D3970" s="5">
        <f ca="1">S0*EXP((μ-0.5*σ*σ)*T+σ*SQRT(T)*$C3970)</f>
        <v>0.60199944290853147</v>
      </c>
      <c r="E3970" s="5">
        <f ca="1">MAX(0,CP*(D3970-K))</f>
        <v>0</v>
      </c>
      <c r="F3970" s="4">
        <f ca="1">(CP*(D3970-K)&gt;0)*1</f>
        <v>0</v>
      </c>
      <c r="H3970" s="4">
        <v>3955</v>
      </c>
      <c r="I3970" s="3">
        <v>0.66772839423196617</v>
      </c>
      <c r="J3970" s="128">
        <v>1.4898696908061482E-3</v>
      </c>
      <c r="K3970" s="128"/>
      <c r="L3970" s="128">
        <v>4.4200000000000003E-2</v>
      </c>
      <c r="O3970" s="2"/>
    </row>
    <row r="3971" spans="2:15" x14ac:dyDescent="0.2">
      <c r="B3971" s="1">
        <v>3956</v>
      </c>
      <c r="C3971" s="5">
        <f ca="1"/>
        <v>-0.69056987025764049</v>
      </c>
      <c r="D3971" s="5">
        <f ca="1">S0*EXP((μ-0.5*σ*σ)*T+σ*SQRT(T)*$C3971)</f>
        <v>0.62077078708184874</v>
      </c>
      <c r="E3971" s="5">
        <f ca="1">MAX(0,CP*(D3971-K))</f>
        <v>0</v>
      </c>
      <c r="F3971" s="4">
        <f ca="1">(CP*(D3971-K)&gt;0)*1</f>
        <v>0</v>
      </c>
      <c r="H3971" s="4">
        <v>3956</v>
      </c>
      <c r="I3971" s="3">
        <v>0.66783039403778333</v>
      </c>
      <c r="J3971" s="128">
        <v>1.3473794414583082E-3</v>
      </c>
      <c r="K3971" s="128"/>
      <c r="L3971" s="128">
        <v>4.58E-2</v>
      </c>
      <c r="O3971" s="2"/>
    </row>
    <row r="3972" spans="2:15" x14ac:dyDescent="0.2">
      <c r="B3972" s="1">
        <v>3957</v>
      </c>
      <c r="C3972" s="5">
        <f ca="1"/>
        <v>-0.36632584342059354</v>
      </c>
      <c r="D3972" s="5">
        <f ca="1">S0*EXP((μ-0.5*σ*σ)*T+σ*SQRT(T)*$C3972)</f>
        <v>0.64093516749736057</v>
      </c>
      <c r="E3972" s="5">
        <f ca="1">MAX(0,CP*(D3972-K))</f>
        <v>0</v>
      </c>
      <c r="F3972" s="4">
        <f ca="1">(CP*(D3972-K)&gt;0)*1</f>
        <v>0</v>
      </c>
      <c r="H3972" s="4">
        <v>3957</v>
      </c>
      <c r="I3972" s="3">
        <v>0.66778036779303462</v>
      </c>
      <c r="J3972" s="128">
        <v>1.4708989674905842E-3</v>
      </c>
      <c r="K3972" s="128"/>
      <c r="L3972" s="128">
        <v>4.0599999999999997E-2</v>
      </c>
      <c r="O3972" s="2"/>
    </row>
    <row r="3973" spans="2:15" x14ac:dyDescent="0.2">
      <c r="B3973" s="1">
        <v>3958</v>
      </c>
      <c r="C3973" s="5">
        <f ca="1"/>
        <v>0.19275073599447276</v>
      </c>
      <c r="D3973" s="5">
        <f ca="1">S0*EXP((μ-0.5*σ*σ)*T+σ*SQRT(T)*$C3973)</f>
        <v>0.67725391007855795</v>
      </c>
      <c r="E3973" s="5">
        <f ca="1">MAX(0,CP*(D3973-K))</f>
        <v>0</v>
      </c>
      <c r="F3973" s="4">
        <f ca="1">(CP*(D3973-K)&gt;0)*1</f>
        <v>0</v>
      </c>
      <c r="H3973" s="4">
        <v>3958</v>
      </c>
      <c r="I3973" s="3">
        <v>0.66770994713737897</v>
      </c>
      <c r="J3973" s="128">
        <v>1.3566840847118321E-3</v>
      </c>
      <c r="K3973" s="128"/>
      <c r="L3973" s="128">
        <v>4.0800000000000003E-2</v>
      </c>
      <c r="O3973" s="2"/>
    </row>
    <row r="3974" spans="2:15" x14ac:dyDescent="0.2">
      <c r="B3974" s="1">
        <v>3959</v>
      </c>
      <c r="C3974" s="5">
        <f ca="1"/>
        <v>-0.52438048820040517</v>
      </c>
      <c r="D3974" s="5">
        <f ca="1">S0*EXP((μ-0.5*σ*σ)*T+σ*SQRT(T)*$C3974)</f>
        <v>0.63102539132263213</v>
      </c>
      <c r="E3974" s="5">
        <f ca="1">MAX(0,CP*(D3974-K))</f>
        <v>0</v>
      </c>
      <c r="F3974" s="4">
        <f ca="1">(CP*(D3974-K)&gt;0)*1</f>
        <v>0</v>
      </c>
      <c r="H3974" s="4">
        <v>3959</v>
      </c>
      <c r="I3974" s="3">
        <v>0.6676988130841367</v>
      </c>
      <c r="J3974" s="128">
        <v>1.2544505866285837E-3</v>
      </c>
      <c r="K3974" s="128"/>
      <c r="L3974" s="128">
        <v>3.9399999999999998E-2</v>
      </c>
      <c r="O3974" s="2"/>
    </row>
    <row r="3975" spans="2:15" x14ac:dyDescent="0.2">
      <c r="B3975" s="1">
        <v>3960</v>
      </c>
      <c r="C3975" s="5">
        <f ca="1"/>
        <v>0.7174286130407469</v>
      </c>
      <c r="D3975" s="5">
        <f ca="1">S0*EXP((μ-0.5*σ*σ)*T+σ*SQRT(T)*$C3975)</f>
        <v>0.71320786860194041</v>
      </c>
      <c r="E3975" s="5">
        <f ca="1">MAX(0,CP*(D3975-K))</f>
        <v>0</v>
      </c>
      <c r="F3975" s="4">
        <f ca="1">(CP*(D3975-K)&gt;0)*1</f>
        <v>0</v>
      </c>
      <c r="H3975" s="4">
        <v>3960</v>
      </c>
      <c r="I3975" s="3">
        <v>0.66768690863101909</v>
      </c>
      <c r="J3975" s="128">
        <v>1.2753548484024651E-3</v>
      </c>
      <c r="K3975" s="128"/>
      <c r="L3975" s="128">
        <v>3.8800000000000001E-2</v>
      </c>
      <c r="O3975" s="2"/>
    </row>
    <row r="3976" spans="2:15" x14ac:dyDescent="0.2">
      <c r="B3976" s="1">
        <v>3961</v>
      </c>
      <c r="C3976" s="5">
        <f ca="1"/>
        <v>-1.1476395913283628</v>
      </c>
      <c r="D3976" s="5">
        <f ca="1">S0*EXP((μ-0.5*σ*σ)*T+σ*SQRT(T)*$C3976)</f>
        <v>0.59341890348371051</v>
      </c>
      <c r="E3976" s="5">
        <f ca="1">MAX(0,CP*(D3976-K))</f>
        <v>0</v>
      </c>
      <c r="F3976" s="4">
        <f ca="1">(CP*(D3976-K)&gt;0)*1</f>
        <v>0</v>
      </c>
      <c r="H3976" s="4">
        <v>3961</v>
      </c>
      <c r="I3976" s="3">
        <v>0.66784717310391117</v>
      </c>
      <c r="J3976" s="128">
        <v>1.4081538411881767E-3</v>
      </c>
      <c r="K3976" s="128"/>
      <c r="L3976" s="128">
        <v>4.2999999999999997E-2</v>
      </c>
      <c r="O3976" s="2"/>
    </row>
    <row r="3977" spans="2:15" x14ac:dyDescent="0.2">
      <c r="B3977" s="1">
        <v>3962</v>
      </c>
      <c r="C3977" s="5">
        <f ca="1"/>
        <v>0.22724426963528288</v>
      </c>
      <c r="D3977" s="5">
        <f ca="1">S0*EXP((μ-0.5*σ*σ)*T+σ*SQRT(T)*$C3977)</f>
        <v>0.67956092060263418</v>
      </c>
      <c r="E3977" s="5">
        <f ca="1">MAX(0,CP*(D3977-K))</f>
        <v>0</v>
      </c>
      <c r="F3977" s="4">
        <f ca="1">(CP*(D3977-K)&gt;0)*1</f>
        <v>0</v>
      </c>
      <c r="H3977" s="4">
        <v>3962</v>
      </c>
      <c r="I3977" s="3">
        <v>0.6677235878930563</v>
      </c>
      <c r="J3977" s="128">
        <v>1.315824739278352E-3</v>
      </c>
      <c r="K3977" s="128"/>
      <c r="L3977" s="128">
        <v>4.0599999999999997E-2</v>
      </c>
      <c r="O3977" s="2"/>
    </row>
    <row r="3978" spans="2:15" x14ac:dyDescent="0.2">
      <c r="B3978" s="1">
        <v>3963</v>
      </c>
      <c r="C3978" s="5">
        <f ca="1"/>
        <v>-1.2255888948688385</v>
      </c>
      <c r="D3978" s="5">
        <f ca="1">S0*EXP((μ-0.5*σ*σ)*T+σ*SQRT(T)*$C3978)</f>
        <v>0.58887606112396429</v>
      </c>
      <c r="E3978" s="5">
        <f ca="1">MAX(0,CP*(D3978-K))</f>
        <v>0</v>
      </c>
      <c r="F3978" s="4">
        <f ca="1">(CP*(D3978-K)&gt;0)*1</f>
        <v>0</v>
      </c>
      <c r="H3978" s="4">
        <v>3963</v>
      </c>
      <c r="I3978" s="3">
        <v>0.66784432465331323</v>
      </c>
      <c r="J3978" s="128">
        <v>1.4254942801163058E-3</v>
      </c>
      <c r="K3978" s="128"/>
      <c r="L3978" s="128">
        <v>4.4999999999999998E-2</v>
      </c>
      <c r="O3978" s="2"/>
    </row>
    <row r="3979" spans="2:15" x14ac:dyDescent="0.2">
      <c r="B3979" s="1">
        <v>3964</v>
      </c>
      <c r="C3979" s="5">
        <f ca="1"/>
        <v>0.36816882821014507</v>
      </c>
      <c r="D3979" s="5">
        <f ca="1">S0*EXP((μ-0.5*σ*σ)*T+σ*SQRT(T)*$C3979)</f>
        <v>0.68906822075570751</v>
      </c>
      <c r="E3979" s="5">
        <f ca="1">MAX(0,CP*(D3979-K))</f>
        <v>0</v>
      </c>
      <c r="F3979" s="4">
        <f ca="1">(CP*(D3979-K)&gt;0)*1</f>
        <v>0</v>
      </c>
      <c r="H3979" s="4">
        <v>3964</v>
      </c>
      <c r="I3979" s="3">
        <v>0.6677383342211991</v>
      </c>
      <c r="J3979" s="128">
        <v>1.403800095998112E-3</v>
      </c>
      <c r="K3979" s="128"/>
      <c r="L3979" s="128">
        <v>4.3999999999999997E-2</v>
      </c>
      <c r="O3979" s="2"/>
    </row>
    <row r="3980" spans="2:15" x14ac:dyDescent="0.2">
      <c r="B3980" s="1">
        <v>3965</v>
      </c>
      <c r="C3980" s="5">
        <f ca="1"/>
        <v>1.1034955693533819</v>
      </c>
      <c r="D3980" s="5">
        <f ca="1">S0*EXP((μ-0.5*σ*σ)*T+σ*SQRT(T)*$C3980)</f>
        <v>0.74087675069482806</v>
      </c>
      <c r="E3980" s="5">
        <f ca="1">MAX(0,CP*(D3980-K))</f>
        <v>0</v>
      </c>
      <c r="F3980" s="4">
        <f ca="1">(CP*(D3980-K)&gt;0)*1</f>
        <v>0</v>
      </c>
      <c r="H3980" s="4">
        <v>3965</v>
      </c>
      <c r="I3980" s="3">
        <v>0.66784005722552287</v>
      </c>
      <c r="J3980" s="128">
        <v>1.3387362828877409E-3</v>
      </c>
      <c r="K3980" s="128"/>
      <c r="L3980" s="128">
        <v>4.6399999999999997E-2</v>
      </c>
      <c r="O3980" s="2"/>
    </row>
    <row r="3981" spans="2:15" x14ac:dyDescent="0.2">
      <c r="B3981" s="1">
        <v>3966</v>
      </c>
      <c r="C3981" s="5">
        <f ca="1"/>
        <v>-1.2762950186788491</v>
      </c>
      <c r="D3981" s="5">
        <f ca="1">S0*EXP((μ-0.5*σ*σ)*T+σ*SQRT(T)*$C3981)</f>
        <v>0.58593962222491836</v>
      </c>
      <c r="E3981" s="5">
        <f ca="1">MAX(0,CP*(D3981-K))</f>
        <v>0</v>
      </c>
      <c r="F3981" s="4">
        <f ca="1">(CP*(D3981-K)&gt;0)*1</f>
        <v>0</v>
      </c>
      <c r="H3981" s="4">
        <v>3966</v>
      </c>
      <c r="I3981" s="3">
        <v>0.66757341043078311</v>
      </c>
      <c r="J3981" s="128">
        <v>1.2094136654017336E-3</v>
      </c>
      <c r="K3981" s="128"/>
      <c r="L3981" s="128">
        <v>3.9600000000000003E-2</v>
      </c>
      <c r="O3981" s="2"/>
    </row>
    <row r="3982" spans="2:15" x14ac:dyDescent="0.2">
      <c r="B3982" s="1">
        <v>3967</v>
      </c>
      <c r="C3982" s="5">
        <f ca="1"/>
        <v>0.37022072791794947</v>
      </c>
      <c r="D3982" s="5">
        <f ca="1">S0*EXP((μ-0.5*σ*σ)*T+σ*SQRT(T)*$C3982)</f>
        <v>0.68920762756877874</v>
      </c>
      <c r="E3982" s="5">
        <f ca="1">MAX(0,CP*(D3982-K))</f>
        <v>0</v>
      </c>
      <c r="F3982" s="4">
        <f ca="1">(CP*(D3982-K)&gt;0)*1</f>
        <v>0</v>
      </c>
      <c r="H3982" s="4">
        <v>3967</v>
      </c>
      <c r="I3982" s="3">
        <v>0.66767595230941335</v>
      </c>
      <c r="J3982" s="128">
        <v>1.3427408618918622E-3</v>
      </c>
      <c r="K3982" s="128"/>
      <c r="L3982" s="128">
        <v>4.1200000000000001E-2</v>
      </c>
      <c r="O3982" s="2"/>
    </row>
    <row r="3983" spans="2:15" x14ac:dyDescent="0.2">
      <c r="B3983" s="1">
        <v>3968</v>
      </c>
      <c r="C3983" s="5">
        <f ca="1"/>
        <v>-0.12959479295209742</v>
      </c>
      <c r="D3983" s="5">
        <f ca="1">S0*EXP((μ-0.5*σ*σ)*T+σ*SQRT(T)*$C3983)</f>
        <v>0.65606969411563654</v>
      </c>
      <c r="E3983" s="5">
        <f ca="1">MAX(0,CP*(D3983-K))</f>
        <v>0</v>
      </c>
      <c r="F3983" s="4">
        <f ca="1">(CP*(D3983-K)&gt;0)*1</f>
        <v>0</v>
      </c>
      <c r="H3983" s="4">
        <v>3968</v>
      </c>
      <c r="I3983" s="3">
        <v>0.6678214982687255</v>
      </c>
      <c r="J3983" s="128">
        <v>1.30731666514863E-3</v>
      </c>
      <c r="K3983" s="128"/>
      <c r="L3983" s="128">
        <v>4.2599999999999999E-2</v>
      </c>
      <c r="O3983" s="2"/>
    </row>
    <row r="3984" spans="2:15" x14ac:dyDescent="0.2">
      <c r="B3984" s="1">
        <v>3969</v>
      </c>
      <c r="C3984" s="5">
        <f ca="1"/>
        <v>2.0866831152978058</v>
      </c>
      <c r="D3984" s="5">
        <f ca="1">S0*EXP((μ-0.5*σ*σ)*T+σ*SQRT(T)*$C3984)</f>
        <v>0.81628556883744718</v>
      </c>
      <c r="E3984" s="5">
        <f ca="1">MAX(0,CP*(D3984-K))</f>
        <v>2.8085568837447172E-2</v>
      </c>
      <c r="F3984" s="4">
        <f ca="1">(CP*(D3984-K)&gt;0)*1</f>
        <v>1</v>
      </c>
      <c r="H3984" s="4">
        <v>3969</v>
      </c>
      <c r="I3984" s="3">
        <v>0.66770833122017315</v>
      </c>
      <c r="J3984" s="128">
        <v>1.3546771987339272E-3</v>
      </c>
      <c r="K3984" s="128"/>
      <c r="L3984" s="128">
        <v>4.2999999999999997E-2</v>
      </c>
      <c r="O3984" s="2"/>
    </row>
    <row r="3985" spans="2:15" x14ac:dyDescent="0.2">
      <c r="B3985" s="1">
        <v>3970</v>
      </c>
      <c r="C3985" s="5">
        <f ca="1"/>
        <v>-0.71046902719009597</v>
      </c>
      <c r="D3985" s="5">
        <f ca="1">S0*EXP((μ-0.5*σ*σ)*T+σ*SQRT(T)*$C3985)</f>
        <v>0.61955414807210518</v>
      </c>
      <c r="E3985" s="5">
        <f ca="1">MAX(0,CP*(D3985-K))</f>
        <v>0</v>
      </c>
      <c r="F3985" s="4">
        <f ca="1">(CP*(D3985-K)&gt;0)*1</f>
        <v>0</v>
      </c>
      <c r="H3985" s="4">
        <v>3970</v>
      </c>
      <c r="I3985" s="3">
        <v>0.66784501932397122</v>
      </c>
      <c r="J3985" s="128">
        <v>1.4314534534347492E-3</v>
      </c>
      <c r="K3985" s="128"/>
      <c r="L3985" s="128">
        <v>4.6399999999999997E-2</v>
      </c>
      <c r="O3985" s="2"/>
    </row>
    <row r="3986" spans="2:15" x14ac:dyDescent="0.2">
      <c r="B3986" s="1">
        <v>3971</v>
      </c>
      <c r="C3986" s="5">
        <f ca="1"/>
        <v>1.0679804472928625</v>
      </c>
      <c r="D3986" s="5">
        <f ca="1">S0*EXP((μ-0.5*σ*σ)*T+σ*SQRT(T)*$C3986)</f>
        <v>0.73828722089675747</v>
      </c>
      <c r="E3986" s="5">
        <f ca="1">MAX(0,CP*(D3986-K))</f>
        <v>0</v>
      </c>
      <c r="F3986" s="4">
        <f ca="1">(CP*(D3986-K)&gt;0)*1</f>
        <v>0</v>
      </c>
      <c r="H3986" s="4">
        <v>3971</v>
      </c>
      <c r="I3986" s="3">
        <v>0.66773529240373797</v>
      </c>
      <c r="J3986" s="128">
        <v>1.3409211329937188E-3</v>
      </c>
      <c r="K3986" s="128"/>
      <c r="L3986" s="128">
        <v>4.0599999999999997E-2</v>
      </c>
      <c r="O3986" s="2"/>
    </row>
    <row r="3987" spans="2:15" x14ac:dyDescent="0.2">
      <c r="B3987" s="1">
        <v>3972</v>
      </c>
      <c r="C3987" s="5">
        <f ca="1"/>
        <v>-5.9559642426238173E-2</v>
      </c>
      <c r="D3987" s="5">
        <f ca="1">S0*EXP((μ-0.5*σ*σ)*T+σ*SQRT(T)*$C3987)</f>
        <v>0.66061525981003466</v>
      </c>
      <c r="E3987" s="5">
        <f ca="1">MAX(0,CP*(D3987-K))</f>
        <v>0</v>
      </c>
      <c r="F3987" s="4">
        <f ca="1">(CP*(D3987-K)&gt;0)*1</f>
        <v>0</v>
      </c>
      <c r="H3987" s="4">
        <v>3972</v>
      </c>
      <c r="I3987" s="3">
        <v>0.66759946403739301</v>
      </c>
      <c r="J3987" s="128">
        <v>1.1345145782597874E-3</v>
      </c>
      <c r="K3987" s="128"/>
      <c r="L3987" s="128">
        <v>4.0800000000000003E-2</v>
      </c>
      <c r="O3987" s="2"/>
    </row>
    <row r="3988" spans="2:15" x14ac:dyDescent="0.2">
      <c r="B3988" s="1">
        <v>3973</v>
      </c>
      <c r="C3988" s="5">
        <f ca="1"/>
        <v>2.4972625492358406E-2</v>
      </c>
      <c r="D3988" s="5">
        <f ca="1">S0*EXP((μ-0.5*σ*σ)*T+σ*SQRT(T)*$C3988)</f>
        <v>0.66614371464710775</v>
      </c>
      <c r="E3988" s="5">
        <f ca="1">MAX(0,CP*(D3988-K))</f>
        <v>0</v>
      </c>
      <c r="F3988" s="4">
        <f ca="1">(CP*(D3988-K)&gt;0)*1</f>
        <v>0</v>
      </c>
      <c r="H3988" s="4">
        <v>3973</v>
      </c>
      <c r="I3988" s="3">
        <v>0.66771986955245655</v>
      </c>
      <c r="J3988" s="128">
        <v>1.2723814994352743E-3</v>
      </c>
      <c r="K3988" s="128"/>
      <c r="L3988" s="128">
        <v>0.04</v>
      </c>
      <c r="O3988" s="2"/>
    </row>
    <row r="3989" spans="2:15" x14ac:dyDescent="0.2">
      <c r="B3989" s="1">
        <v>3974</v>
      </c>
      <c r="C3989" s="5">
        <f ca="1"/>
        <v>7.3860828339582657E-2</v>
      </c>
      <c r="D3989" s="5">
        <f ca="1">S0*EXP((μ-0.5*σ*σ)*T+σ*SQRT(T)*$C3989)</f>
        <v>0.66936212003490392</v>
      </c>
      <c r="E3989" s="5">
        <f ca="1">MAX(0,CP*(D3989-K))</f>
        <v>0</v>
      </c>
      <c r="F3989" s="4">
        <f ca="1">(CP*(D3989-K)&gt;0)*1</f>
        <v>0</v>
      </c>
      <c r="H3989" s="4">
        <v>3974</v>
      </c>
      <c r="I3989" s="3">
        <v>0.66764895940261015</v>
      </c>
      <c r="J3989" s="128">
        <v>1.2312398188576306E-3</v>
      </c>
      <c r="K3989" s="128"/>
      <c r="L3989" s="128">
        <v>0.04</v>
      </c>
      <c r="O3989" s="2"/>
    </row>
    <row r="3990" spans="2:15" x14ac:dyDescent="0.2">
      <c r="B3990" s="1">
        <v>3975</v>
      </c>
      <c r="C3990" s="5">
        <f ca="1"/>
        <v>-0.27090878557449555</v>
      </c>
      <c r="D3990" s="5">
        <f ca="1">S0*EXP((μ-0.5*σ*σ)*T+σ*SQRT(T)*$C3990)</f>
        <v>0.6469928447747112</v>
      </c>
      <c r="E3990" s="5">
        <f ca="1">MAX(0,CP*(D3990-K))</f>
        <v>0</v>
      </c>
      <c r="F3990" s="4">
        <f ca="1">(CP*(D3990-K)&gt;0)*1</f>
        <v>0</v>
      </c>
      <c r="H3990" s="4">
        <v>3975</v>
      </c>
      <c r="I3990" s="3">
        <v>0.66768974385374746</v>
      </c>
      <c r="J3990" s="128">
        <v>1.4274532435233835E-3</v>
      </c>
      <c r="K3990" s="128"/>
      <c r="L3990" s="128">
        <v>4.2200000000000001E-2</v>
      </c>
      <c r="O3990" s="2"/>
    </row>
    <row r="3991" spans="2:15" x14ac:dyDescent="0.2">
      <c r="B3991" s="1">
        <v>3976</v>
      </c>
      <c r="C3991" s="5">
        <f ca="1"/>
        <v>0.18727755664763523</v>
      </c>
      <c r="D3991" s="5">
        <f ca="1">S0*EXP((μ-0.5*σ*σ)*T+σ*SQRT(T)*$C3991)</f>
        <v>0.67688857131337266</v>
      </c>
      <c r="E3991" s="5">
        <f ca="1">MAX(0,CP*(D3991-K))</f>
        <v>0</v>
      </c>
      <c r="F3991" s="4">
        <f ca="1">(CP*(D3991-K)&gt;0)*1</f>
        <v>0</v>
      </c>
      <c r="H3991" s="4">
        <v>3976</v>
      </c>
      <c r="I3991" s="3">
        <v>0.66778202898317307</v>
      </c>
      <c r="J3991" s="128">
        <v>1.364265158086371E-3</v>
      </c>
      <c r="K3991" s="128"/>
      <c r="L3991" s="128">
        <v>4.3400000000000001E-2</v>
      </c>
      <c r="O3991" s="2"/>
    </row>
    <row r="3992" spans="2:15" x14ac:dyDescent="0.2">
      <c r="B3992" s="1">
        <v>3977</v>
      </c>
      <c r="C3992" s="5">
        <f ca="1"/>
        <v>1.3012039319623068</v>
      </c>
      <c r="D3992" s="5">
        <f ca="1">S0*EXP((μ-0.5*σ*σ)*T+σ*SQRT(T)*$C3992)</f>
        <v>0.75545925594018215</v>
      </c>
      <c r="E3992" s="5">
        <f ca="1">MAX(0,CP*(D3992-K))</f>
        <v>0</v>
      </c>
      <c r="F3992" s="4">
        <f ca="1">(CP*(D3992-K)&gt;0)*1</f>
        <v>0</v>
      </c>
      <c r="H3992" s="4">
        <v>3977</v>
      </c>
      <c r="I3992" s="3">
        <v>0.66763712080395987</v>
      </c>
      <c r="J3992" s="128">
        <v>1.3213007607468703E-3</v>
      </c>
      <c r="K3992" s="128"/>
      <c r="L3992" s="128">
        <v>3.8800000000000001E-2</v>
      </c>
      <c r="O3992" s="2"/>
    </row>
    <row r="3993" spans="2:15" x14ac:dyDescent="0.2">
      <c r="B3993" s="1">
        <v>3978</v>
      </c>
      <c r="C3993" s="5">
        <f ca="1"/>
        <v>-0.7673472327989791</v>
      </c>
      <c r="D3993" s="5">
        <f ca="1">S0*EXP((μ-0.5*σ*σ)*T+σ*SQRT(T)*$C3993)</f>
        <v>0.61608973397638267</v>
      </c>
      <c r="E3993" s="5">
        <f ca="1">MAX(0,CP*(D3993-K))</f>
        <v>0</v>
      </c>
      <c r="F3993" s="4">
        <f ca="1">(CP*(D3993-K)&gt;0)*1</f>
        <v>0</v>
      </c>
      <c r="H3993" s="4">
        <v>3978</v>
      </c>
      <c r="I3993" s="3">
        <v>0.6679042044272131</v>
      </c>
      <c r="J3993" s="128">
        <v>1.5497453875752494E-3</v>
      </c>
      <c r="K3993" s="128"/>
      <c r="L3993" s="128">
        <v>4.36E-2</v>
      </c>
      <c r="O3993" s="2"/>
    </row>
    <row r="3994" spans="2:15" x14ac:dyDescent="0.2">
      <c r="B3994" s="1">
        <v>3979</v>
      </c>
      <c r="C3994" s="5">
        <f ca="1"/>
        <v>-1.2140429437754161</v>
      </c>
      <c r="D3994" s="5">
        <f ca="1">S0*EXP((μ-0.5*σ*σ)*T+σ*SQRT(T)*$C3994)</f>
        <v>0.58954675220811781</v>
      </c>
      <c r="E3994" s="5">
        <f ca="1">MAX(0,CP*(D3994-K))</f>
        <v>0</v>
      </c>
      <c r="F3994" s="4">
        <f ca="1">(CP*(D3994-K)&gt;0)*1</f>
        <v>0</v>
      </c>
      <c r="H3994" s="4">
        <v>3979</v>
      </c>
      <c r="I3994" s="3">
        <v>0.66781435836874858</v>
      </c>
      <c r="J3994" s="128">
        <v>1.3906191714051991E-3</v>
      </c>
      <c r="K3994" s="128"/>
      <c r="L3994" s="128">
        <v>4.3799999999999999E-2</v>
      </c>
      <c r="O3994" s="2"/>
    </row>
    <row r="3995" spans="2:15" x14ac:dyDescent="0.2">
      <c r="B3995" s="1">
        <v>3980</v>
      </c>
      <c r="C3995" s="5">
        <f ca="1"/>
        <v>-1.4171270889052119</v>
      </c>
      <c r="D3995" s="5">
        <f ca="1">S0*EXP((μ-0.5*σ*σ)*T+σ*SQRT(T)*$C3995)</f>
        <v>0.5778604901755553</v>
      </c>
      <c r="E3995" s="5">
        <f ca="1">MAX(0,CP*(D3995-K))</f>
        <v>0</v>
      </c>
      <c r="F3995" s="4">
        <f ca="1">(CP*(D3995-K)&gt;0)*1</f>
        <v>0</v>
      </c>
      <c r="H3995" s="4">
        <v>3980</v>
      </c>
      <c r="I3995" s="3">
        <v>0.66790609942797707</v>
      </c>
      <c r="J3995" s="128">
        <v>1.594458059891691E-3</v>
      </c>
      <c r="K3995" s="128"/>
      <c r="L3995" s="128">
        <v>4.7399999999999998E-2</v>
      </c>
      <c r="O3995" s="2"/>
    </row>
    <row r="3996" spans="2:15" x14ac:dyDescent="0.2">
      <c r="B3996" s="1">
        <v>3981</v>
      </c>
      <c r="C3996" s="5">
        <f ca="1"/>
        <v>1.9847792060490106</v>
      </c>
      <c r="D3996" s="5">
        <f ca="1">S0*EXP((μ-0.5*σ*σ)*T+σ*SQRT(T)*$C3996)</f>
        <v>0.8081258545574691</v>
      </c>
      <c r="E3996" s="5">
        <f ca="1">MAX(0,CP*(D3996-K))</f>
        <v>1.9925854557469092E-2</v>
      </c>
      <c r="F3996" s="4">
        <f ca="1">(CP*(D3996-K)&gt;0)*1</f>
        <v>1</v>
      </c>
      <c r="H3996" s="4">
        <v>3981</v>
      </c>
      <c r="I3996" s="3">
        <v>0.66772205720822608</v>
      </c>
      <c r="J3996" s="128">
        <v>1.2712677220396587E-3</v>
      </c>
      <c r="K3996" s="128"/>
      <c r="L3996" s="128">
        <v>4.24E-2</v>
      </c>
      <c r="O3996" s="2"/>
    </row>
    <row r="3997" spans="2:15" x14ac:dyDescent="0.2">
      <c r="B3997" s="1">
        <v>3982</v>
      </c>
      <c r="C3997" s="5">
        <f ca="1"/>
        <v>-1.8623559388859778</v>
      </c>
      <c r="D3997" s="5">
        <f ca="1">S0*EXP((μ-0.5*σ*σ)*T+σ*SQRT(T)*$C3997)</f>
        <v>0.55304451041760627</v>
      </c>
      <c r="E3997" s="5">
        <f ca="1">MAX(0,CP*(D3997-K))</f>
        <v>0</v>
      </c>
      <c r="F3997" s="4">
        <f ca="1">(CP*(D3997-K)&gt;0)*1</f>
        <v>0</v>
      </c>
      <c r="H3997" s="4">
        <v>3982</v>
      </c>
      <c r="I3997" s="3">
        <v>0.66772201303266865</v>
      </c>
      <c r="J3997" s="128">
        <v>1.2932111924395524E-3</v>
      </c>
      <c r="K3997" s="128"/>
      <c r="L3997" s="128">
        <v>4.1599999999999998E-2</v>
      </c>
      <c r="O3997" s="2"/>
    </row>
    <row r="3998" spans="2:15" x14ac:dyDescent="0.2">
      <c r="B3998" s="1">
        <v>3983</v>
      </c>
      <c r="C3998" s="5">
        <f ca="1"/>
        <v>-0.39517463452727858</v>
      </c>
      <c r="D3998" s="5">
        <f ca="1">S0*EXP((μ-0.5*σ*σ)*T+σ*SQRT(T)*$C3998)</f>
        <v>0.63911485482441333</v>
      </c>
      <c r="E3998" s="5">
        <f ca="1">MAX(0,CP*(D3998-K))</f>
        <v>0</v>
      </c>
      <c r="F3998" s="4">
        <f ca="1">(CP*(D3998-K)&gt;0)*1</f>
        <v>0</v>
      </c>
      <c r="H3998" s="4">
        <v>3983</v>
      </c>
      <c r="I3998" s="3">
        <v>0.66783408134151256</v>
      </c>
      <c r="J3998" s="128">
        <v>1.438440734175295E-3</v>
      </c>
      <c r="K3998" s="128"/>
      <c r="L3998" s="128">
        <v>4.3799999999999999E-2</v>
      </c>
      <c r="O3998" s="2"/>
    </row>
    <row r="3999" spans="2:15" x14ac:dyDescent="0.2">
      <c r="B3999" s="1">
        <v>3984</v>
      </c>
      <c r="C3999" s="5">
        <f ca="1"/>
        <v>0.46876251227635579</v>
      </c>
      <c r="D3999" s="5">
        <f ca="1">S0*EXP((μ-0.5*σ*σ)*T+σ*SQRT(T)*$C3999)</f>
        <v>0.6959358990698804</v>
      </c>
      <c r="E3999" s="5">
        <f ca="1">MAX(0,CP*(D3999-K))</f>
        <v>0</v>
      </c>
      <c r="F3999" s="4">
        <f ca="1">(CP*(D3999-K)&gt;0)*1</f>
        <v>0</v>
      </c>
      <c r="H3999" s="4">
        <v>3984</v>
      </c>
      <c r="I3999" s="3">
        <v>0.6677774729388648</v>
      </c>
      <c r="J3999" s="128">
        <v>1.4218654521875606E-3</v>
      </c>
      <c r="K3999" s="128"/>
      <c r="L3999" s="128">
        <v>4.3400000000000001E-2</v>
      </c>
      <c r="O3999" s="2"/>
    </row>
    <row r="4000" spans="2:15" x14ac:dyDescent="0.2">
      <c r="B4000" s="1">
        <v>3985</v>
      </c>
      <c r="C4000" s="5">
        <f ca="1"/>
        <v>1.4057870433882331</v>
      </c>
      <c r="D4000" s="5">
        <f ca="1">S0*EXP((μ-0.5*σ*σ)*T+σ*SQRT(T)*$C4000)</f>
        <v>0.76328877641280912</v>
      </c>
      <c r="E4000" s="5">
        <f ca="1">MAX(0,CP*(D4000-K))</f>
        <v>0</v>
      </c>
      <c r="F4000" s="4">
        <f ca="1">(CP*(D4000-K)&gt;0)*1</f>
        <v>0</v>
      </c>
      <c r="H4000" s="4">
        <v>3985</v>
      </c>
      <c r="I4000" s="3">
        <v>0.66776356776406698</v>
      </c>
      <c r="J4000" s="128">
        <v>1.465786217392417E-3</v>
      </c>
      <c r="K4000" s="128"/>
      <c r="L4000" s="128">
        <v>4.1599999999999998E-2</v>
      </c>
      <c r="O4000" s="2"/>
    </row>
    <row r="4001" spans="2:15" x14ac:dyDescent="0.2">
      <c r="B4001" s="1">
        <v>3986</v>
      </c>
      <c r="C4001" s="5">
        <f ca="1"/>
        <v>0.2733374017244618</v>
      </c>
      <c r="D4001" s="5">
        <f ca="1">S0*EXP((μ-0.5*σ*σ)*T+σ*SQRT(T)*$C4001)</f>
        <v>0.68265601195518688</v>
      </c>
      <c r="E4001" s="5">
        <f ca="1">MAX(0,CP*(D4001-K))</f>
        <v>0</v>
      </c>
      <c r="F4001" s="4">
        <f ca="1">(CP*(D4001-K)&gt;0)*1</f>
        <v>0</v>
      </c>
      <c r="H4001" s="4">
        <v>3986</v>
      </c>
      <c r="I4001" s="3">
        <v>0.66775483688745263</v>
      </c>
      <c r="J4001" s="128">
        <v>1.3461141126096922E-3</v>
      </c>
      <c r="K4001" s="128"/>
      <c r="L4001" s="128">
        <v>4.02E-2</v>
      </c>
      <c r="O4001" s="2"/>
    </row>
    <row r="4002" spans="2:15" x14ac:dyDescent="0.2">
      <c r="B4002" s="1">
        <v>3987</v>
      </c>
      <c r="C4002" s="5">
        <f ca="1"/>
        <v>-0.75297356602376386</v>
      </c>
      <c r="D4002" s="5">
        <f ca="1">S0*EXP((μ-0.5*σ*σ)*T+σ*SQRT(T)*$C4002)</f>
        <v>0.61696339108068354</v>
      </c>
      <c r="E4002" s="5">
        <f ca="1">MAX(0,CP*(D4002-K))</f>
        <v>0</v>
      </c>
      <c r="F4002" s="4">
        <f ca="1">(CP*(D4002-K)&gt;0)*1</f>
        <v>0</v>
      </c>
      <c r="H4002" s="4">
        <v>3987</v>
      </c>
      <c r="I4002" s="3">
        <v>0.66798812444222599</v>
      </c>
      <c r="J4002" s="128">
        <v>1.5935326782309221E-3</v>
      </c>
      <c r="K4002" s="128"/>
      <c r="L4002" s="128">
        <v>4.82E-2</v>
      </c>
      <c r="O4002" s="2"/>
    </row>
    <row r="4003" spans="2:15" x14ac:dyDescent="0.2">
      <c r="B4003" s="1">
        <v>3988</v>
      </c>
      <c r="C4003" s="5">
        <f ca="1"/>
        <v>1.0374457248447924</v>
      </c>
      <c r="D4003" s="5">
        <f ca="1">S0*EXP((μ-0.5*σ*σ)*T+σ*SQRT(T)*$C4003)</f>
        <v>0.73606806646878842</v>
      </c>
      <c r="E4003" s="5">
        <f ca="1">MAX(0,CP*(D4003-K))</f>
        <v>0</v>
      </c>
      <c r="F4003" s="4">
        <f ca="1">(CP*(D4003-K)&gt;0)*1</f>
        <v>0</v>
      </c>
      <c r="H4003" s="4">
        <v>3988</v>
      </c>
      <c r="I4003" s="3">
        <v>0.66778425752002124</v>
      </c>
      <c r="J4003" s="128">
        <v>1.4809186871286291E-3</v>
      </c>
      <c r="K4003" s="128"/>
      <c r="L4003" s="128">
        <v>4.5400000000000003E-2</v>
      </c>
      <c r="O4003" s="2"/>
    </row>
    <row r="4004" spans="2:15" x14ac:dyDescent="0.2">
      <c r="B4004" s="1">
        <v>3989</v>
      </c>
      <c r="C4004" s="5">
        <f ca="1"/>
        <v>0.1751670840851221</v>
      </c>
      <c r="D4004" s="5">
        <f ca="1">S0*EXP((μ-0.5*σ*σ)*T+σ*SQRT(T)*$C4004)</f>
        <v>0.67608088865759408</v>
      </c>
      <c r="E4004" s="5">
        <f ca="1">MAX(0,CP*(D4004-K))</f>
        <v>0</v>
      </c>
      <c r="F4004" s="4">
        <f ca="1">(CP*(D4004-K)&gt;0)*1</f>
        <v>0</v>
      </c>
      <c r="H4004" s="4">
        <v>3989</v>
      </c>
      <c r="I4004" s="3">
        <v>0.66769744048750213</v>
      </c>
      <c r="J4004" s="128">
        <v>1.3215362906657323E-3</v>
      </c>
      <c r="K4004" s="128"/>
      <c r="L4004" s="128">
        <v>4.1000000000000002E-2</v>
      </c>
      <c r="O4004" s="2"/>
    </row>
    <row r="4005" spans="2:15" x14ac:dyDescent="0.2">
      <c r="B4005" s="1">
        <v>3990</v>
      </c>
      <c r="C4005" s="5">
        <f ca="1"/>
        <v>-1.9268081706135507</v>
      </c>
      <c r="D4005" s="5">
        <f ca="1">S0*EXP((μ-0.5*σ*σ)*T+σ*SQRT(T)*$C4005)</f>
        <v>0.54954150584943229</v>
      </c>
      <c r="E4005" s="5">
        <f ca="1">MAX(0,CP*(D4005-K))</f>
        <v>0</v>
      </c>
      <c r="F4005" s="4">
        <f ca="1">(CP*(D4005-K)&gt;0)*1</f>
        <v>0</v>
      </c>
      <c r="H4005" s="4">
        <v>3990</v>
      </c>
      <c r="I4005" s="3">
        <v>0.6676279142807422</v>
      </c>
      <c r="J4005" s="128">
        <v>1.2388513050842519E-3</v>
      </c>
      <c r="K4005" s="128"/>
      <c r="L4005" s="128">
        <v>3.8800000000000001E-2</v>
      </c>
      <c r="O4005" s="2"/>
    </row>
    <row r="4006" spans="2:15" x14ac:dyDescent="0.2">
      <c r="B4006" s="1">
        <v>3991</v>
      </c>
      <c r="C4006" s="5">
        <f ca="1"/>
        <v>0.24939605183261421</v>
      </c>
      <c r="D4006" s="5">
        <f ca="1">S0*EXP((μ-0.5*σ*σ)*T+σ*SQRT(T)*$C4006)</f>
        <v>0.68104662736740174</v>
      </c>
      <c r="E4006" s="5">
        <f ca="1">MAX(0,CP*(D4006-K))</f>
        <v>0</v>
      </c>
      <c r="F4006" s="4">
        <f ca="1">(CP*(D4006-K)&gt;0)*1</f>
        <v>0</v>
      </c>
      <c r="H4006" s="4">
        <v>3991</v>
      </c>
      <c r="I4006" s="3">
        <v>0.66778100181738687</v>
      </c>
      <c r="J4006" s="128">
        <v>1.4011404767662473E-3</v>
      </c>
      <c r="K4006" s="128"/>
      <c r="L4006" s="128">
        <v>4.1799999999999997E-2</v>
      </c>
      <c r="O4006" s="2"/>
    </row>
    <row r="4007" spans="2:15" x14ac:dyDescent="0.2">
      <c r="B4007" s="1">
        <v>3992</v>
      </c>
      <c r="C4007" s="5">
        <f ca="1"/>
        <v>0.53876528966654247</v>
      </c>
      <c r="D4007" s="5">
        <f ca="1">S0*EXP((μ-0.5*σ*σ)*T+σ*SQRT(T)*$C4007)</f>
        <v>0.7007554404398455</v>
      </c>
      <c r="E4007" s="5">
        <f ca="1">MAX(0,CP*(D4007-K))</f>
        <v>0</v>
      </c>
      <c r="F4007" s="4">
        <f ca="1">(CP*(D4007-K)&gt;0)*1</f>
        <v>0</v>
      </c>
      <c r="H4007" s="4">
        <v>3992</v>
      </c>
      <c r="I4007" s="3">
        <v>0.66769406619471217</v>
      </c>
      <c r="J4007" s="128">
        <v>1.2853569165808044E-3</v>
      </c>
      <c r="K4007" s="128"/>
      <c r="L4007" s="128">
        <v>3.9600000000000003E-2</v>
      </c>
      <c r="O4007" s="2"/>
    </row>
    <row r="4008" spans="2:15" x14ac:dyDescent="0.2">
      <c r="B4008" s="1">
        <v>3993</v>
      </c>
      <c r="C4008" s="5">
        <f ca="1"/>
        <v>0.61008884360280224</v>
      </c>
      <c r="D4008" s="5">
        <f ca="1">S0*EXP((μ-0.5*σ*σ)*T+σ*SQRT(T)*$C4008)</f>
        <v>0.70570024308705537</v>
      </c>
      <c r="E4008" s="5">
        <f ca="1">MAX(0,CP*(D4008-K))</f>
        <v>0</v>
      </c>
      <c r="F4008" s="4">
        <f ca="1">(CP*(D4008-K)&gt;0)*1</f>
        <v>0</v>
      </c>
      <c r="H4008" s="4">
        <v>3993</v>
      </c>
      <c r="I4008" s="3">
        <v>0.66771904723521058</v>
      </c>
      <c r="J4008" s="128">
        <v>1.3969170783421335E-3</v>
      </c>
      <c r="K4008" s="128"/>
      <c r="L4008" s="128">
        <v>4.1399999999999999E-2</v>
      </c>
      <c r="O4008" s="2"/>
    </row>
    <row r="4009" spans="2:15" x14ac:dyDescent="0.2">
      <c r="B4009" s="1">
        <v>3994</v>
      </c>
      <c r="C4009" s="5">
        <f ca="1"/>
        <v>-0.12600062045473984</v>
      </c>
      <c r="D4009" s="5">
        <f ca="1">S0*EXP((μ-0.5*σ*σ)*T+σ*SQRT(T)*$C4009)</f>
        <v>0.6563022072872956</v>
      </c>
      <c r="E4009" s="5">
        <f ca="1">MAX(0,CP*(D4009-K))</f>
        <v>0</v>
      </c>
      <c r="F4009" s="4">
        <f ca="1">(CP*(D4009-K)&gt;0)*1</f>
        <v>0</v>
      </c>
      <c r="H4009" s="4">
        <v>3994</v>
      </c>
      <c r="I4009" s="3">
        <v>0.66773219625716196</v>
      </c>
      <c r="J4009" s="128">
        <v>1.2999118489019398E-3</v>
      </c>
      <c r="K4009" s="128"/>
      <c r="L4009" s="128">
        <v>3.8600000000000002E-2</v>
      </c>
      <c r="O4009" s="2"/>
    </row>
    <row r="4010" spans="2:15" x14ac:dyDescent="0.2">
      <c r="B4010" s="1">
        <v>3995</v>
      </c>
      <c r="C4010" s="5">
        <f ca="1"/>
        <v>1.2782712609350837</v>
      </c>
      <c r="D4010" s="5">
        <f ca="1">S0*EXP((μ-0.5*σ*σ)*T+σ*SQRT(T)*$C4010)</f>
        <v>0.75375318707214556</v>
      </c>
      <c r="E4010" s="5">
        <f ca="1">MAX(0,CP*(D4010-K))</f>
        <v>0</v>
      </c>
      <c r="F4010" s="4">
        <f ca="1">(CP*(D4010-K)&gt;0)*1</f>
        <v>0</v>
      </c>
      <c r="H4010" s="4">
        <v>3995</v>
      </c>
      <c r="I4010" s="3">
        <v>0.66794634338551473</v>
      </c>
      <c r="J4010" s="128">
        <v>1.529543678793777E-3</v>
      </c>
      <c r="K4010" s="128"/>
      <c r="L4010" s="128">
        <v>4.58E-2</v>
      </c>
      <c r="O4010" s="2"/>
    </row>
    <row r="4011" spans="2:15" x14ac:dyDescent="0.2">
      <c r="B4011" s="1">
        <v>3996</v>
      </c>
      <c r="C4011" s="5">
        <f ca="1"/>
        <v>-0.98711853721352771</v>
      </c>
      <c r="D4011" s="5">
        <f ca="1">S0*EXP((μ-0.5*σ*σ)*T+σ*SQRT(T)*$C4011)</f>
        <v>0.60288467607097662</v>
      </c>
      <c r="E4011" s="5">
        <f ca="1">MAX(0,CP*(D4011-K))</f>
        <v>0</v>
      </c>
      <c r="F4011" s="4">
        <f ca="1">(CP*(D4011-K)&gt;0)*1</f>
        <v>0</v>
      </c>
      <c r="H4011" s="4">
        <v>3996</v>
      </c>
      <c r="I4011" s="3">
        <v>0.66769261306021965</v>
      </c>
      <c r="J4011" s="128">
        <v>1.2101770140933422E-3</v>
      </c>
      <c r="K4011" s="128"/>
      <c r="L4011" s="128">
        <v>4.2599999999999999E-2</v>
      </c>
      <c r="O4011" s="2"/>
    </row>
    <row r="4012" spans="2:15" x14ac:dyDescent="0.2">
      <c r="B4012" s="1">
        <v>3997</v>
      </c>
      <c r="C4012" s="5">
        <f ca="1"/>
        <v>-0.64054325415816504</v>
      </c>
      <c r="D4012" s="5">
        <f ca="1">S0*EXP((μ-0.5*σ*σ)*T+σ*SQRT(T)*$C4012)</f>
        <v>0.62383998948031583</v>
      </c>
      <c r="E4012" s="5">
        <f ca="1">MAX(0,CP*(D4012-K))</f>
        <v>0</v>
      </c>
      <c r="F4012" s="4">
        <f ca="1">(CP*(D4012-K)&gt;0)*1</f>
        <v>0</v>
      </c>
      <c r="H4012" s="4">
        <v>3997</v>
      </c>
      <c r="I4012" s="3">
        <v>0.66767838180540706</v>
      </c>
      <c r="J4012" s="128">
        <v>1.2337180522546316E-3</v>
      </c>
      <c r="K4012" s="128"/>
      <c r="L4012" s="128">
        <v>3.6999999999999998E-2</v>
      </c>
      <c r="O4012" s="2"/>
    </row>
    <row r="4013" spans="2:15" x14ac:dyDescent="0.2">
      <c r="B4013" s="1">
        <v>3998</v>
      </c>
      <c r="C4013" s="5">
        <f ca="1"/>
        <v>-0.23894325848900916</v>
      </c>
      <c r="D4013" s="5">
        <f ca="1">S0*EXP((μ-0.5*σ*σ)*T+σ*SQRT(T)*$C4013)</f>
        <v>0.64903499443231516</v>
      </c>
      <c r="E4013" s="5">
        <f ca="1">MAX(0,CP*(D4013-K))</f>
        <v>0</v>
      </c>
      <c r="F4013" s="4">
        <f ca="1">(CP*(D4013-K)&gt;0)*1</f>
        <v>0</v>
      </c>
      <c r="H4013" s="4">
        <v>3998</v>
      </c>
      <c r="I4013" s="3">
        <v>0.66777403571671512</v>
      </c>
      <c r="J4013" s="128">
        <v>1.4151069474155334E-3</v>
      </c>
      <c r="K4013" s="128"/>
      <c r="L4013" s="128">
        <v>4.24E-2</v>
      </c>
      <c r="O4013" s="2"/>
    </row>
    <row r="4014" spans="2:15" x14ac:dyDescent="0.2">
      <c r="B4014" s="1">
        <v>3999</v>
      </c>
      <c r="C4014" s="5">
        <f ca="1"/>
        <v>1.377428547858031</v>
      </c>
      <c r="D4014" s="5">
        <f ca="1">S0*EXP((μ-0.5*σ*σ)*T+σ*SQRT(T)*$C4014)</f>
        <v>0.76115775984170675</v>
      </c>
      <c r="E4014" s="5">
        <f ca="1">MAX(0,CP*(D4014-K))</f>
        <v>0</v>
      </c>
      <c r="F4014" s="4">
        <f ca="1">(CP*(D4014-K)&gt;0)*1</f>
        <v>0</v>
      </c>
      <c r="H4014" s="4">
        <v>3999</v>
      </c>
      <c r="I4014" s="3">
        <v>0.66771082968553097</v>
      </c>
      <c r="J4014" s="128">
        <v>1.3683108820624615E-3</v>
      </c>
      <c r="K4014" s="128"/>
      <c r="L4014" s="128">
        <v>4.3400000000000001E-2</v>
      </c>
      <c r="O4014" s="2"/>
    </row>
    <row r="4015" spans="2:15" x14ac:dyDescent="0.2">
      <c r="B4015" s="1">
        <v>4000</v>
      </c>
      <c r="C4015" s="5">
        <f ca="1"/>
        <v>-0.56271188810264272</v>
      </c>
      <c r="D4015" s="5">
        <f ca="1">S0*EXP((μ-0.5*σ*σ)*T+σ*SQRT(T)*$C4015)</f>
        <v>0.62864524917056408</v>
      </c>
      <c r="E4015" s="5">
        <f ca="1">MAX(0,CP*(D4015-K))</f>
        <v>0</v>
      </c>
      <c r="F4015" s="4">
        <f ca="1">(CP*(D4015-K)&gt;0)*1</f>
        <v>0</v>
      </c>
      <c r="H4015" s="4">
        <v>4000</v>
      </c>
      <c r="I4015" s="3">
        <v>0.66767477677014164</v>
      </c>
      <c r="J4015" s="128">
        <v>1.3086479859170201E-3</v>
      </c>
      <c r="K4015" s="128"/>
      <c r="L4015" s="128">
        <v>4.1599999999999998E-2</v>
      </c>
      <c r="O4015" s="2"/>
    </row>
    <row r="4016" spans="2:15" x14ac:dyDescent="0.2">
      <c r="B4016" s="1">
        <f>B4015+1</f>
        <v>4001</v>
      </c>
      <c r="C4016" s="5">
        <f ca="1"/>
        <v>-0.34750779605436888</v>
      </c>
      <c r="D4016" s="5">
        <f ca="1">S0*EXP((μ-0.5*σ*σ)*T+σ*SQRT(T)*$C4016)</f>
        <v>0.64212534927979981</v>
      </c>
      <c r="E4016" s="5">
        <f ca="1">MAX(0,CP*(D4016-K))</f>
        <v>0</v>
      </c>
      <c r="F4016" s="4">
        <f ca="1">(CP*(D4016-K)&gt;0)*1</f>
        <v>0</v>
      </c>
      <c r="H4016" s="4">
        <v>4001</v>
      </c>
      <c r="I4016" s="3">
        <v>0.6677882678547461</v>
      </c>
      <c r="J4016" s="128">
        <v>1.4460559142638E-3</v>
      </c>
      <c r="K4016" s="128"/>
      <c r="L4016" s="128">
        <v>4.1000000000000002E-2</v>
      </c>
      <c r="O4016" s="2"/>
    </row>
    <row r="4017" spans="2:15" x14ac:dyDescent="0.2">
      <c r="B4017" s="1">
        <f>B4016+1</f>
        <v>4002</v>
      </c>
      <c r="C4017" s="5">
        <f ca="1"/>
        <v>1.4695186899750099</v>
      </c>
      <c r="D4017" s="5">
        <f ca="1">S0*EXP((μ-0.5*σ*σ)*T+σ*SQRT(T)*$C4017)</f>
        <v>0.76809972612615429</v>
      </c>
      <c r="E4017" s="5">
        <f ca="1">MAX(0,CP*(D4017-K))</f>
        <v>0</v>
      </c>
      <c r="F4017" s="4">
        <f ca="1">(CP*(D4017-K)&gt;0)*1</f>
        <v>0</v>
      </c>
      <c r="H4017" s="4">
        <v>4002</v>
      </c>
      <c r="I4017" s="3">
        <v>0.66771077568103132</v>
      </c>
      <c r="J4017" s="128">
        <v>1.3614620263381677E-3</v>
      </c>
      <c r="K4017" s="128"/>
      <c r="L4017" s="128">
        <v>4.4400000000000002E-2</v>
      </c>
      <c r="O4017" s="2"/>
    </row>
    <row r="4018" spans="2:15" x14ac:dyDescent="0.2">
      <c r="B4018" s="1">
        <f>B4017+1</f>
        <v>4003</v>
      </c>
      <c r="C4018" s="5">
        <f ca="1"/>
        <v>1.1526895596662585</v>
      </c>
      <c r="D4018" s="5">
        <f ca="1">S0*EXP((μ-0.5*σ*σ)*T+σ*SQRT(T)*$C4018)</f>
        <v>0.74447866444137567</v>
      </c>
      <c r="E4018" s="5">
        <f ca="1">MAX(0,CP*(D4018-K))</f>
        <v>0</v>
      </c>
      <c r="F4018" s="4">
        <f ca="1">(CP*(D4018-K)&gt;0)*1</f>
        <v>0</v>
      </c>
      <c r="H4018" s="4">
        <v>4003</v>
      </c>
      <c r="I4018" s="3">
        <v>0.66775818413556842</v>
      </c>
      <c r="J4018" s="128">
        <v>1.2973819529643897E-3</v>
      </c>
      <c r="K4018" s="128"/>
      <c r="L4018" s="128">
        <v>4.2200000000000001E-2</v>
      </c>
      <c r="O4018" s="2"/>
    </row>
    <row r="4019" spans="2:15" x14ac:dyDescent="0.2">
      <c r="B4019" s="1">
        <f>B4018+1</f>
        <v>4004</v>
      </c>
      <c r="C4019" s="5">
        <f ca="1"/>
        <v>0.98006272682086826</v>
      </c>
      <c r="D4019" s="5">
        <f ca="1">S0*EXP((μ-0.5*σ*σ)*T+σ*SQRT(T)*$C4019)</f>
        <v>0.73191570592227007</v>
      </c>
      <c r="E4019" s="5">
        <f ca="1">MAX(0,CP*(D4019-K))</f>
        <v>0</v>
      </c>
      <c r="F4019" s="4">
        <f ca="1">(CP*(D4019-K)&gt;0)*1</f>
        <v>0</v>
      </c>
      <c r="H4019" s="4">
        <v>4004</v>
      </c>
      <c r="I4019" s="3">
        <v>0.66780397674126835</v>
      </c>
      <c r="J4019" s="128">
        <v>1.4780492232751581E-3</v>
      </c>
      <c r="K4019" s="128"/>
      <c r="L4019" s="128">
        <v>4.3799999999999999E-2</v>
      </c>
      <c r="O4019" s="2"/>
    </row>
    <row r="4020" spans="2:15" x14ac:dyDescent="0.2">
      <c r="B4020" s="1">
        <f>B4019+1</f>
        <v>4005</v>
      </c>
      <c r="C4020" s="5">
        <f ca="1"/>
        <v>0.29580162046398156</v>
      </c>
      <c r="D4020" s="5">
        <f ca="1">S0*EXP((μ-0.5*σ*σ)*T+σ*SQRT(T)*$C4020)</f>
        <v>0.68416955913020372</v>
      </c>
      <c r="E4020" s="5">
        <f ca="1">MAX(0,CP*(D4020-K))</f>
        <v>0</v>
      </c>
      <c r="F4020" s="4">
        <f ca="1">(CP*(D4020-K)&gt;0)*1</f>
        <v>0</v>
      </c>
      <c r="H4020" s="4">
        <v>4005</v>
      </c>
      <c r="I4020" s="3">
        <v>0.66762547996864818</v>
      </c>
      <c r="J4020" s="128">
        <v>1.2514465886299718E-3</v>
      </c>
      <c r="K4020" s="128"/>
      <c r="L4020" s="128">
        <v>3.7199999999999997E-2</v>
      </c>
      <c r="O4020" s="2"/>
    </row>
    <row r="4021" spans="2:15" x14ac:dyDescent="0.2">
      <c r="B4021" s="1">
        <f>B4020+1</f>
        <v>4006</v>
      </c>
      <c r="C4021" s="5">
        <f ca="1"/>
        <v>-1.053710777804896</v>
      </c>
      <c r="D4021" s="5">
        <f ca="1">S0*EXP((μ-0.5*σ*σ)*T+σ*SQRT(T)*$C4021)</f>
        <v>0.59893960558718795</v>
      </c>
      <c r="E4021" s="5">
        <f ca="1">MAX(0,CP*(D4021-K))</f>
        <v>0</v>
      </c>
      <c r="F4021" s="4">
        <f ca="1">(CP*(D4021-K)&gt;0)*1</f>
        <v>0</v>
      </c>
      <c r="H4021" s="4">
        <v>4006</v>
      </c>
      <c r="I4021" s="3">
        <v>0.66778404173498962</v>
      </c>
      <c r="J4021" s="128">
        <v>1.4402783713809268E-3</v>
      </c>
      <c r="K4021" s="128"/>
      <c r="L4021" s="128">
        <v>4.4400000000000002E-2</v>
      </c>
      <c r="O4021" s="2"/>
    </row>
    <row r="4022" spans="2:15" x14ac:dyDescent="0.2">
      <c r="B4022" s="1">
        <f>B4021+1</f>
        <v>4007</v>
      </c>
      <c r="C4022" s="5">
        <f ca="1"/>
        <v>-1.3332318449584717</v>
      </c>
      <c r="D4022" s="5">
        <f ca="1">S0*EXP((μ-0.5*σ*σ)*T+σ*SQRT(T)*$C4022)</f>
        <v>0.58265980600360678</v>
      </c>
      <c r="E4022" s="5">
        <f ca="1">MAX(0,CP*(D4022-K))</f>
        <v>0</v>
      </c>
      <c r="F4022" s="4">
        <f ca="1">(CP*(D4022-K)&gt;0)*1</f>
        <v>0</v>
      </c>
      <c r="H4022" s="4">
        <v>4007</v>
      </c>
      <c r="I4022" s="3">
        <v>0.66786702011845522</v>
      </c>
      <c r="J4022" s="128">
        <v>1.4952433586854299E-3</v>
      </c>
      <c r="K4022" s="128"/>
      <c r="L4022" s="128">
        <v>4.7E-2</v>
      </c>
      <c r="O4022" s="2"/>
    </row>
    <row r="4023" spans="2:15" x14ac:dyDescent="0.2">
      <c r="B4023" s="1">
        <f>B4022+1</f>
        <v>4008</v>
      </c>
      <c r="C4023" s="5">
        <f ca="1"/>
        <v>0.50491163019226781</v>
      </c>
      <c r="D4023" s="5">
        <f ca="1">S0*EXP((μ-0.5*σ*σ)*T+σ*SQRT(T)*$C4023)</f>
        <v>0.69842053507695612</v>
      </c>
      <c r="E4023" s="5">
        <f ca="1">MAX(0,CP*(D4023-K))</f>
        <v>0</v>
      </c>
      <c r="F4023" s="4">
        <f ca="1">(CP*(D4023-K)&gt;0)*1</f>
        <v>0</v>
      </c>
      <c r="H4023" s="4">
        <v>4008</v>
      </c>
      <c r="I4023" s="3">
        <v>0.66770764922660752</v>
      </c>
      <c r="J4023" s="128">
        <v>1.2437864794632007E-3</v>
      </c>
      <c r="K4023" s="128"/>
      <c r="L4023" s="128">
        <v>4.1599999999999998E-2</v>
      </c>
      <c r="O4023" s="2"/>
    </row>
    <row r="4024" spans="2:15" x14ac:dyDescent="0.2">
      <c r="B4024" s="1">
        <f>B4023+1</f>
        <v>4009</v>
      </c>
      <c r="C4024" s="5">
        <f ca="1"/>
        <v>1.1332351002810521</v>
      </c>
      <c r="D4024" s="5">
        <f ca="1">S0*EXP((μ-0.5*σ*σ)*T+σ*SQRT(T)*$C4024)</f>
        <v>0.74305214817243603</v>
      </c>
      <c r="E4024" s="5">
        <f ca="1">MAX(0,CP*(D4024-K))</f>
        <v>0</v>
      </c>
      <c r="F4024" s="4">
        <f ca="1">(CP*(D4024-K)&gt;0)*1</f>
        <v>0</v>
      </c>
      <c r="H4024" s="4">
        <v>4009</v>
      </c>
      <c r="I4024" s="3">
        <v>0.66783308733623248</v>
      </c>
      <c r="J4024" s="128">
        <v>1.5457532203267293E-3</v>
      </c>
      <c r="K4024" s="128"/>
      <c r="L4024" s="128">
        <v>4.1599999999999998E-2</v>
      </c>
      <c r="O4024" s="2"/>
    </row>
    <row r="4025" spans="2:15" x14ac:dyDescent="0.2">
      <c r="B4025" s="1">
        <f>B4024+1</f>
        <v>4010</v>
      </c>
      <c r="C4025" s="5">
        <f ca="1"/>
        <v>1.1758983860684025</v>
      </c>
      <c r="D4025" s="5">
        <f ca="1">S0*EXP((μ-0.5*σ*σ)*T+σ*SQRT(T)*$C4025)</f>
        <v>0.74618405598813808</v>
      </c>
      <c r="E4025" s="5">
        <f ca="1">MAX(0,CP*(D4025-K))</f>
        <v>0</v>
      </c>
      <c r="F4025" s="4">
        <f ca="1">(CP*(D4025-K)&gt;0)*1</f>
        <v>0</v>
      </c>
      <c r="H4025" s="4">
        <v>4010</v>
      </c>
      <c r="I4025" s="3">
        <v>0.66776836100647596</v>
      </c>
      <c r="J4025" s="128">
        <v>1.3838910124782337E-3</v>
      </c>
      <c r="K4025" s="128"/>
      <c r="L4025" s="128">
        <v>4.3799999999999999E-2</v>
      </c>
      <c r="O4025" s="2"/>
    </row>
    <row r="4026" spans="2:15" x14ac:dyDescent="0.2">
      <c r="B4026" s="1">
        <f>B4025+1</f>
        <v>4011</v>
      </c>
      <c r="C4026" s="5">
        <f ca="1"/>
        <v>0.50327212778539043</v>
      </c>
      <c r="D4026" s="5">
        <f ca="1">S0*EXP((μ-0.5*σ*σ)*T+σ*SQRT(T)*$C4026)</f>
        <v>0.6983076554199229</v>
      </c>
      <c r="E4026" s="5">
        <f ca="1">MAX(0,CP*(D4026-K))</f>
        <v>0</v>
      </c>
      <c r="F4026" s="4">
        <f ca="1">(CP*(D4026-K)&gt;0)*1</f>
        <v>0</v>
      </c>
      <c r="H4026" s="4">
        <v>4011</v>
      </c>
      <c r="I4026" s="3">
        <v>0.66780562678858313</v>
      </c>
      <c r="J4026" s="128">
        <v>1.3885202858982685E-3</v>
      </c>
      <c r="K4026" s="128"/>
      <c r="L4026" s="128">
        <v>4.5199999999999997E-2</v>
      </c>
      <c r="O4026" s="2"/>
    </row>
    <row r="4027" spans="2:15" x14ac:dyDescent="0.2">
      <c r="B4027" s="1">
        <f>B4026+1</f>
        <v>4012</v>
      </c>
      <c r="C4027" s="5">
        <f ca="1"/>
        <v>2.1023891164929371</v>
      </c>
      <c r="D4027" s="5">
        <f ca="1">S0*EXP((μ-0.5*σ*σ)*T+σ*SQRT(T)*$C4027)</f>
        <v>0.8175504966530811</v>
      </c>
      <c r="E4027" s="5">
        <f ca="1">MAX(0,CP*(D4027-K))</f>
        <v>2.9350496653081093E-2</v>
      </c>
      <c r="F4027" s="4">
        <f ca="1">(CP*(D4027-K)&gt;0)*1</f>
        <v>1</v>
      </c>
      <c r="H4027" s="4">
        <v>4012</v>
      </c>
      <c r="I4027" s="3">
        <v>0.66778953817893971</v>
      </c>
      <c r="J4027" s="128">
        <v>1.4684380053915942E-3</v>
      </c>
      <c r="K4027" s="128"/>
      <c r="L4027" s="128">
        <v>4.4999999999999998E-2</v>
      </c>
      <c r="O4027" s="2"/>
    </row>
    <row r="4028" spans="2:15" x14ac:dyDescent="0.2">
      <c r="B4028" s="1">
        <f>B4027+1</f>
        <v>4013</v>
      </c>
      <c r="C4028" s="5">
        <f ca="1"/>
        <v>-0.2907440561269562</v>
      </c>
      <c r="D4028" s="5">
        <f ca="1">S0*EXP((μ-0.5*σ*σ)*T+σ*SQRT(T)*$C4028)</f>
        <v>0.64572888060571865</v>
      </c>
      <c r="E4028" s="5">
        <f ca="1">MAX(0,CP*(D4028-K))</f>
        <v>0</v>
      </c>
      <c r="F4028" s="4">
        <f ca="1">(CP*(D4028-K)&gt;0)*1</f>
        <v>0</v>
      </c>
      <c r="H4028" s="4">
        <v>4013</v>
      </c>
      <c r="I4028" s="3">
        <v>0.66774647226536343</v>
      </c>
      <c r="J4028" s="128">
        <v>1.17608993284121E-3</v>
      </c>
      <c r="K4028" s="128"/>
      <c r="L4028" s="128">
        <v>0.04</v>
      </c>
      <c r="O4028" s="2"/>
    </row>
    <row r="4029" spans="2:15" x14ac:dyDescent="0.2">
      <c r="B4029" s="1">
        <f>B4028+1</f>
        <v>4014</v>
      </c>
      <c r="C4029" s="5">
        <f ca="1"/>
        <v>0.78410854523840023</v>
      </c>
      <c r="D4029" s="5">
        <f ca="1">S0*EXP((μ-0.5*σ*σ)*T+σ*SQRT(T)*$C4029)</f>
        <v>0.71791180305953661</v>
      </c>
      <c r="E4029" s="5">
        <f ca="1">MAX(0,CP*(D4029-K))</f>
        <v>0</v>
      </c>
      <c r="F4029" s="4">
        <f ca="1">(CP*(D4029-K)&gt;0)*1</f>
        <v>0</v>
      </c>
      <c r="H4029" s="4">
        <v>4014</v>
      </c>
      <c r="I4029" s="3">
        <v>0.66778564912163219</v>
      </c>
      <c r="J4029" s="128">
        <v>1.4079946502120319E-3</v>
      </c>
      <c r="K4029" s="128"/>
      <c r="L4029" s="128">
        <v>4.2599999999999999E-2</v>
      </c>
      <c r="O4029" s="2"/>
    </row>
    <row r="4030" spans="2:15" x14ac:dyDescent="0.2">
      <c r="B4030" s="1">
        <f>B4029+1</f>
        <v>4015</v>
      </c>
      <c r="C4030" s="5">
        <f ca="1"/>
        <v>-0.6117449139101927</v>
      </c>
      <c r="D4030" s="5">
        <f ca="1">S0*EXP((μ-0.5*σ*σ)*T+σ*SQRT(T)*$C4030)</f>
        <v>0.62561368492335712</v>
      </c>
      <c r="E4030" s="5">
        <f ca="1">MAX(0,CP*(D4030-K))</f>
        <v>0</v>
      </c>
      <c r="F4030" s="4">
        <f ca="1">(CP*(D4030-K)&gt;0)*1</f>
        <v>0</v>
      </c>
      <c r="H4030" s="4">
        <v>4015</v>
      </c>
      <c r="I4030" s="3">
        <v>0.6678472749202462</v>
      </c>
      <c r="J4030" s="128">
        <v>1.5763861370430524E-3</v>
      </c>
      <c r="K4030" s="128"/>
      <c r="L4030" s="128">
        <v>4.6399999999999997E-2</v>
      </c>
      <c r="O4030" s="2"/>
    </row>
    <row r="4031" spans="2:15" x14ac:dyDescent="0.2">
      <c r="B4031" s="1">
        <f>B4030+1</f>
        <v>4016</v>
      </c>
      <c r="C4031" s="5">
        <f ca="1"/>
        <v>0.11888161007851174</v>
      </c>
      <c r="D4031" s="5">
        <f ca="1">S0*EXP((μ-0.5*σ*σ)*T+σ*SQRT(T)*$C4031)</f>
        <v>0.67233967676798623</v>
      </c>
      <c r="E4031" s="5">
        <f ca="1">MAX(0,CP*(D4031-K))</f>
        <v>0</v>
      </c>
      <c r="F4031" s="4">
        <f ca="1">(CP*(D4031-K)&gt;0)*1</f>
        <v>0</v>
      </c>
      <c r="H4031" s="4">
        <v>4016</v>
      </c>
      <c r="I4031" s="3">
        <v>0.66781549243877414</v>
      </c>
      <c r="J4031" s="128">
        <v>1.3953625884890555E-3</v>
      </c>
      <c r="K4031" s="128"/>
      <c r="L4031" s="128">
        <v>4.1599999999999998E-2</v>
      </c>
      <c r="O4031" s="2"/>
    </row>
    <row r="4032" spans="2:15" x14ac:dyDescent="0.2">
      <c r="B4032" s="1">
        <f>B4031+1</f>
        <v>4017</v>
      </c>
      <c r="C4032" s="5">
        <f ca="1"/>
        <v>-1.1222699153703337</v>
      </c>
      <c r="D4032" s="5">
        <f ca="1">S0*EXP((μ-0.5*σ*σ)*T+σ*SQRT(T)*$C4032)</f>
        <v>0.5949049802505979</v>
      </c>
      <c r="E4032" s="5">
        <f ca="1">MAX(0,CP*(D4032-K))</f>
        <v>0</v>
      </c>
      <c r="F4032" s="4">
        <f ca="1">(CP*(D4032-K)&gt;0)*1</f>
        <v>0</v>
      </c>
      <c r="H4032" s="4">
        <v>4017</v>
      </c>
      <c r="I4032" s="3">
        <v>0.66767000990848846</v>
      </c>
      <c r="J4032" s="128">
        <v>1.3654264363022091E-3</v>
      </c>
      <c r="K4032" s="128"/>
      <c r="L4032" s="128">
        <v>0.04</v>
      </c>
      <c r="O4032" s="2"/>
    </row>
    <row r="4033" spans="2:15" x14ac:dyDescent="0.2">
      <c r="B4033" s="1">
        <f>B4032+1</f>
        <v>4018</v>
      </c>
      <c r="C4033" s="5">
        <f ca="1"/>
        <v>0.91612828299787274</v>
      </c>
      <c r="D4033" s="5">
        <f ca="1">S0*EXP((μ-0.5*σ*σ)*T+σ*SQRT(T)*$C4033)</f>
        <v>0.72731685121259426</v>
      </c>
      <c r="E4033" s="5">
        <f ca="1">MAX(0,CP*(D4033-K))</f>
        <v>0</v>
      </c>
      <c r="F4033" s="4">
        <f ca="1">(CP*(D4033-K)&gt;0)*1</f>
        <v>0</v>
      </c>
      <c r="H4033" s="4">
        <v>4018</v>
      </c>
      <c r="I4033" s="3">
        <v>0.66774721320886932</v>
      </c>
      <c r="J4033" s="128">
        <v>1.3453163182982704E-3</v>
      </c>
      <c r="K4033" s="128"/>
      <c r="L4033" s="128">
        <v>4.0399999999999998E-2</v>
      </c>
      <c r="O4033" s="2"/>
    </row>
    <row r="4034" spans="2:15" x14ac:dyDescent="0.2">
      <c r="B4034" s="1">
        <f>B4033+1</f>
        <v>4019</v>
      </c>
      <c r="C4034" s="5">
        <f ca="1"/>
        <v>3.4146198956250248E-2</v>
      </c>
      <c r="D4034" s="5">
        <f ca="1">S0*EXP((μ-0.5*σ*σ)*T+σ*SQRT(T)*$C4034)</f>
        <v>0.66674644713485343</v>
      </c>
      <c r="E4034" s="5">
        <f ca="1">MAX(0,CP*(D4034-K))</f>
        <v>0</v>
      </c>
      <c r="F4034" s="4">
        <f ca="1">(CP*(D4034-K)&gt;0)*1</f>
        <v>0</v>
      </c>
      <c r="H4034" s="4">
        <v>4019</v>
      </c>
      <c r="I4034" s="3">
        <v>0.66783352072982827</v>
      </c>
      <c r="J4034" s="128">
        <v>1.4073942323247516E-3</v>
      </c>
      <c r="K4034" s="128"/>
      <c r="L4034" s="128">
        <v>4.6600000000000003E-2</v>
      </c>
      <c r="O4034" s="2"/>
    </row>
    <row r="4035" spans="2:15" x14ac:dyDescent="0.2">
      <c r="B4035" s="1">
        <f>B4034+1</f>
        <v>4020</v>
      </c>
      <c r="C4035" s="5">
        <f ca="1"/>
        <v>0.65063674663917281</v>
      </c>
      <c r="D4035" s="5">
        <f ca="1">S0*EXP((μ-0.5*σ*σ)*T+σ*SQRT(T)*$C4035)</f>
        <v>0.70852693662073862</v>
      </c>
      <c r="E4035" s="5">
        <f ca="1">MAX(0,CP*(D4035-K))</f>
        <v>0</v>
      </c>
      <c r="F4035" s="4">
        <f ca="1">(CP*(D4035-K)&gt;0)*1</f>
        <v>0</v>
      </c>
      <c r="H4035" s="4">
        <v>4020</v>
      </c>
      <c r="I4035" s="3">
        <v>0.66775093169097177</v>
      </c>
      <c r="J4035" s="128">
        <v>1.4268816740392878E-3</v>
      </c>
      <c r="K4035" s="128"/>
      <c r="L4035" s="128">
        <v>4.2799999999999998E-2</v>
      </c>
      <c r="O4035" s="2"/>
    </row>
    <row r="4036" spans="2:15" x14ac:dyDescent="0.2">
      <c r="B4036" s="1">
        <f>B4035+1</f>
        <v>4021</v>
      </c>
      <c r="C4036" s="5">
        <f ca="1"/>
        <v>1.7070349478416049</v>
      </c>
      <c r="D4036" s="5">
        <f ca="1">S0*EXP((μ-0.5*σ*σ)*T+σ*SQRT(T)*$C4036)</f>
        <v>0.78629788039976578</v>
      </c>
      <c r="E4036" s="5">
        <f ca="1">MAX(0,CP*(D4036-K))</f>
        <v>0</v>
      </c>
      <c r="F4036" s="4">
        <f ca="1">(CP*(D4036-K)&gt;0)*1</f>
        <v>0</v>
      </c>
      <c r="H4036" s="4">
        <v>4021</v>
      </c>
      <c r="I4036" s="3">
        <v>0.66788182825975162</v>
      </c>
      <c r="J4036" s="128">
        <v>1.5167195445256359E-3</v>
      </c>
      <c r="K4036" s="128"/>
      <c r="L4036" s="128">
        <v>4.3400000000000001E-2</v>
      </c>
      <c r="O4036" s="2"/>
    </row>
    <row r="4037" spans="2:15" x14ac:dyDescent="0.2">
      <c r="B4037" s="1">
        <f>B4036+1</f>
        <v>4022</v>
      </c>
      <c r="C4037" s="5">
        <f ca="1"/>
        <v>-0.60048638540487198</v>
      </c>
      <c r="D4037" s="5">
        <f ca="1">S0*EXP((μ-0.5*σ*σ)*T+σ*SQRT(T)*$C4037)</f>
        <v>0.62630847024891789</v>
      </c>
      <c r="E4037" s="5">
        <f ca="1">MAX(0,CP*(D4037-K))</f>
        <v>0</v>
      </c>
      <c r="F4037" s="4">
        <f ca="1">(CP*(D4037-K)&gt;0)*1</f>
        <v>0</v>
      </c>
      <c r="H4037" s="4">
        <v>4022</v>
      </c>
      <c r="I4037" s="3">
        <v>0.66770883649098733</v>
      </c>
      <c r="J4037" s="128">
        <v>1.2940239569322117E-3</v>
      </c>
      <c r="K4037" s="128"/>
      <c r="L4037" s="128">
        <v>4.1000000000000002E-2</v>
      </c>
      <c r="O4037" s="2"/>
    </row>
    <row r="4038" spans="2:15" x14ac:dyDescent="0.2">
      <c r="B4038" s="1">
        <f>B4037+1</f>
        <v>4023</v>
      </c>
      <c r="C4038" s="5">
        <f ca="1"/>
        <v>-0.39869037303199573</v>
      </c>
      <c r="D4038" s="5">
        <f ca="1">S0*EXP((μ-0.5*σ*σ)*T+σ*SQRT(T)*$C4038)</f>
        <v>0.63889337104020683</v>
      </c>
      <c r="E4038" s="5">
        <f ca="1">MAX(0,CP*(D4038-K))</f>
        <v>0</v>
      </c>
      <c r="F4038" s="4">
        <f ca="1">(CP*(D4038-K)&gt;0)*1</f>
        <v>0</v>
      </c>
      <c r="H4038" s="4">
        <v>4023</v>
      </c>
      <c r="I4038" s="3">
        <v>0.66782040118260788</v>
      </c>
      <c r="J4038" s="128">
        <v>1.5383251832969773E-3</v>
      </c>
      <c r="K4038" s="128"/>
      <c r="L4038" s="128">
        <v>4.48E-2</v>
      </c>
      <c r="O4038" s="2"/>
    </row>
    <row r="4039" spans="2:15" x14ac:dyDescent="0.2">
      <c r="B4039" s="1">
        <f>B4038+1</f>
        <v>4024</v>
      </c>
      <c r="C4039" s="5">
        <f ca="1"/>
        <v>-0.17685951131845146</v>
      </c>
      <c r="D4039" s="5">
        <f ca="1">S0*EXP((μ-0.5*σ*σ)*T+σ*SQRT(T)*$C4039)</f>
        <v>0.65301971179636231</v>
      </c>
      <c r="E4039" s="5">
        <f ca="1">MAX(0,CP*(D4039-K))</f>
        <v>0</v>
      </c>
      <c r="F4039" s="4">
        <f ca="1">(CP*(D4039-K)&gt;0)*1</f>
        <v>0</v>
      </c>
      <c r="H4039" s="4">
        <v>4024</v>
      </c>
      <c r="I4039" s="3">
        <v>0.66775395395260062</v>
      </c>
      <c r="J4039" s="128">
        <v>1.2477245855099038E-3</v>
      </c>
      <c r="K4039" s="128"/>
      <c r="L4039" s="128">
        <v>4.36E-2</v>
      </c>
      <c r="O4039" s="2"/>
    </row>
    <row r="4040" spans="2:15" x14ac:dyDescent="0.2">
      <c r="B4040" s="1">
        <f>B4039+1</f>
        <v>4025</v>
      </c>
      <c r="C4040" s="5">
        <f ca="1"/>
        <v>-0.90144968509129009</v>
      </c>
      <c r="D4040" s="5">
        <f ca="1">S0*EXP((μ-0.5*σ*σ)*T+σ*SQRT(T)*$C4040)</f>
        <v>0.60799812829918454</v>
      </c>
      <c r="E4040" s="5">
        <f ca="1">MAX(0,CP*(D4040-K))</f>
        <v>0</v>
      </c>
      <c r="F4040" s="4">
        <f ca="1">(CP*(D4040-K)&gt;0)*1</f>
        <v>0</v>
      </c>
      <c r="H4040" s="4">
        <v>4025</v>
      </c>
      <c r="I4040" s="3">
        <v>0.66768316698249042</v>
      </c>
      <c r="J4040" s="128">
        <v>1.3607655652910584E-3</v>
      </c>
      <c r="K4040" s="128"/>
      <c r="L4040" s="128">
        <v>3.9399999999999998E-2</v>
      </c>
      <c r="O4040" s="2"/>
    </row>
    <row r="4041" spans="2:15" x14ac:dyDescent="0.2">
      <c r="B4041" s="1">
        <f>B4040+1</f>
        <v>4026</v>
      </c>
      <c r="C4041" s="5">
        <f ca="1"/>
        <v>-0.60618471486695946</v>
      </c>
      <c r="D4041" s="5">
        <f ca="1">S0*EXP((μ-0.5*σ*σ)*T+σ*SQRT(T)*$C4041)</f>
        <v>0.62595671905760331</v>
      </c>
      <c r="E4041" s="5">
        <f ca="1">MAX(0,CP*(D4041-K))</f>
        <v>0</v>
      </c>
      <c r="F4041" s="4">
        <f ca="1">(CP*(D4041-K)&gt;0)*1</f>
        <v>0</v>
      </c>
      <c r="H4041" s="4">
        <v>4026</v>
      </c>
      <c r="I4041" s="3">
        <v>0.6675980921746959</v>
      </c>
      <c r="J4041" s="128">
        <v>1.1634509775856157E-3</v>
      </c>
      <c r="K4041" s="128"/>
      <c r="L4041" s="128">
        <v>3.8600000000000002E-2</v>
      </c>
      <c r="O4041" s="2"/>
    </row>
    <row r="4042" spans="2:15" x14ac:dyDescent="0.2">
      <c r="B4042" s="1">
        <f>B4041+1</f>
        <v>4027</v>
      </c>
      <c r="C4042" s="5">
        <f ca="1"/>
        <v>-0.9383338572566684</v>
      </c>
      <c r="D4042" s="5">
        <f ca="1">S0*EXP((μ-0.5*σ*σ)*T+σ*SQRT(T)*$C4042)</f>
        <v>0.60579126909500269</v>
      </c>
      <c r="E4042" s="5">
        <f ca="1">MAX(0,CP*(D4042-K))</f>
        <v>0</v>
      </c>
      <c r="F4042" s="4">
        <f ca="1">(CP*(D4042-K)&gt;0)*1</f>
        <v>0</v>
      </c>
      <c r="H4042" s="4">
        <v>4027</v>
      </c>
      <c r="I4042" s="3">
        <v>0.66772371099261607</v>
      </c>
      <c r="J4042" s="128">
        <v>1.493090387777342E-3</v>
      </c>
      <c r="K4042" s="128"/>
      <c r="L4042" s="128">
        <v>3.7999999999999999E-2</v>
      </c>
      <c r="O4042" s="2"/>
    </row>
    <row r="4043" spans="2:15" x14ac:dyDescent="0.2">
      <c r="B4043" s="1">
        <f>B4042+1</f>
        <v>4028</v>
      </c>
      <c r="C4043" s="5">
        <f ca="1"/>
        <v>1.1228978111814282E-2</v>
      </c>
      <c r="D4043" s="5">
        <f ca="1">S0*EXP((μ-0.5*σ*σ)*T+σ*SQRT(T)*$C4043)</f>
        <v>0.66524173348315618</v>
      </c>
      <c r="E4043" s="5">
        <f ca="1">MAX(0,CP*(D4043-K))</f>
        <v>0</v>
      </c>
      <c r="F4043" s="4">
        <f ca="1">(CP*(D4043-K)&gt;0)*1</f>
        <v>0</v>
      </c>
      <c r="H4043" s="4">
        <v>4028</v>
      </c>
      <c r="I4043" s="3">
        <v>0.6676798094398172</v>
      </c>
      <c r="J4043" s="128">
        <v>1.3238716089991993E-3</v>
      </c>
      <c r="K4043" s="128"/>
      <c r="L4043" s="128">
        <v>4.02E-2</v>
      </c>
      <c r="O4043" s="2"/>
    </row>
    <row r="4044" spans="2:15" x14ac:dyDescent="0.2">
      <c r="B4044" s="1">
        <f>B4043+1</f>
        <v>4029</v>
      </c>
      <c r="C4044" s="5">
        <f ca="1"/>
        <v>0.59177061940218989</v>
      </c>
      <c r="D4044" s="5">
        <f ca="1">S0*EXP((μ-0.5*σ*σ)*T+σ*SQRT(T)*$C4044)</f>
        <v>0.70442693569527393</v>
      </c>
      <c r="E4044" s="5">
        <f ca="1">MAX(0,CP*(D4044-K))</f>
        <v>0</v>
      </c>
      <c r="F4044" s="4">
        <f ca="1">(CP*(D4044-K)&gt;0)*1</f>
        <v>0</v>
      </c>
      <c r="H4044" s="4">
        <v>4029</v>
      </c>
      <c r="I4044" s="3">
        <v>0.66777490124837591</v>
      </c>
      <c r="J4044" s="128">
        <v>1.3764993427005687E-3</v>
      </c>
      <c r="K4044" s="128"/>
      <c r="L4044" s="128">
        <v>4.24E-2</v>
      </c>
      <c r="O4044" s="2"/>
    </row>
    <row r="4045" spans="2:15" x14ac:dyDescent="0.2">
      <c r="B4045" s="1">
        <f>B4044+1</f>
        <v>4030</v>
      </c>
      <c r="C4045" s="5">
        <f ca="1"/>
        <v>0.59034933300229375</v>
      </c>
      <c r="D4045" s="5">
        <f ca="1">S0*EXP((μ-0.5*σ*σ)*T+σ*SQRT(T)*$C4045)</f>
        <v>0.70432823758252483</v>
      </c>
      <c r="E4045" s="5">
        <f ca="1">MAX(0,CP*(D4045-K))</f>
        <v>0</v>
      </c>
      <c r="F4045" s="4">
        <f ca="1">(CP*(D4045-K)&gt;0)*1</f>
        <v>0</v>
      </c>
      <c r="H4045" s="4">
        <v>4030</v>
      </c>
      <c r="I4045" s="3">
        <v>0.66774989592288281</v>
      </c>
      <c r="J4045" s="128">
        <v>1.4306533843634951E-3</v>
      </c>
      <c r="K4045" s="128"/>
      <c r="L4045" s="128">
        <v>4.1799999999999997E-2</v>
      </c>
      <c r="O4045" s="2"/>
    </row>
    <row r="4046" spans="2:15" x14ac:dyDescent="0.2">
      <c r="B4046" s="1">
        <f>B4045+1</f>
        <v>4031</v>
      </c>
      <c r="C4046" s="5">
        <f ca="1"/>
        <v>-1.1240598609974097</v>
      </c>
      <c r="D4046" s="5">
        <f ca="1">S0*EXP((μ-0.5*σ*σ)*T+σ*SQRT(T)*$C4046)</f>
        <v>0.59480000888543616</v>
      </c>
      <c r="E4046" s="5">
        <f ca="1">MAX(0,CP*(D4046-K))</f>
        <v>0</v>
      </c>
      <c r="F4046" s="4">
        <f ca="1">(CP*(D4046-K)&gt;0)*1</f>
        <v>0</v>
      </c>
      <c r="H4046" s="4">
        <v>4031</v>
      </c>
      <c r="I4046" s="3">
        <v>0.66764062627482468</v>
      </c>
      <c r="J4046" s="128">
        <v>1.2289032393273877E-3</v>
      </c>
      <c r="K4046" s="128"/>
      <c r="L4046" s="128">
        <v>3.5200000000000002E-2</v>
      </c>
      <c r="O4046" s="2"/>
    </row>
    <row r="4047" spans="2:15" x14ac:dyDescent="0.2">
      <c r="B4047" s="1">
        <f>B4046+1</f>
        <v>4032</v>
      </c>
      <c r="C4047" s="5">
        <f ca="1"/>
        <v>0.93169381129179651</v>
      </c>
      <c r="D4047" s="5">
        <f ca="1">S0*EXP((μ-0.5*σ*σ)*T+σ*SQRT(T)*$C4047)</f>
        <v>0.72843382377473731</v>
      </c>
      <c r="E4047" s="5">
        <f ca="1">MAX(0,CP*(D4047-K))</f>
        <v>0</v>
      </c>
      <c r="F4047" s="4">
        <f ca="1">(CP*(D4047-K)&gt;0)*1</f>
        <v>0</v>
      </c>
      <c r="H4047" s="4">
        <v>4032</v>
      </c>
      <c r="I4047" s="3">
        <v>0.66787578006094594</v>
      </c>
      <c r="J4047" s="128">
        <v>1.5051756977001339E-3</v>
      </c>
      <c r="K4047" s="128"/>
      <c r="L4047" s="128">
        <v>4.5600000000000002E-2</v>
      </c>
      <c r="O4047" s="2"/>
    </row>
    <row r="4048" spans="2:15" x14ac:dyDescent="0.2">
      <c r="B4048" s="1">
        <f>B4047+1</f>
        <v>4033</v>
      </c>
      <c r="C4048" s="5">
        <f ca="1"/>
        <v>-0.12506999206738251</v>
      </c>
      <c r="D4048" s="5">
        <f ca="1">S0*EXP((μ-0.5*σ*σ)*T+σ*SQRT(T)*$C4048)</f>
        <v>0.6563624246601536</v>
      </c>
      <c r="E4048" s="5">
        <f ca="1">MAX(0,CP*(D4048-K))</f>
        <v>0</v>
      </c>
      <c r="F4048" s="4">
        <f ca="1">(CP*(D4048-K)&gt;0)*1</f>
        <v>0</v>
      </c>
      <c r="H4048" s="4">
        <v>4033</v>
      </c>
      <c r="I4048" s="3">
        <v>0.6676946077976903</v>
      </c>
      <c r="J4048" s="128">
        <v>1.2212973605539507E-3</v>
      </c>
      <c r="K4048" s="128"/>
      <c r="L4048" s="128">
        <v>3.78E-2</v>
      </c>
      <c r="O4048" s="2"/>
    </row>
    <row r="4049" spans="2:15" x14ac:dyDescent="0.2">
      <c r="B4049" s="1">
        <f>B4048+1</f>
        <v>4034</v>
      </c>
      <c r="C4049" s="5">
        <f ca="1"/>
        <v>-0.79173806724159379</v>
      </c>
      <c r="D4049" s="5">
        <f ca="1">S0*EXP((μ-0.5*σ*σ)*T+σ*SQRT(T)*$C4049)</f>
        <v>0.61461004548244924</v>
      </c>
      <c r="E4049" s="5">
        <f ca="1">MAX(0,CP*(D4049-K))</f>
        <v>0</v>
      </c>
      <c r="F4049" s="4">
        <f ca="1">(CP*(D4049-K)&gt;0)*1</f>
        <v>0</v>
      </c>
      <c r="H4049" s="4">
        <v>4034</v>
      </c>
      <c r="I4049" s="3">
        <v>0.66772769886858752</v>
      </c>
      <c r="J4049" s="128">
        <v>1.411253722453413E-3</v>
      </c>
      <c r="K4049" s="128"/>
      <c r="L4049" s="128">
        <v>4.36E-2</v>
      </c>
      <c r="O4049" s="2"/>
    </row>
    <row r="4050" spans="2:15" x14ac:dyDescent="0.2">
      <c r="B4050" s="1">
        <f>B4049+1</f>
        <v>4035</v>
      </c>
      <c r="C4050" s="5">
        <f ca="1"/>
        <v>1.3487506144401809</v>
      </c>
      <c r="D4050" s="5">
        <f ca="1">S0*EXP((μ-0.5*σ*σ)*T+σ*SQRT(T)*$C4050)</f>
        <v>0.75900878931346871</v>
      </c>
      <c r="E4050" s="5">
        <f ca="1">MAX(0,CP*(D4050-K))</f>
        <v>0</v>
      </c>
      <c r="F4050" s="4">
        <f ca="1">(CP*(D4050-K)&gt;0)*1</f>
        <v>0</v>
      </c>
      <c r="H4050" s="4">
        <v>4035</v>
      </c>
      <c r="I4050" s="3">
        <v>0.66773051722633814</v>
      </c>
      <c r="J4050" s="128">
        <v>1.35497047498617E-3</v>
      </c>
      <c r="K4050" s="128"/>
      <c r="L4050" s="128">
        <v>4.0599999999999997E-2</v>
      </c>
      <c r="O4050" s="2"/>
    </row>
    <row r="4051" spans="2:15" x14ac:dyDescent="0.2">
      <c r="B4051" s="1">
        <f>B4050+1</f>
        <v>4036</v>
      </c>
      <c r="C4051" s="5">
        <f ca="1"/>
        <v>-9.5311258045404385E-2</v>
      </c>
      <c r="D4051" s="5">
        <f ca="1">S0*EXP((μ-0.5*σ*σ)*T+σ*SQRT(T)*$C4051)</f>
        <v>0.65829091342754542</v>
      </c>
      <c r="E4051" s="5">
        <f ca="1">MAX(0,CP*(D4051-K))</f>
        <v>0</v>
      </c>
      <c r="F4051" s="4">
        <f ca="1">(CP*(D4051-K)&gt;0)*1</f>
        <v>0</v>
      </c>
      <c r="H4051" s="4">
        <v>4036</v>
      </c>
      <c r="I4051" s="3">
        <v>0.66781669935790156</v>
      </c>
      <c r="J4051" s="128">
        <v>1.3960947536304188E-3</v>
      </c>
      <c r="K4051" s="128"/>
      <c r="L4051" s="128">
        <v>4.58E-2</v>
      </c>
      <c r="O4051" s="2"/>
    </row>
    <row r="4052" spans="2:15" x14ac:dyDescent="0.2">
      <c r="B4052" s="1">
        <f>B4051+1</f>
        <v>4037</v>
      </c>
      <c r="C4052" s="5">
        <f ca="1"/>
        <v>-0.55394633516732228</v>
      </c>
      <c r="D4052" s="5">
        <f ca="1">S0*EXP((μ-0.5*σ*σ)*T+σ*SQRT(T)*$C4052)</f>
        <v>0.62918874265452629</v>
      </c>
      <c r="E4052" s="5">
        <f ca="1">MAX(0,CP*(D4052-K))</f>
        <v>0</v>
      </c>
      <c r="F4052" s="4">
        <f ca="1">(CP*(D4052-K)&gt;0)*1</f>
        <v>0</v>
      </c>
      <c r="H4052" s="4">
        <v>4037</v>
      </c>
      <c r="I4052" s="3">
        <v>0.66769930057238203</v>
      </c>
      <c r="J4052" s="128">
        <v>1.2814108940612031E-3</v>
      </c>
      <c r="K4052" s="128"/>
      <c r="L4052" s="128">
        <v>4.24E-2</v>
      </c>
      <c r="O4052" s="2"/>
    </row>
    <row r="4053" spans="2:15" x14ac:dyDescent="0.2">
      <c r="B4053" s="1">
        <f>B4052+1</f>
        <v>4038</v>
      </c>
      <c r="C4053" s="5">
        <f ca="1"/>
        <v>1.4577714920917587E-2</v>
      </c>
      <c r="D4053" s="5">
        <f ca="1">S0*EXP((μ-0.5*σ*σ)*T+σ*SQRT(T)*$C4053)</f>
        <v>0.66546139496788248</v>
      </c>
      <c r="E4053" s="5">
        <f ca="1">MAX(0,CP*(D4053-K))</f>
        <v>0</v>
      </c>
      <c r="F4053" s="4">
        <f ca="1">(CP*(D4053-K)&gt;0)*1</f>
        <v>0</v>
      </c>
      <c r="H4053" s="4">
        <v>4038</v>
      </c>
      <c r="I4053" s="3">
        <v>0.66787071190537717</v>
      </c>
      <c r="J4053" s="128">
        <v>1.5458405958314676E-3</v>
      </c>
      <c r="K4053" s="128"/>
      <c r="L4053" s="128">
        <v>4.6399999999999997E-2</v>
      </c>
      <c r="O4053" s="2"/>
    </row>
    <row r="4054" spans="2:15" x14ac:dyDescent="0.2">
      <c r="B4054" s="1">
        <f>B4053+1</f>
        <v>4039</v>
      </c>
      <c r="C4054" s="5">
        <f ca="1"/>
        <v>0.11289482173629213</v>
      </c>
      <c r="D4054" s="5">
        <f ca="1">S0*EXP((μ-0.5*σ*σ)*T+σ*SQRT(T)*$C4054)</f>
        <v>0.67194296397369169</v>
      </c>
      <c r="E4054" s="5">
        <f ca="1">MAX(0,CP*(D4054-K))</f>
        <v>0</v>
      </c>
      <c r="F4054" s="4">
        <f ca="1">(CP*(D4054-K)&gt;0)*1</f>
        <v>0</v>
      </c>
      <c r="H4054" s="4">
        <v>4039</v>
      </c>
      <c r="I4054" s="3">
        <v>0.66772117705020906</v>
      </c>
      <c r="J4054" s="128">
        <v>1.3887424839830833E-3</v>
      </c>
      <c r="K4054" s="128"/>
      <c r="L4054" s="128">
        <v>4.0399999999999998E-2</v>
      </c>
      <c r="O4054" s="2"/>
    </row>
    <row r="4055" spans="2:15" x14ac:dyDescent="0.2">
      <c r="B4055" s="1">
        <f>B4054+1</f>
        <v>4040</v>
      </c>
      <c r="C4055" s="5">
        <f ca="1"/>
        <v>0.35973585113469775</v>
      </c>
      <c r="D4055" s="5">
        <f ca="1">S0*EXP((μ-0.5*σ*σ)*T+σ*SQRT(T)*$C4055)</f>
        <v>0.68849557724878718</v>
      </c>
      <c r="E4055" s="5">
        <f ca="1">MAX(0,CP*(D4055-K))</f>
        <v>0</v>
      </c>
      <c r="F4055" s="4">
        <f ca="1">(CP*(D4055-K)&gt;0)*1</f>
        <v>0</v>
      </c>
      <c r="H4055" s="4">
        <v>4040</v>
      </c>
      <c r="I4055" s="3">
        <v>0.66784287484346827</v>
      </c>
      <c r="J4055" s="128">
        <v>1.4776374532585693E-3</v>
      </c>
      <c r="K4055" s="128"/>
      <c r="L4055" s="128">
        <v>4.58E-2</v>
      </c>
      <c r="O4055" s="2"/>
    </row>
    <row r="4056" spans="2:15" x14ac:dyDescent="0.2">
      <c r="B4056" s="1">
        <f>B4055+1</f>
        <v>4041</v>
      </c>
      <c r="C4056" s="5">
        <f ca="1"/>
        <v>2.1908075525951411</v>
      </c>
      <c r="D4056" s="5">
        <f ca="1">S0*EXP((μ-0.5*σ*σ)*T+σ*SQRT(T)*$C4056)</f>
        <v>0.82470819469254575</v>
      </c>
      <c r="E4056" s="5">
        <f ca="1">MAX(0,CP*(D4056-K))</f>
        <v>3.6508194692545737E-2</v>
      </c>
      <c r="F4056" s="4">
        <f ca="1">(CP*(D4056-K)&gt;0)*1</f>
        <v>1</v>
      </c>
      <c r="H4056" s="4">
        <v>4041</v>
      </c>
      <c r="I4056" s="3">
        <v>0.66779923887123382</v>
      </c>
      <c r="J4056" s="128">
        <v>1.4270067520950843E-3</v>
      </c>
      <c r="K4056" s="128"/>
      <c r="L4056" s="128">
        <v>4.3200000000000002E-2</v>
      </c>
      <c r="O4056" s="2"/>
    </row>
    <row r="4057" spans="2:15" x14ac:dyDescent="0.2">
      <c r="B4057" s="1">
        <f>B4056+1</f>
        <v>4042</v>
      </c>
      <c r="C4057" s="5">
        <f ca="1"/>
        <v>0.31685151630222752</v>
      </c>
      <c r="D4057" s="5">
        <f ca="1">S0*EXP((μ-0.5*σ*σ)*T+σ*SQRT(T)*$C4057)</f>
        <v>0.68559086036346983</v>
      </c>
      <c r="E4057" s="5">
        <f ca="1">MAX(0,CP*(D4057-K))</f>
        <v>0</v>
      </c>
      <c r="F4057" s="4">
        <f ca="1">(CP*(D4057-K)&gt;0)*1</f>
        <v>0</v>
      </c>
      <c r="H4057" s="4">
        <v>4042</v>
      </c>
      <c r="I4057" s="3">
        <v>0.6680244992908323</v>
      </c>
      <c r="J4057" s="128">
        <v>1.7103101610512475E-3</v>
      </c>
      <c r="K4057" s="128"/>
      <c r="L4057" s="128">
        <v>4.82E-2</v>
      </c>
      <c r="O4057" s="2"/>
    </row>
    <row r="4058" spans="2:15" x14ac:dyDescent="0.2">
      <c r="B4058" s="1">
        <f>B4057+1</f>
        <v>4043</v>
      </c>
      <c r="C4058" s="5">
        <f ca="1"/>
        <v>-0.42845116410201761</v>
      </c>
      <c r="D4058" s="5">
        <f ca="1">S0*EXP((μ-0.5*σ*σ)*T+σ*SQRT(T)*$C4058)</f>
        <v>0.6370215789382554</v>
      </c>
      <c r="E4058" s="5">
        <f ca="1">MAX(0,CP*(D4058-K))</f>
        <v>0</v>
      </c>
      <c r="F4058" s="4">
        <f ca="1">(CP*(D4058-K)&gt;0)*1</f>
        <v>0</v>
      </c>
      <c r="H4058" s="4">
        <v>4043</v>
      </c>
      <c r="I4058" s="3">
        <v>0.66776511123156235</v>
      </c>
      <c r="J4058" s="128">
        <v>1.214524885936843E-3</v>
      </c>
      <c r="K4058" s="128"/>
      <c r="L4058" s="128">
        <v>4.2200000000000001E-2</v>
      </c>
      <c r="O4058" s="2"/>
    </row>
    <row r="4059" spans="2:15" x14ac:dyDescent="0.2">
      <c r="B4059" s="1">
        <f>B4058+1</f>
        <v>4044</v>
      </c>
      <c r="C4059" s="5">
        <f ca="1"/>
        <v>0.43284854841454612</v>
      </c>
      <c r="D4059" s="5">
        <f ca="1">S0*EXP((μ-0.5*σ*σ)*T+σ*SQRT(T)*$C4059)</f>
        <v>0.69347617901357184</v>
      </c>
      <c r="E4059" s="5">
        <f ca="1">MAX(0,CP*(D4059-K))</f>
        <v>0</v>
      </c>
      <c r="F4059" s="4">
        <f ca="1">(CP*(D4059-K)&gt;0)*1</f>
        <v>0</v>
      </c>
      <c r="H4059" s="4">
        <v>4044</v>
      </c>
      <c r="I4059" s="3">
        <v>0.66791997593817509</v>
      </c>
      <c r="J4059" s="128">
        <v>1.5419053328112624E-3</v>
      </c>
      <c r="K4059" s="128"/>
      <c r="L4059" s="128">
        <v>4.6199999999999998E-2</v>
      </c>
      <c r="O4059" s="2"/>
    </row>
    <row r="4060" spans="2:15" x14ac:dyDescent="0.2">
      <c r="B4060" s="1">
        <f>B4059+1</f>
        <v>4045</v>
      </c>
      <c r="C4060" s="5">
        <f ca="1"/>
        <v>1.8440328897662068</v>
      </c>
      <c r="D4060" s="5">
        <f ca="1">S0*EXP((μ-0.5*σ*σ)*T+σ*SQRT(T)*$C4060)</f>
        <v>0.79698988214478117</v>
      </c>
      <c r="E4060" s="5">
        <f ca="1">MAX(0,CP*(D4060-K))</f>
        <v>8.7898821447811581E-3</v>
      </c>
      <c r="F4060" s="4">
        <f ca="1">(CP*(D4060-K)&gt;0)*1</f>
        <v>1</v>
      </c>
      <c r="H4060" s="4">
        <v>4045</v>
      </c>
      <c r="I4060" s="3">
        <v>0.6677761756940026</v>
      </c>
      <c r="J4060" s="128">
        <v>1.4328841569596013E-3</v>
      </c>
      <c r="K4060" s="128"/>
      <c r="L4060" s="128">
        <v>4.1000000000000002E-2</v>
      </c>
      <c r="O4060" s="2"/>
    </row>
    <row r="4061" spans="2:15" x14ac:dyDescent="0.2">
      <c r="B4061" s="1">
        <f>B4060+1</f>
        <v>4046</v>
      </c>
      <c r="C4061" s="5">
        <f ca="1"/>
        <v>-0.26932086376200681</v>
      </c>
      <c r="D4061" s="5">
        <f ca="1">S0*EXP((μ-0.5*σ*σ)*T+σ*SQRT(T)*$C4061)</f>
        <v>0.64709413891140422</v>
      </c>
      <c r="E4061" s="5">
        <f ca="1">MAX(0,CP*(D4061-K))</f>
        <v>0</v>
      </c>
      <c r="F4061" s="4">
        <f ca="1">(CP*(D4061-K)&gt;0)*1</f>
        <v>0</v>
      </c>
      <c r="H4061" s="4">
        <v>4046</v>
      </c>
      <c r="I4061" s="3">
        <v>0.66758864895528791</v>
      </c>
      <c r="J4061" s="128">
        <v>1.1841584215295227E-3</v>
      </c>
      <c r="K4061" s="128"/>
      <c r="L4061" s="128">
        <v>4.0399999999999998E-2</v>
      </c>
      <c r="O4061" s="2"/>
    </row>
    <row r="4062" spans="2:15" x14ac:dyDescent="0.2">
      <c r="B4062" s="1">
        <f>B4061+1</f>
        <v>4047</v>
      </c>
      <c r="C4062" s="5">
        <f ca="1"/>
        <v>-0.13116215701272649</v>
      </c>
      <c r="D4062" s="5">
        <f ca="1">S0*EXP((μ-0.5*σ*σ)*T+σ*SQRT(T)*$C4062)</f>
        <v>0.65596832444674869</v>
      </c>
      <c r="E4062" s="5">
        <f ca="1">MAX(0,CP*(D4062-K))</f>
        <v>0</v>
      </c>
      <c r="F4062" s="4">
        <f ca="1">(CP*(D4062-K)&gt;0)*1</f>
        <v>0</v>
      </c>
      <c r="H4062" s="4">
        <v>4047</v>
      </c>
      <c r="I4062" s="3">
        <v>0.66776715167144851</v>
      </c>
      <c r="J4062" s="128">
        <v>1.3465529115708134E-3</v>
      </c>
      <c r="K4062" s="128"/>
      <c r="L4062" s="128">
        <v>4.1799999999999997E-2</v>
      </c>
      <c r="O4062" s="2"/>
    </row>
    <row r="4063" spans="2:15" x14ac:dyDescent="0.2">
      <c r="B4063" s="1">
        <f>B4062+1</f>
        <v>4048</v>
      </c>
      <c r="C4063" s="5">
        <f ca="1"/>
        <v>-0.44267782617310963</v>
      </c>
      <c r="D4063" s="5">
        <f ca="1">S0*EXP((μ-0.5*σ*σ)*T+σ*SQRT(T)*$C4063)</f>
        <v>0.63612873747254428</v>
      </c>
      <c r="E4063" s="5">
        <f ca="1">MAX(0,CP*(D4063-K))</f>
        <v>0</v>
      </c>
      <c r="F4063" s="4">
        <f ca="1">(CP*(D4063-K)&gt;0)*1</f>
        <v>0</v>
      </c>
      <c r="H4063" s="4">
        <v>4048</v>
      </c>
      <c r="I4063" s="3">
        <v>0.66785332662454477</v>
      </c>
      <c r="J4063" s="128">
        <v>1.6092775693072017E-3</v>
      </c>
      <c r="K4063" s="128"/>
      <c r="L4063" s="128">
        <v>4.4200000000000003E-2</v>
      </c>
      <c r="O4063" s="2"/>
    </row>
    <row r="4064" spans="2:15" x14ac:dyDescent="0.2">
      <c r="B4064" s="1">
        <f>B4063+1</f>
        <v>4049</v>
      </c>
      <c r="C4064" s="5">
        <f ca="1"/>
        <v>-0.60243214546856871</v>
      </c>
      <c r="D4064" s="5">
        <f ca="1">S0*EXP((μ-0.5*σ*σ)*T+σ*SQRT(T)*$C4064)</f>
        <v>0.62618833854503597</v>
      </c>
      <c r="E4064" s="5">
        <f ca="1">MAX(0,CP*(D4064-K))</f>
        <v>0</v>
      </c>
      <c r="F4064" s="4">
        <f ca="1">(CP*(D4064-K)&gt;0)*1</f>
        <v>0</v>
      </c>
      <c r="H4064" s="4">
        <v>4049</v>
      </c>
      <c r="I4064" s="3">
        <v>0.66767957710716719</v>
      </c>
      <c r="J4064" s="128">
        <v>1.2326407545629066E-3</v>
      </c>
      <c r="K4064" s="128"/>
      <c r="L4064" s="128">
        <v>4.2000000000000003E-2</v>
      </c>
      <c r="O4064" s="2"/>
    </row>
    <row r="4065" spans="2:15" x14ac:dyDescent="0.2">
      <c r="B4065" s="1">
        <f>B4064+1</f>
        <v>4050</v>
      </c>
      <c r="C4065" s="5">
        <f ca="1"/>
        <v>0.88055192262159387</v>
      </c>
      <c r="D4065" s="5">
        <f ca="1">S0*EXP((μ-0.5*σ*σ)*T+σ*SQRT(T)*$C4065)</f>
        <v>0.72477034060190848</v>
      </c>
      <c r="E4065" s="5">
        <f ca="1">MAX(0,CP*(D4065-K))</f>
        <v>0</v>
      </c>
      <c r="F4065" s="4">
        <f ca="1">(CP*(D4065-K)&gt;0)*1</f>
        <v>0</v>
      </c>
      <c r="H4065" s="4">
        <v>4050</v>
      </c>
      <c r="I4065" s="3">
        <v>0.66775920922041698</v>
      </c>
      <c r="J4065" s="128">
        <v>1.3945642923235938E-3</v>
      </c>
      <c r="K4065" s="128"/>
      <c r="L4065" s="128">
        <v>4.2200000000000001E-2</v>
      </c>
      <c r="O4065" s="2"/>
    </row>
    <row r="4066" spans="2:15" x14ac:dyDescent="0.2">
      <c r="B4066" s="1">
        <f>B4065+1</f>
        <v>4051</v>
      </c>
      <c r="C4066" s="5">
        <f ca="1"/>
        <v>1.2685743164073602</v>
      </c>
      <c r="D4066" s="5">
        <f ca="1">S0*EXP((μ-0.5*σ*σ)*T+σ*SQRT(T)*$C4066)</f>
        <v>0.75303294544615185</v>
      </c>
      <c r="E4066" s="5">
        <f ca="1">MAX(0,CP*(D4066-K))</f>
        <v>0</v>
      </c>
      <c r="F4066" s="4">
        <f ca="1">(CP*(D4066-K)&gt;0)*1</f>
        <v>0</v>
      </c>
      <c r="H4066" s="4">
        <v>4051</v>
      </c>
      <c r="I4066" s="3">
        <v>0.66755557192526505</v>
      </c>
      <c r="J4066" s="128">
        <v>1.1135846091249303E-3</v>
      </c>
      <c r="K4066" s="128"/>
      <c r="L4066" s="128">
        <v>3.5799999999999998E-2</v>
      </c>
      <c r="O4066" s="2"/>
    </row>
    <row r="4067" spans="2:15" x14ac:dyDescent="0.2">
      <c r="B4067" s="1">
        <f>B4066+1</f>
        <v>4052</v>
      </c>
      <c r="C4067" s="5">
        <f ca="1"/>
        <v>0.36507446310937813</v>
      </c>
      <c r="D4067" s="5">
        <f ca="1">S0*EXP((μ-0.5*σ*σ)*T+σ*SQRT(T)*$C4067)</f>
        <v>0.68885804178858046</v>
      </c>
      <c r="E4067" s="5">
        <f ca="1">MAX(0,CP*(D4067-K))</f>
        <v>0</v>
      </c>
      <c r="F4067" s="4">
        <f ca="1">(CP*(D4067-K)&gt;0)*1</f>
        <v>0</v>
      </c>
      <c r="H4067" s="4">
        <v>4052</v>
      </c>
      <c r="I4067" s="3">
        <v>0.66788293963534529</v>
      </c>
      <c r="J4067" s="128">
        <v>1.5337171531365672E-3</v>
      </c>
      <c r="K4067" s="128"/>
      <c r="L4067" s="128">
        <v>4.58E-2</v>
      </c>
      <c r="O4067" s="2"/>
    </row>
    <row r="4068" spans="2:15" x14ac:dyDescent="0.2">
      <c r="B4068" s="1">
        <f>B4067+1</f>
        <v>4053</v>
      </c>
      <c r="C4068" s="5">
        <f ca="1"/>
        <v>-0.75983573972266938</v>
      </c>
      <c r="D4068" s="5">
        <f ca="1">S0*EXP((μ-0.5*σ*σ)*T+σ*SQRT(T)*$C4068)</f>
        <v>0.6165461414842176</v>
      </c>
      <c r="E4068" s="5">
        <f ca="1">MAX(0,CP*(D4068-K))</f>
        <v>0</v>
      </c>
      <c r="F4068" s="4">
        <f ca="1">(CP*(D4068-K)&gt;0)*1</f>
        <v>0</v>
      </c>
      <c r="H4068" s="4">
        <v>4053</v>
      </c>
      <c r="I4068" s="3">
        <v>0.6678597757960536</v>
      </c>
      <c r="J4068" s="128">
        <v>1.4122052326196949E-3</v>
      </c>
      <c r="K4068" s="128"/>
      <c r="L4068" s="128">
        <v>4.1799999999999997E-2</v>
      </c>
      <c r="O4068" s="2"/>
    </row>
    <row r="4069" spans="2:15" x14ac:dyDescent="0.2">
      <c r="B4069" s="1">
        <f>B4068+1</f>
        <v>4054</v>
      </c>
      <c r="C4069" s="5">
        <f ca="1"/>
        <v>-0.14426274598275576</v>
      </c>
      <c r="D4069" s="5">
        <f ca="1">S0*EXP((μ-0.5*σ*σ)*T+σ*SQRT(T)*$C4069)</f>
        <v>0.65512165286546276</v>
      </c>
      <c r="E4069" s="5">
        <f ca="1">MAX(0,CP*(D4069-K))</f>
        <v>0</v>
      </c>
      <c r="F4069" s="4">
        <f ca="1">(CP*(D4069-K)&gt;0)*1</f>
        <v>0</v>
      </c>
      <c r="H4069" s="4">
        <v>4054</v>
      </c>
      <c r="I4069" s="3">
        <v>0.66776352044281506</v>
      </c>
      <c r="J4069" s="128">
        <v>1.2881814898240264E-3</v>
      </c>
      <c r="K4069" s="128"/>
      <c r="L4069" s="128">
        <v>4.48E-2</v>
      </c>
      <c r="O4069" s="2"/>
    </row>
    <row r="4070" spans="2:15" x14ac:dyDescent="0.2">
      <c r="B4070" s="1">
        <f>B4069+1</f>
        <v>4055</v>
      </c>
      <c r="C4070" s="5">
        <f ca="1"/>
        <v>0.45824371979242362</v>
      </c>
      <c r="D4070" s="5">
        <f ca="1">S0*EXP((μ-0.5*σ*σ)*T+σ*SQRT(T)*$C4070)</f>
        <v>0.69521457291330213</v>
      </c>
      <c r="E4070" s="5">
        <f ca="1">MAX(0,CP*(D4070-K))</f>
        <v>0</v>
      </c>
      <c r="F4070" s="4">
        <f ca="1">(CP*(D4070-K)&gt;0)*1</f>
        <v>0</v>
      </c>
      <c r="H4070" s="4">
        <v>4055</v>
      </c>
      <c r="I4070" s="3">
        <v>0.66774366698773646</v>
      </c>
      <c r="J4070" s="128">
        <v>1.3885601233167674E-3</v>
      </c>
      <c r="K4070" s="128"/>
      <c r="L4070" s="128">
        <v>4.1399999999999999E-2</v>
      </c>
      <c r="O4070" s="2"/>
    </row>
    <row r="4071" spans="2:15" x14ac:dyDescent="0.2">
      <c r="B4071" s="1">
        <f>B4070+1</f>
        <v>4056</v>
      </c>
      <c r="C4071" s="5">
        <f ca="1"/>
        <v>0.54168222075893746</v>
      </c>
      <c r="D4071" s="5">
        <f ca="1">S0*EXP((μ-0.5*σ*σ)*T+σ*SQRT(T)*$C4071)</f>
        <v>0.70095698766144576</v>
      </c>
      <c r="E4071" s="5">
        <f ca="1">MAX(0,CP*(D4071-K))</f>
        <v>0</v>
      </c>
      <c r="F4071" s="4">
        <f ca="1">(CP*(D4071-K)&gt;0)*1</f>
        <v>0</v>
      </c>
      <c r="H4071" s="4">
        <v>4056</v>
      </c>
      <c r="I4071" s="3">
        <v>0.66761094681334376</v>
      </c>
      <c r="J4071" s="128">
        <v>1.1328313559820125E-3</v>
      </c>
      <c r="K4071" s="128"/>
      <c r="L4071" s="128">
        <v>3.78E-2</v>
      </c>
      <c r="O4071" s="2"/>
    </row>
    <row r="4072" spans="2:15" x14ac:dyDescent="0.2">
      <c r="B4072" s="1">
        <f>B4071+1</f>
        <v>4057</v>
      </c>
      <c r="C4072" s="5">
        <f ca="1"/>
        <v>-1.3520677914417827</v>
      </c>
      <c r="D4072" s="5">
        <f ca="1">S0*EXP((μ-0.5*σ*σ)*T+σ*SQRT(T)*$C4072)</f>
        <v>0.58157881756073371</v>
      </c>
      <c r="E4072" s="5">
        <f ca="1">MAX(0,CP*(D4072-K))</f>
        <v>0</v>
      </c>
      <c r="F4072" s="4">
        <f ca="1">(CP*(D4072-K)&gt;0)*1</f>
        <v>0</v>
      </c>
      <c r="H4072" s="4">
        <v>4057</v>
      </c>
      <c r="I4072" s="3">
        <v>0.66777005639557241</v>
      </c>
      <c r="J4072" s="128">
        <v>1.4815997308892405E-3</v>
      </c>
      <c r="K4072" s="128"/>
      <c r="L4072" s="128">
        <v>4.02E-2</v>
      </c>
      <c r="O4072" s="2"/>
    </row>
    <row r="4073" spans="2:15" x14ac:dyDescent="0.2">
      <c r="B4073" s="1">
        <f>B4072+1</f>
        <v>4058</v>
      </c>
      <c r="C4073" s="5">
        <f ca="1"/>
        <v>0.34148825336404426</v>
      </c>
      <c r="D4073" s="5">
        <f ca="1">S0*EXP((μ-0.5*σ*σ)*T+σ*SQRT(T)*$C4073)</f>
        <v>0.687258097818647</v>
      </c>
      <c r="E4073" s="5">
        <f ca="1">MAX(0,CP*(D4073-K))</f>
        <v>0</v>
      </c>
      <c r="F4073" s="4">
        <f ca="1">(CP*(D4073-K)&gt;0)*1</f>
        <v>0</v>
      </c>
      <c r="H4073" s="4">
        <v>4058</v>
      </c>
      <c r="I4073" s="3">
        <v>0.66773337860880788</v>
      </c>
      <c r="J4073" s="128">
        <v>1.2976749696713755E-3</v>
      </c>
      <c r="K4073" s="128"/>
      <c r="L4073" s="128">
        <v>4.2000000000000003E-2</v>
      </c>
      <c r="O4073" s="2"/>
    </row>
    <row r="4074" spans="2:15" x14ac:dyDescent="0.2">
      <c r="B4074" s="1">
        <f>B4073+1</f>
        <v>4059</v>
      </c>
      <c r="C4074" s="5">
        <f ca="1"/>
        <v>0.64996429530575706</v>
      </c>
      <c r="D4074" s="5">
        <f ca="1">S0*EXP((μ-0.5*σ*σ)*T+σ*SQRT(T)*$C4074)</f>
        <v>0.70847996618926168</v>
      </c>
      <c r="E4074" s="5">
        <f ca="1">MAX(0,CP*(D4074-K))</f>
        <v>0</v>
      </c>
      <c r="F4074" s="4">
        <f ca="1">(CP*(D4074-K)&gt;0)*1</f>
        <v>0</v>
      </c>
      <c r="H4074" s="4">
        <v>4059</v>
      </c>
      <c r="I4074" s="3">
        <v>0.66775865860662231</v>
      </c>
      <c r="J4074" s="128">
        <v>1.2785123035599091E-3</v>
      </c>
      <c r="K4074" s="128"/>
      <c r="L4074" s="128">
        <v>4.2799999999999998E-2</v>
      </c>
      <c r="O4074" s="2"/>
    </row>
    <row r="4075" spans="2:15" x14ac:dyDescent="0.2">
      <c r="B4075" s="1">
        <f>B4074+1</f>
        <v>4060</v>
      </c>
      <c r="C4075" s="5">
        <f ca="1"/>
        <v>1.2305897651081872</v>
      </c>
      <c r="D4075" s="5">
        <f ca="1">S0*EXP((μ-0.5*σ*σ)*T+σ*SQRT(T)*$C4075)</f>
        <v>0.75021826057458363</v>
      </c>
      <c r="E4075" s="5">
        <f ca="1">MAX(0,CP*(D4075-K))</f>
        <v>0</v>
      </c>
      <c r="F4075" s="4">
        <f ca="1">(CP*(D4075-K)&gt;0)*1</f>
        <v>0</v>
      </c>
      <c r="H4075" s="4">
        <v>4060</v>
      </c>
      <c r="I4075" s="3">
        <v>0.66771404319369565</v>
      </c>
      <c r="J4075" s="128">
        <v>1.1768966759139533E-3</v>
      </c>
      <c r="K4075" s="128"/>
      <c r="L4075" s="128">
        <v>4.1399999999999999E-2</v>
      </c>
      <c r="O4075" s="2"/>
    </row>
    <row r="4076" spans="2:15" x14ac:dyDescent="0.2">
      <c r="B4076" s="1">
        <f>B4075+1</f>
        <v>4061</v>
      </c>
      <c r="C4076" s="5">
        <f ca="1"/>
        <v>-0.32534726955004323</v>
      </c>
      <c r="D4076" s="5">
        <f ca="1">S0*EXP((μ-0.5*σ*σ)*T+σ*SQRT(T)*$C4076)</f>
        <v>0.64352976638000292</v>
      </c>
      <c r="E4076" s="5">
        <f ca="1">MAX(0,CP*(D4076-K))</f>
        <v>0</v>
      </c>
      <c r="F4076" s="4">
        <f ca="1">(CP*(D4076-K)&gt;0)*1</f>
        <v>0</v>
      </c>
      <c r="H4076" s="4">
        <v>4061</v>
      </c>
      <c r="I4076" s="3">
        <v>0.66798439373203022</v>
      </c>
      <c r="J4076" s="128">
        <v>1.5771781031288633E-3</v>
      </c>
      <c r="K4076" s="128"/>
      <c r="L4076" s="128">
        <v>4.5400000000000003E-2</v>
      </c>
      <c r="O4076" s="2"/>
    </row>
    <row r="4077" spans="2:15" x14ac:dyDescent="0.2">
      <c r="B4077" s="1">
        <f>B4076+1</f>
        <v>4062</v>
      </c>
      <c r="C4077" s="5">
        <f ca="1"/>
        <v>2.9427067993460933E-2</v>
      </c>
      <c r="D4077" s="5">
        <f ca="1">S0*EXP((μ-0.5*σ*σ)*T+σ*SQRT(T)*$C4077)</f>
        <v>0.66643631737896902</v>
      </c>
      <c r="E4077" s="5">
        <f ca="1">MAX(0,CP*(D4077-K))</f>
        <v>0</v>
      </c>
      <c r="F4077" s="4">
        <f ca="1">(CP*(D4077-K)&gt;0)*1</f>
        <v>0</v>
      </c>
      <c r="H4077" s="4">
        <v>4062</v>
      </c>
      <c r="I4077" s="3">
        <v>0.66779119978388135</v>
      </c>
      <c r="J4077" s="128">
        <v>1.4357909396439871E-3</v>
      </c>
      <c r="K4077" s="128"/>
      <c r="L4077" s="128">
        <v>4.2799999999999998E-2</v>
      </c>
      <c r="O4077" s="2"/>
    </row>
    <row r="4078" spans="2:15" x14ac:dyDescent="0.2">
      <c r="B4078" s="1">
        <f>B4077+1</f>
        <v>4063</v>
      </c>
      <c r="C4078" s="5">
        <f ca="1"/>
        <v>1.8037267718558885</v>
      </c>
      <c r="D4078" s="5">
        <f ca="1">S0*EXP((μ-0.5*σ*σ)*T+σ*SQRT(T)*$C4078)</f>
        <v>0.79382918479649489</v>
      </c>
      <c r="E4078" s="5">
        <f ca="1">MAX(0,CP*(D4078-K))</f>
        <v>5.6291847964948794E-3</v>
      </c>
      <c r="F4078" s="4">
        <f ca="1">(CP*(D4078-K)&gt;0)*1</f>
        <v>1</v>
      </c>
      <c r="H4078" s="4">
        <v>4063</v>
      </c>
      <c r="I4078" s="3">
        <v>0.66769792374913828</v>
      </c>
      <c r="J4078" s="128">
        <v>1.2688348913102968E-3</v>
      </c>
      <c r="K4078" s="128"/>
      <c r="L4078" s="128">
        <v>4.2599999999999999E-2</v>
      </c>
      <c r="O4078" s="2"/>
    </row>
    <row r="4079" spans="2:15" x14ac:dyDescent="0.2">
      <c r="B4079" s="1">
        <f>B4078+1</f>
        <v>4064</v>
      </c>
      <c r="C4079" s="5">
        <f ca="1"/>
        <v>1.5249357448284435</v>
      </c>
      <c r="D4079" s="5">
        <f ca="1">S0*EXP((μ-0.5*σ*σ)*T+σ*SQRT(T)*$C4079)</f>
        <v>0.77230766750028257</v>
      </c>
      <c r="E4079" s="5">
        <f ca="1">MAX(0,CP*(D4079-K))</f>
        <v>0</v>
      </c>
      <c r="F4079" s="4">
        <f ca="1">(CP*(D4079-K)&gt;0)*1</f>
        <v>0</v>
      </c>
      <c r="H4079" s="4">
        <v>4064</v>
      </c>
      <c r="I4079" s="3">
        <v>0.66783664127261599</v>
      </c>
      <c r="J4079" s="128">
        <v>1.4433762173900384E-3</v>
      </c>
      <c r="K4079" s="128"/>
      <c r="L4079" s="128">
        <v>4.2599999999999999E-2</v>
      </c>
      <c r="O4079" s="2"/>
    </row>
    <row r="4080" spans="2:15" x14ac:dyDescent="0.2">
      <c r="B4080" s="1">
        <f>B4079+1</f>
        <v>4065</v>
      </c>
      <c r="C4080" s="5">
        <f ca="1"/>
        <v>0.5866948804726666</v>
      </c>
      <c r="D4080" s="5">
        <f ca="1">S0*EXP((μ-0.5*σ*σ)*T+σ*SQRT(T)*$C4080)</f>
        <v>0.70407452563820583</v>
      </c>
      <c r="E4080" s="5">
        <f ca="1">MAX(0,CP*(D4080-K))</f>
        <v>0</v>
      </c>
      <c r="F4080" s="4">
        <f ca="1">(CP*(D4080-K)&gt;0)*1</f>
        <v>0</v>
      </c>
      <c r="H4080" s="4">
        <v>4065</v>
      </c>
      <c r="I4080" s="3">
        <v>0.66768177979821097</v>
      </c>
      <c r="J4080" s="128">
        <v>1.264205244742985E-3</v>
      </c>
      <c r="K4080" s="128"/>
      <c r="L4080" s="128">
        <v>3.78E-2</v>
      </c>
      <c r="O4080" s="2"/>
    </row>
    <row r="4081" spans="2:15" x14ac:dyDescent="0.2">
      <c r="B4081" s="1">
        <f>B4080+1</f>
        <v>4066</v>
      </c>
      <c r="C4081" s="5">
        <f ca="1"/>
        <v>-0.4702797135165554</v>
      </c>
      <c r="D4081" s="5">
        <f ca="1">S0*EXP((μ-0.5*σ*σ)*T+σ*SQRT(T)*$C4081)</f>
        <v>0.63440005691341295</v>
      </c>
      <c r="E4081" s="5">
        <f ca="1">MAX(0,CP*(D4081-K))</f>
        <v>0</v>
      </c>
      <c r="F4081" s="4">
        <f ca="1">(CP*(D4081-K)&gt;0)*1</f>
        <v>0</v>
      </c>
      <c r="H4081" s="4">
        <v>4066</v>
      </c>
      <c r="I4081" s="3">
        <v>0.66763840761382087</v>
      </c>
      <c r="J4081" s="128">
        <v>1.252720408545898E-3</v>
      </c>
      <c r="K4081" s="128"/>
      <c r="L4081" s="128">
        <v>3.9E-2</v>
      </c>
      <c r="O4081" s="2"/>
    </row>
    <row r="4082" spans="2:15" x14ac:dyDescent="0.2">
      <c r="B4082" s="1">
        <f>B4081+1</f>
        <v>4067</v>
      </c>
      <c r="C4082" s="5">
        <f ca="1"/>
        <v>-0.54784542812448178</v>
      </c>
      <c r="D4082" s="5">
        <f ca="1">S0*EXP((μ-0.5*σ*σ)*T+σ*SQRT(T)*$C4082)</f>
        <v>0.62956729652144561</v>
      </c>
      <c r="E4082" s="5">
        <f ca="1">MAX(0,CP*(D4082-K))</f>
        <v>0</v>
      </c>
      <c r="F4082" s="4">
        <f ca="1">(CP*(D4082-K)&gt;0)*1</f>
        <v>0</v>
      </c>
      <c r="H4082" s="4">
        <v>4067</v>
      </c>
      <c r="I4082" s="3">
        <v>0.66791204630589762</v>
      </c>
      <c r="J4082" s="128">
        <v>1.6525989780927439E-3</v>
      </c>
      <c r="K4082" s="128"/>
      <c r="L4082" s="128">
        <v>4.7E-2</v>
      </c>
      <c r="O4082" s="2"/>
    </row>
    <row r="4083" spans="2:15" x14ac:dyDescent="0.2">
      <c r="B4083" s="1">
        <f>B4082+1</f>
        <v>4068</v>
      </c>
      <c r="C4083" s="5">
        <f ca="1"/>
        <v>-0.29966955580373711</v>
      </c>
      <c r="D4083" s="5">
        <f ca="1">S0*EXP((μ-0.5*σ*σ)*T+σ*SQRT(T)*$C4083)</f>
        <v>0.64516092628603205</v>
      </c>
      <c r="E4083" s="5">
        <f ca="1">MAX(0,CP*(D4083-K))</f>
        <v>0</v>
      </c>
      <c r="F4083" s="4">
        <f ca="1">(CP*(D4083-K)&gt;0)*1</f>
        <v>0</v>
      </c>
      <c r="H4083" s="4">
        <v>4068</v>
      </c>
      <c r="I4083" s="3">
        <v>0.66777387500277441</v>
      </c>
      <c r="J4083" s="128">
        <v>1.3912041516622225E-3</v>
      </c>
      <c r="K4083" s="128"/>
      <c r="L4083" s="128">
        <v>4.5600000000000002E-2</v>
      </c>
      <c r="O4083" s="2"/>
    </row>
    <row r="4084" spans="2:15" x14ac:dyDescent="0.2">
      <c r="B4084" s="1">
        <f>B4083+1</f>
        <v>4069</v>
      </c>
      <c r="C4084" s="5">
        <f ca="1"/>
        <v>-0.26357275536372921</v>
      </c>
      <c r="D4084" s="5">
        <f ca="1">S0*EXP((μ-0.5*σ*σ)*T+σ*SQRT(T)*$C4084)</f>
        <v>0.64746094555883094</v>
      </c>
      <c r="E4084" s="5">
        <f ca="1">MAX(0,CP*(D4084-K))</f>
        <v>0</v>
      </c>
      <c r="F4084" s="4">
        <f ca="1">(CP*(D4084-K)&gt;0)*1</f>
        <v>0</v>
      </c>
      <c r="H4084" s="4">
        <v>4069</v>
      </c>
      <c r="I4084" s="3">
        <v>0.66763954965719452</v>
      </c>
      <c r="J4084" s="128">
        <v>1.4400115704248202E-3</v>
      </c>
      <c r="K4084" s="128"/>
      <c r="L4084" s="128">
        <v>4.4600000000000001E-2</v>
      </c>
      <c r="O4084" s="2"/>
    </row>
    <row r="4085" spans="2:15" x14ac:dyDescent="0.2">
      <c r="B4085" s="1">
        <f>B4084+1</f>
        <v>4070</v>
      </c>
      <c r="C4085" s="5">
        <f ca="1"/>
        <v>-0.87673197091514554</v>
      </c>
      <c r="D4085" s="5">
        <f ca="1">S0*EXP((μ-0.5*σ*σ)*T+σ*SQRT(T)*$C4085)</f>
        <v>0.60948153942862537</v>
      </c>
      <c r="E4085" s="5">
        <f ca="1">MAX(0,CP*(D4085-K))</f>
        <v>0</v>
      </c>
      <c r="F4085" s="4">
        <f ca="1">(CP*(D4085-K)&gt;0)*1</f>
        <v>0</v>
      </c>
      <c r="H4085" s="4">
        <v>4070</v>
      </c>
      <c r="I4085" s="3">
        <v>0.66767831882745854</v>
      </c>
      <c r="J4085" s="128">
        <v>1.305803818454095E-3</v>
      </c>
      <c r="K4085" s="128"/>
      <c r="L4085" s="128">
        <v>4.0599999999999997E-2</v>
      </c>
      <c r="O4085" s="2"/>
    </row>
    <row r="4086" spans="2:15" x14ac:dyDescent="0.2">
      <c r="B4086" s="1">
        <f>B4085+1</f>
        <v>4071</v>
      </c>
      <c r="C4086" s="5">
        <f ca="1"/>
        <v>0.48428543631428955</v>
      </c>
      <c r="D4086" s="5">
        <f ca="1">S0*EXP((μ-0.5*σ*σ)*T+σ*SQRT(T)*$C4086)</f>
        <v>0.69700175093513417</v>
      </c>
      <c r="E4086" s="5">
        <f ca="1">MAX(0,CP*(D4086-K))</f>
        <v>0</v>
      </c>
      <c r="F4086" s="4">
        <f ca="1">(CP*(D4086-K)&gt;0)*1</f>
        <v>0</v>
      </c>
      <c r="H4086" s="4">
        <v>4071</v>
      </c>
      <c r="I4086" s="3">
        <v>0.66771920553829411</v>
      </c>
      <c r="J4086" s="128">
        <v>1.1910119305047046E-3</v>
      </c>
      <c r="K4086" s="128"/>
      <c r="L4086" s="128">
        <v>3.9E-2</v>
      </c>
      <c r="O4086" s="2"/>
    </row>
    <row r="4087" spans="2:15" x14ac:dyDescent="0.2">
      <c r="B4087" s="1">
        <f>B4086+1</f>
        <v>4072</v>
      </c>
      <c r="C4087" s="5">
        <f ca="1"/>
        <v>0.68153081440246743</v>
      </c>
      <c r="D4087" s="5">
        <f ca="1">S0*EXP((μ-0.5*σ*σ)*T+σ*SQRT(T)*$C4087)</f>
        <v>0.71068823500667211</v>
      </c>
      <c r="E4087" s="5">
        <f ca="1">MAX(0,CP*(D4087-K))</f>
        <v>0</v>
      </c>
      <c r="F4087" s="4">
        <f ca="1">(CP*(D4087-K)&gt;0)*1</f>
        <v>0</v>
      </c>
      <c r="H4087" s="4">
        <v>4072</v>
      </c>
      <c r="I4087" s="3">
        <v>0.66768817248942025</v>
      </c>
      <c r="J4087" s="128">
        <v>1.3495088165153095E-3</v>
      </c>
      <c r="K4087" s="128"/>
      <c r="L4087" s="128">
        <v>4.1599999999999998E-2</v>
      </c>
      <c r="O4087" s="2"/>
    </row>
    <row r="4088" spans="2:15" x14ac:dyDescent="0.2">
      <c r="B4088" s="1">
        <f>B4087+1</f>
        <v>4073</v>
      </c>
      <c r="C4088" s="5">
        <f ca="1"/>
        <v>1.1085533808447088</v>
      </c>
      <c r="D4088" s="5">
        <f ca="1">S0*EXP((μ-0.5*σ*σ)*T+σ*SQRT(T)*$C4088)</f>
        <v>0.74124627125529829</v>
      </c>
      <c r="E4088" s="5">
        <f ca="1">MAX(0,CP*(D4088-K))</f>
        <v>0</v>
      </c>
      <c r="F4088" s="4">
        <f ca="1">(CP*(D4088-K)&gt;0)*1</f>
        <v>0</v>
      </c>
      <c r="H4088" s="4">
        <v>4073</v>
      </c>
      <c r="I4088" s="3">
        <v>0.66761616242537347</v>
      </c>
      <c r="J4088" s="128">
        <v>1.2718359252336809E-3</v>
      </c>
      <c r="K4088" s="128"/>
      <c r="L4088" s="128">
        <v>3.7600000000000001E-2</v>
      </c>
      <c r="O4088" s="2"/>
    </row>
    <row r="4089" spans="2:15" x14ac:dyDescent="0.2">
      <c r="B4089" s="1">
        <f>B4088+1</f>
        <v>4074</v>
      </c>
      <c r="C4089" s="5">
        <f ca="1"/>
        <v>0.31629082087242261</v>
      </c>
      <c r="D4089" s="5">
        <f ca="1">S0*EXP((μ-0.5*σ*σ)*T+σ*SQRT(T)*$C4089)</f>
        <v>0.68555296363214036</v>
      </c>
      <c r="E4089" s="5">
        <f ca="1">MAX(0,CP*(D4089-K))</f>
        <v>0</v>
      </c>
      <c r="F4089" s="4">
        <f ca="1">(CP*(D4089-K)&gt;0)*1</f>
        <v>0</v>
      </c>
      <c r="H4089" s="4">
        <v>4074</v>
      </c>
      <c r="I4089" s="3">
        <v>0.66762690591893548</v>
      </c>
      <c r="J4089" s="128">
        <v>1.1713565819944601E-3</v>
      </c>
      <c r="K4089" s="128"/>
      <c r="L4089" s="128">
        <v>3.9199999999999999E-2</v>
      </c>
      <c r="O4089" s="2"/>
    </row>
    <row r="4090" spans="2:15" x14ac:dyDescent="0.2">
      <c r="B4090" s="1">
        <f>B4089+1</f>
        <v>4075</v>
      </c>
      <c r="C4090" s="5">
        <f ca="1"/>
        <v>-1.2298459456890085</v>
      </c>
      <c r="D4090" s="5">
        <f ca="1">S0*EXP((μ-0.5*σ*σ)*T+σ*SQRT(T)*$C4090)</f>
        <v>0.58862896648473684</v>
      </c>
      <c r="E4090" s="5">
        <f ca="1">MAX(0,CP*(D4090-K))</f>
        <v>0</v>
      </c>
      <c r="F4090" s="4">
        <f ca="1">(CP*(D4090-K)&gt;0)*1</f>
        <v>0</v>
      </c>
      <c r="H4090" s="4">
        <v>4075</v>
      </c>
      <c r="I4090" s="3">
        <v>0.66755764290313602</v>
      </c>
      <c r="J4090" s="128">
        <v>1.1554282617651265E-3</v>
      </c>
      <c r="K4090" s="128"/>
      <c r="L4090" s="128">
        <v>3.6799999999999999E-2</v>
      </c>
      <c r="O4090" s="2"/>
    </row>
    <row r="4091" spans="2:15" x14ac:dyDescent="0.2">
      <c r="B4091" s="1">
        <f>B4090+1</f>
        <v>4076</v>
      </c>
      <c r="C4091" s="5">
        <f ca="1"/>
        <v>-0.97851900339132847</v>
      </c>
      <c r="D4091" s="5">
        <f ca="1">S0*EXP((μ-0.5*σ*σ)*T+σ*SQRT(T)*$C4091)</f>
        <v>0.60339602221637467</v>
      </c>
      <c r="E4091" s="5">
        <f ca="1">MAX(0,CP*(D4091-K))</f>
        <v>0</v>
      </c>
      <c r="F4091" s="4">
        <f ca="1">(CP*(D4091-K)&gt;0)*1</f>
        <v>0</v>
      </c>
      <c r="H4091" s="4">
        <v>4076</v>
      </c>
      <c r="I4091" s="3">
        <v>0.66769766158878618</v>
      </c>
      <c r="J4091" s="128">
        <v>1.1129932634623117E-3</v>
      </c>
      <c r="K4091" s="128"/>
      <c r="L4091" s="128">
        <v>3.8600000000000002E-2</v>
      </c>
      <c r="O4091" s="2"/>
    </row>
    <row r="4092" spans="2:15" x14ac:dyDescent="0.2">
      <c r="B4092" s="1">
        <f>B4091+1</f>
        <v>4077</v>
      </c>
      <c r="C4092" s="5">
        <f ca="1"/>
        <v>-0.15117008048786137</v>
      </c>
      <c r="D4092" s="5">
        <f ca="1">S0*EXP((μ-0.5*σ*σ)*T+σ*SQRT(T)*$C4092)</f>
        <v>0.65467568219409134</v>
      </c>
      <c r="E4092" s="5">
        <f ca="1">MAX(0,CP*(D4092-K))</f>
        <v>0</v>
      </c>
      <c r="F4092" s="4">
        <f ca="1">(CP*(D4092-K)&gt;0)*1</f>
        <v>0</v>
      </c>
      <c r="H4092" s="4">
        <v>4077</v>
      </c>
      <c r="I4092" s="3">
        <v>0.66764252608453378</v>
      </c>
      <c r="J4092" s="128">
        <v>1.2346230154828147E-3</v>
      </c>
      <c r="K4092" s="128"/>
      <c r="L4092" s="128">
        <v>3.9199999999999999E-2</v>
      </c>
      <c r="O4092" s="2"/>
    </row>
    <row r="4093" spans="2:15" x14ac:dyDescent="0.2">
      <c r="B4093" s="1">
        <f>B4092+1</f>
        <v>4078</v>
      </c>
      <c r="C4093" s="5">
        <f ca="1"/>
        <v>0.24112280371184758</v>
      </c>
      <c r="D4093" s="5">
        <f ca="1">S0*EXP((μ-0.5*σ*σ)*T+σ*SQRT(T)*$C4093)</f>
        <v>0.68049136592766513</v>
      </c>
      <c r="E4093" s="5">
        <f ca="1">MAX(0,CP*(D4093-K))</f>
        <v>0</v>
      </c>
      <c r="F4093" s="4">
        <f ca="1">(CP*(D4093-K)&gt;0)*1</f>
        <v>0</v>
      </c>
      <c r="H4093" s="4">
        <v>4078</v>
      </c>
      <c r="I4093" s="3">
        <v>0.66777049005808964</v>
      </c>
      <c r="J4093" s="128">
        <v>1.4740975521859362E-3</v>
      </c>
      <c r="K4093" s="128"/>
      <c r="L4093" s="128">
        <v>4.1200000000000001E-2</v>
      </c>
      <c r="O4093" s="2"/>
    </row>
    <row r="4094" spans="2:15" x14ac:dyDescent="0.2">
      <c r="B4094" s="1">
        <f>B4093+1</f>
        <v>4079</v>
      </c>
      <c r="C4094" s="5">
        <f ca="1"/>
        <v>-0.66606293449755738</v>
      </c>
      <c r="D4094" s="5">
        <f ca="1">S0*EXP((μ-0.5*σ*σ)*T+σ*SQRT(T)*$C4094)</f>
        <v>0.62227243028318724</v>
      </c>
      <c r="E4094" s="5">
        <f ca="1">MAX(0,CP*(D4094-K))</f>
        <v>0</v>
      </c>
      <c r="F4094" s="4">
        <f ca="1">(CP*(D4094-K)&gt;0)*1</f>
        <v>0</v>
      </c>
      <c r="H4094" s="4">
        <v>4079</v>
      </c>
      <c r="I4094" s="3">
        <v>0.6677440213694501</v>
      </c>
      <c r="J4094" s="128">
        <v>1.3178411370087218E-3</v>
      </c>
      <c r="K4094" s="128"/>
      <c r="L4094" s="128">
        <v>0.04</v>
      </c>
      <c r="O4094" s="2"/>
    </row>
    <row r="4095" spans="2:15" x14ac:dyDescent="0.2">
      <c r="B4095" s="1">
        <f>B4094+1</f>
        <v>4080</v>
      </c>
      <c r="C4095" s="5">
        <f ca="1"/>
        <v>0.94305057118825952</v>
      </c>
      <c r="D4095" s="5">
        <f ca="1">S0*EXP((μ-0.5*σ*σ)*T+σ*SQRT(T)*$C4095)</f>
        <v>0.72924985995855807</v>
      </c>
      <c r="E4095" s="5">
        <f ca="1">MAX(0,CP*(D4095-K))</f>
        <v>0</v>
      </c>
      <c r="F4095" s="4">
        <f ca="1">(CP*(D4095-K)&gt;0)*1</f>
        <v>0</v>
      </c>
      <c r="H4095" s="4">
        <v>4080</v>
      </c>
      <c r="I4095" s="3">
        <v>0.66774097148657652</v>
      </c>
      <c r="J4095" s="128">
        <v>1.3172271109726727E-3</v>
      </c>
      <c r="K4095" s="128"/>
      <c r="L4095" s="128">
        <v>3.9399999999999998E-2</v>
      </c>
      <c r="O4095" s="2"/>
    </row>
    <row r="4096" spans="2:15" x14ac:dyDescent="0.2">
      <c r="B4096" s="1">
        <f>B4095+1</f>
        <v>4081</v>
      </c>
      <c r="C4096" s="5">
        <f ca="1"/>
        <v>1.5972037272660164</v>
      </c>
      <c r="D4096" s="5">
        <f ca="1">S0*EXP((μ-0.5*σ*σ)*T+σ*SQRT(T)*$C4096)</f>
        <v>0.77782978990082474</v>
      </c>
      <c r="E4096" s="5">
        <f ca="1">MAX(0,CP*(D4096-K))</f>
        <v>0</v>
      </c>
      <c r="F4096" s="4">
        <f ca="1">(CP*(D4096-K)&gt;0)*1</f>
        <v>0</v>
      </c>
      <c r="H4096" s="4">
        <v>4081</v>
      </c>
      <c r="I4096" s="3">
        <v>0.66764786965087719</v>
      </c>
      <c r="J4096" s="128">
        <v>1.2046189648757754E-3</v>
      </c>
      <c r="K4096" s="128"/>
      <c r="L4096" s="128">
        <v>3.5999999999999997E-2</v>
      </c>
      <c r="O4096" s="2"/>
    </row>
    <row r="4097" spans="2:15" x14ac:dyDescent="0.2">
      <c r="B4097" s="1">
        <f>B4096+1</f>
        <v>4082</v>
      </c>
      <c r="C4097" s="5">
        <f ca="1"/>
        <v>0.33302178617871897</v>
      </c>
      <c r="D4097" s="5">
        <f ca="1">S0*EXP((μ-0.5*σ*σ)*T+σ*SQRT(T)*$C4097)</f>
        <v>0.68668469136280097</v>
      </c>
      <c r="E4097" s="5">
        <f ca="1">MAX(0,CP*(D4097-K))</f>
        <v>0</v>
      </c>
      <c r="F4097" s="4">
        <f ca="1">(CP*(D4097-K)&gt;0)*1</f>
        <v>0</v>
      </c>
      <c r="H4097" s="4">
        <v>4082</v>
      </c>
      <c r="I4097" s="3">
        <v>0.6677480194322799</v>
      </c>
      <c r="J4097" s="128">
        <v>1.3920498413185487E-3</v>
      </c>
      <c r="K4097" s="128"/>
      <c r="L4097" s="128">
        <v>3.9800000000000002E-2</v>
      </c>
      <c r="O4097" s="2"/>
    </row>
    <row r="4098" spans="2:15" x14ac:dyDescent="0.2">
      <c r="B4098" s="1">
        <f>B4097+1</f>
        <v>4083</v>
      </c>
      <c r="C4098" s="5">
        <f ca="1"/>
        <v>1.1166061562048437</v>
      </c>
      <c r="D4098" s="5">
        <f ca="1">S0*EXP((μ-0.5*σ*σ)*T+σ*SQRT(T)*$C4098)</f>
        <v>0.74183498236513545</v>
      </c>
      <c r="E4098" s="5">
        <f ca="1">MAX(0,CP*(D4098-K))</f>
        <v>0</v>
      </c>
      <c r="F4098" s="4">
        <f ca="1">(CP*(D4098-K)&gt;0)*1</f>
        <v>0</v>
      </c>
      <c r="H4098" s="4">
        <v>4083</v>
      </c>
      <c r="I4098" s="3">
        <v>0.66775590392078565</v>
      </c>
      <c r="J4098" s="128">
        <v>1.4377147092355345E-3</v>
      </c>
      <c r="K4098" s="128"/>
      <c r="L4098" s="128">
        <v>4.3799999999999999E-2</v>
      </c>
      <c r="O4098" s="2"/>
    </row>
    <row r="4099" spans="2:15" x14ac:dyDescent="0.2">
      <c r="B4099" s="1">
        <f>B4098+1</f>
        <v>4084</v>
      </c>
      <c r="C4099" s="5">
        <f ca="1"/>
        <v>-1.6548826666912924</v>
      </c>
      <c r="D4099" s="5">
        <f ca="1">S0*EXP((μ-0.5*σ*σ)*T+σ*SQRT(T)*$C4099)</f>
        <v>0.56447311273740253</v>
      </c>
      <c r="E4099" s="5">
        <f ca="1">MAX(0,CP*(D4099-K))</f>
        <v>0</v>
      </c>
      <c r="F4099" s="4">
        <f ca="1">(CP*(D4099-K)&gt;0)*1</f>
        <v>0</v>
      </c>
      <c r="H4099" s="4">
        <v>4084</v>
      </c>
      <c r="I4099" s="3">
        <v>0.66768595082690374</v>
      </c>
      <c r="J4099" s="128">
        <v>1.3478502906572884E-3</v>
      </c>
      <c r="K4099" s="128"/>
      <c r="L4099" s="128">
        <v>3.9399999999999998E-2</v>
      </c>
      <c r="O4099" s="2"/>
    </row>
    <row r="4100" spans="2:15" x14ac:dyDescent="0.2">
      <c r="B4100" s="1">
        <f>B4099+1</f>
        <v>4085</v>
      </c>
      <c r="C4100" s="5">
        <f ca="1"/>
        <v>-2.3103325792546818</v>
      </c>
      <c r="D4100" s="5">
        <f ca="1">S0*EXP((μ-0.5*σ*σ)*T+σ*SQRT(T)*$C4100)</f>
        <v>0.52915087747257472</v>
      </c>
      <c r="E4100" s="5">
        <f ca="1">MAX(0,CP*(D4100-K))</f>
        <v>0</v>
      </c>
      <c r="F4100" s="4">
        <f ca="1">(CP*(D4100-K)&gt;0)*1</f>
        <v>0</v>
      </c>
      <c r="H4100" s="4">
        <v>4085</v>
      </c>
      <c r="I4100" s="3">
        <v>0.66772705999955007</v>
      </c>
      <c r="J4100" s="128">
        <v>1.2990006198495257E-3</v>
      </c>
      <c r="K4100" s="128"/>
      <c r="L4100" s="128">
        <v>3.8199999999999998E-2</v>
      </c>
      <c r="O4100" s="2"/>
    </row>
    <row r="4101" spans="2:15" x14ac:dyDescent="0.2">
      <c r="B4101" s="1">
        <f>B4100+1</f>
        <v>4086</v>
      </c>
      <c r="C4101" s="5">
        <f ca="1"/>
        <v>-0.45187064428736606</v>
      </c>
      <c r="D4101" s="5">
        <f ca="1">S0*EXP((μ-0.5*σ*σ)*T+σ*SQRT(T)*$C4101)</f>
        <v>0.63555247728198072</v>
      </c>
      <c r="E4101" s="5">
        <f ca="1">MAX(0,CP*(D4101-K))</f>
        <v>0</v>
      </c>
      <c r="F4101" s="4">
        <f ca="1">(CP*(D4101-K)&gt;0)*1</f>
        <v>0</v>
      </c>
      <c r="H4101" s="4">
        <v>4086</v>
      </c>
      <c r="I4101" s="3">
        <v>0.66757063754533674</v>
      </c>
      <c r="J4101" s="128">
        <v>1.2572006251419124E-3</v>
      </c>
      <c r="K4101" s="128"/>
      <c r="L4101" s="128">
        <v>3.7999999999999999E-2</v>
      </c>
      <c r="O4101" s="2"/>
    </row>
    <row r="4102" spans="2:15" x14ac:dyDescent="0.2">
      <c r="B4102" s="1">
        <f>B4101+1</f>
        <v>4087</v>
      </c>
      <c r="C4102" s="5">
        <f ca="1"/>
        <v>1.760056368021184</v>
      </c>
      <c r="D4102" s="5">
        <f ca="1">S0*EXP((μ-0.5*σ*σ)*T+σ*SQRT(T)*$C4102)</f>
        <v>0.79041881534368674</v>
      </c>
      <c r="E4102" s="5">
        <f ca="1">MAX(0,CP*(D4102-K))</f>
        <v>2.2188153436867308E-3</v>
      </c>
      <c r="F4102" s="4">
        <f ca="1">(CP*(D4102-K)&gt;0)*1</f>
        <v>1</v>
      </c>
      <c r="H4102" s="4">
        <v>4087</v>
      </c>
      <c r="I4102" s="3">
        <v>0.66772641720596826</v>
      </c>
      <c r="J4102" s="128">
        <v>1.2341153310763654E-3</v>
      </c>
      <c r="K4102" s="128"/>
      <c r="L4102" s="128">
        <v>4.1200000000000001E-2</v>
      </c>
      <c r="O4102" s="2"/>
    </row>
    <row r="4103" spans="2:15" x14ac:dyDescent="0.2">
      <c r="B4103" s="1">
        <f>B4102+1</f>
        <v>4088</v>
      </c>
      <c r="C4103" s="5">
        <f ca="1"/>
        <v>1.9613578772650442</v>
      </c>
      <c r="D4103" s="5">
        <f ca="1">S0*EXP((μ-0.5*σ*σ)*T+σ*SQRT(T)*$C4103)</f>
        <v>0.80626200461151365</v>
      </c>
      <c r="E4103" s="5">
        <f ca="1">MAX(0,CP*(D4103-K))</f>
        <v>1.8062004611513638E-2</v>
      </c>
      <c r="F4103" s="4">
        <f ca="1">(CP*(D4103-K)&gt;0)*1</f>
        <v>1</v>
      </c>
      <c r="H4103" s="4">
        <v>4088</v>
      </c>
      <c r="I4103" s="3">
        <v>0.66783079539785817</v>
      </c>
      <c r="J4103" s="128">
        <v>1.5392536753850525E-3</v>
      </c>
      <c r="K4103" s="128"/>
      <c r="L4103" s="128">
        <v>4.4200000000000003E-2</v>
      </c>
      <c r="O4103" s="2"/>
    </row>
    <row r="4104" spans="2:15" x14ac:dyDescent="0.2">
      <c r="B4104" s="1">
        <f>B4103+1</f>
        <v>4089</v>
      </c>
      <c r="C4104" s="5">
        <f ca="1"/>
        <v>-0.42160161178183847</v>
      </c>
      <c r="D4104" s="5">
        <f ca="1">S0*EXP((μ-0.5*σ*σ)*T+σ*SQRT(T)*$C4104)</f>
        <v>0.63745189216515374</v>
      </c>
      <c r="E4104" s="5">
        <f ca="1">MAX(0,CP*(D4104-K))</f>
        <v>0</v>
      </c>
      <c r="F4104" s="4">
        <f ca="1">(CP*(D4104-K)&gt;0)*1</f>
        <v>0</v>
      </c>
      <c r="H4104" s="4">
        <v>4089</v>
      </c>
      <c r="I4104" s="3">
        <v>0.66771712596060029</v>
      </c>
      <c r="J4104" s="128">
        <v>1.3930833178105206E-3</v>
      </c>
      <c r="K4104" s="128"/>
      <c r="L4104" s="128">
        <v>4.24E-2</v>
      </c>
      <c r="O4104" s="2"/>
    </row>
    <row r="4105" spans="2:15" x14ac:dyDescent="0.2">
      <c r="B4105" s="1">
        <f>B4104+1</f>
        <v>4090</v>
      </c>
      <c r="C4105" s="5">
        <f ca="1"/>
        <v>-1.0144070237032587</v>
      </c>
      <c r="D4105" s="5">
        <f ca="1">S0*EXP((μ-0.5*σ*σ)*T+σ*SQRT(T)*$C4105)</f>
        <v>0.60126491351992217</v>
      </c>
      <c r="E4105" s="5">
        <f ca="1">MAX(0,CP*(D4105-K))</f>
        <v>0</v>
      </c>
      <c r="F4105" s="4">
        <f ca="1">(CP*(D4105-K)&gt;0)*1</f>
        <v>0</v>
      </c>
      <c r="H4105" s="4">
        <v>4090</v>
      </c>
      <c r="I4105" s="3">
        <v>0.66775068085564226</v>
      </c>
      <c r="J4105" s="128">
        <v>1.3164546951377511E-3</v>
      </c>
      <c r="K4105" s="128"/>
      <c r="L4105" s="128">
        <v>4.24E-2</v>
      </c>
      <c r="O4105" s="2"/>
    </row>
    <row r="4106" spans="2:15" x14ac:dyDescent="0.2">
      <c r="B4106" s="1">
        <f>B4105+1</f>
        <v>4091</v>
      </c>
      <c r="C4106" s="5">
        <f ca="1"/>
        <v>-0.88388495448217486</v>
      </c>
      <c r="D4106" s="5">
        <f ca="1">S0*EXP((μ-0.5*σ*σ)*T+σ*SQRT(T)*$C4106)</f>
        <v>0.60905188787986464</v>
      </c>
      <c r="E4106" s="5">
        <f ca="1">MAX(0,CP*(D4106-K))</f>
        <v>0</v>
      </c>
      <c r="F4106" s="4">
        <f ca="1">(CP*(D4106-K)&gt;0)*1</f>
        <v>0</v>
      </c>
      <c r="H4106" s="4">
        <v>4091</v>
      </c>
      <c r="I4106" s="3">
        <v>0.66785862425932152</v>
      </c>
      <c r="J4106" s="128">
        <v>1.5162366623785119E-3</v>
      </c>
      <c r="K4106" s="128"/>
      <c r="L4106" s="128">
        <v>4.36E-2</v>
      </c>
      <c r="O4106" s="2"/>
    </row>
    <row r="4107" spans="2:15" x14ac:dyDescent="0.2">
      <c r="B4107" s="1">
        <f>B4106+1</f>
        <v>4092</v>
      </c>
      <c r="C4107" s="5">
        <f ca="1"/>
        <v>0.41248587349821292</v>
      </c>
      <c r="D4107" s="5">
        <f ca="1">S0*EXP((μ-0.5*σ*σ)*T+σ*SQRT(T)*$C4107)</f>
        <v>0.6920854188419453</v>
      </c>
      <c r="E4107" s="5">
        <f ca="1">MAX(0,CP*(D4107-K))</f>
        <v>0</v>
      </c>
      <c r="F4107" s="4">
        <f ca="1">(CP*(D4107-K)&gt;0)*1</f>
        <v>0</v>
      </c>
      <c r="H4107" s="4">
        <v>4092</v>
      </c>
      <c r="I4107" s="3">
        <v>0.66766120138501772</v>
      </c>
      <c r="J4107" s="128">
        <v>1.1993766646403975E-3</v>
      </c>
      <c r="K4107" s="128"/>
      <c r="L4107" s="128">
        <v>3.9399999999999998E-2</v>
      </c>
      <c r="O4107" s="2"/>
    </row>
    <row r="4108" spans="2:15" x14ac:dyDescent="0.2">
      <c r="B4108" s="1">
        <f>B4107+1</f>
        <v>4093</v>
      </c>
      <c r="C4108" s="5">
        <f ca="1"/>
        <v>-0.31051898255091454</v>
      </c>
      <c r="D4108" s="5">
        <f ca="1">S0*EXP((μ-0.5*σ*σ)*T+σ*SQRT(T)*$C4108)</f>
        <v>0.64447121977569777</v>
      </c>
      <c r="E4108" s="5">
        <f ca="1">MAX(0,CP*(D4108-K))</f>
        <v>0</v>
      </c>
      <c r="F4108" s="4">
        <f ca="1">(CP*(D4108-K)&gt;0)*1</f>
        <v>0</v>
      </c>
      <c r="H4108" s="4">
        <v>4093</v>
      </c>
      <c r="I4108" s="3">
        <v>0.66759830203100956</v>
      </c>
      <c r="J4108" s="128">
        <v>1.0738773132297156E-3</v>
      </c>
      <c r="K4108" s="128"/>
      <c r="L4108" s="128">
        <v>3.5799999999999998E-2</v>
      </c>
      <c r="O4108" s="2"/>
    </row>
    <row r="4109" spans="2:15" x14ac:dyDescent="0.2">
      <c r="B4109" s="1">
        <f>B4108+1</f>
        <v>4094</v>
      </c>
      <c r="C4109" s="5">
        <f ca="1"/>
        <v>-0.4743469671408419</v>
      </c>
      <c r="D4109" s="5">
        <f ca="1">S0*EXP((μ-0.5*σ*σ)*T+σ*SQRT(T)*$C4109)</f>
        <v>0.63414572601827845</v>
      </c>
      <c r="E4109" s="5">
        <f ca="1">MAX(0,CP*(D4109-K))</f>
        <v>0</v>
      </c>
      <c r="F4109" s="4">
        <f ca="1">(CP*(D4109-K)&gt;0)*1</f>
        <v>0</v>
      </c>
      <c r="H4109" s="4">
        <v>4094</v>
      </c>
      <c r="I4109" s="3">
        <v>0.66770629489208821</v>
      </c>
      <c r="J4109" s="128">
        <v>1.3953882794046596E-3</v>
      </c>
      <c r="K4109" s="128"/>
      <c r="L4109" s="128">
        <v>4.2999999999999997E-2</v>
      </c>
      <c r="O4109" s="2"/>
    </row>
    <row r="4110" spans="2:15" x14ac:dyDescent="0.2">
      <c r="B4110" s="1">
        <f>B4109+1</f>
        <v>4095</v>
      </c>
      <c r="C4110" s="5">
        <f ca="1"/>
        <v>1.6524504112507195</v>
      </c>
      <c r="D4110" s="5">
        <f ca="1">S0*EXP((μ-0.5*σ*σ)*T+σ*SQRT(T)*$C4110)</f>
        <v>0.78207790002229249</v>
      </c>
      <c r="E4110" s="5">
        <f ca="1">MAX(0,CP*(D4110-K))</f>
        <v>0</v>
      </c>
      <c r="F4110" s="4">
        <f ca="1">(CP*(D4110-K)&gt;0)*1</f>
        <v>0</v>
      </c>
      <c r="H4110" s="4">
        <v>4095</v>
      </c>
      <c r="I4110" s="3">
        <v>0.66776183271221312</v>
      </c>
      <c r="J4110" s="128">
        <v>1.4511126108442025E-3</v>
      </c>
      <c r="K4110" s="128"/>
      <c r="L4110" s="128">
        <v>4.1000000000000002E-2</v>
      </c>
      <c r="O4110" s="2"/>
    </row>
    <row r="4111" spans="2:15" x14ac:dyDescent="0.2">
      <c r="B4111" s="1">
        <f>B4110+1</f>
        <v>4096</v>
      </c>
      <c r="C4111" s="5">
        <f ca="1"/>
        <v>2.0191857125412072</v>
      </c>
      <c r="D4111" s="5">
        <f ca="1">S0*EXP((μ-0.5*σ*σ)*T+σ*SQRT(T)*$C4111)</f>
        <v>0.81087171261168167</v>
      </c>
      <c r="E4111" s="5">
        <f ca="1">MAX(0,CP*(D4111-K))</f>
        <v>2.267171261168166E-2</v>
      </c>
      <c r="F4111" s="4">
        <f ca="1">(CP*(D4111-K)&gt;0)*1</f>
        <v>1</v>
      </c>
      <c r="H4111" s="4">
        <v>4096</v>
      </c>
      <c r="I4111" s="3">
        <v>0.66773332856574574</v>
      </c>
      <c r="J4111" s="128">
        <v>1.341752279603006E-3</v>
      </c>
      <c r="K4111" s="128"/>
      <c r="L4111" s="128">
        <v>4.0399999999999998E-2</v>
      </c>
      <c r="O4111" s="2"/>
    </row>
    <row r="4112" spans="2:15" x14ac:dyDescent="0.2">
      <c r="B4112" s="1">
        <f>B4111+1</f>
        <v>4097</v>
      </c>
      <c r="C4112" s="5">
        <f ca="1"/>
        <v>-0.24635088468249486</v>
      </c>
      <c r="D4112" s="5">
        <f ca="1">S0*EXP((μ-0.5*σ*σ)*T+σ*SQRT(T)*$C4112)</f>
        <v>0.64856117777994549</v>
      </c>
      <c r="E4112" s="5">
        <f ca="1">MAX(0,CP*(D4112-K))</f>
        <v>0</v>
      </c>
      <c r="F4112" s="4">
        <f ca="1">(CP*(D4112-K)&gt;0)*1</f>
        <v>0</v>
      </c>
      <c r="H4112" s="4">
        <v>4097</v>
      </c>
      <c r="I4112" s="3">
        <v>0.6676052405777092</v>
      </c>
      <c r="J4112" s="128">
        <v>1.1994017756139131E-3</v>
      </c>
      <c r="K4112" s="128"/>
      <c r="L4112" s="128">
        <v>3.9199999999999999E-2</v>
      </c>
      <c r="O4112" s="2"/>
    </row>
    <row r="4113" spans="2:15" x14ac:dyDescent="0.2">
      <c r="B4113" s="1">
        <f>B4112+1</f>
        <v>4098</v>
      </c>
      <c r="C4113" s="5">
        <f ca="1"/>
        <v>0.29442635183413385</v>
      </c>
      <c r="D4113" s="5">
        <f ca="1">S0*EXP((μ-0.5*σ*σ)*T+σ*SQRT(T)*$C4113)</f>
        <v>0.68407680279891392</v>
      </c>
      <c r="E4113" s="5">
        <f ca="1">MAX(0,CP*(D4113-K))</f>
        <v>0</v>
      </c>
      <c r="F4113" s="4">
        <f ca="1">(CP*(D4113-K)&gt;0)*1</f>
        <v>0</v>
      </c>
      <c r="H4113" s="4">
        <v>4098</v>
      </c>
      <c r="I4113" s="3">
        <v>0.66773388946012835</v>
      </c>
      <c r="J4113" s="128">
        <v>1.2691564245534011E-3</v>
      </c>
      <c r="K4113" s="128"/>
      <c r="L4113" s="128">
        <v>4.0599999999999997E-2</v>
      </c>
      <c r="O4113" s="2"/>
    </row>
    <row r="4114" spans="2:15" x14ac:dyDescent="0.2">
      <c r="B4114" s="1">
        <f>B4113+1</f>
        <v>4099</v>
      </c>
      <c r="C4114" s="5">
        <f ca="1"/>
        <v>5.7450311549152387E-2</v>
      </c>
      <c r="D4114" s="5">
        <f ca="1">S0*EXP((μ-0.5*σ*σ)*T+σ*SQRT(T)*$C4114)</f>
        <v>0.66828005381114175</v>
      </c>
      <c r="E4114" s="5">
        <f ca="1">MAX(0,CP*(D4114-K))</f>
        <v>0</v>
      </c>
      <c r="F4114" s="4">
        <f ca="1">(CP*(D4114-K)&gt;0)*1</f>
        <v>0</v>
      </c>
      <c r="H4114" s="4">
        <v>4099</v>
      </c>
      <c r="I4114" s="3">
        <v>0.66786531380329828</v>
      </c>
      <c r="J4114" s="128">
        <v>1.5731338104680488E-3</v>
      </c>
      <c r="K4114" s="128"/>
      <c r="L4114" s="128">
        <v>4.5999999999999999E-2</v>
      </c>
      <c r="O4114" s="2"/>
    </row>
    <row r="4115" spans="2:15" x14ac:dyDescent="0.2">
      <c r="B4115" s="1">
        <f>B4114+1</f>
        <v>4100</v>
      </c>
      <c r="C4115" s="5">
        <f ca="1"/>
        <v>1.3366425073676946</v>
      </c>
      <c r="D4115" s="5">
        <f ca="1">S0*EXP((μ-0.5*σ*σ)*T+σ*SQRT(T)*$C4115)</f>
        <v>0.75810329527819809</v>
      </c>
      <c r="E4115" s="5">
        <f ca="1">MAX(0,CP*(D4115-K))</f>
        <v>0</v>
      </c>
      <c r="F4115" s="4">
        <f ca="1">(CP*(D4115-K)&gt;0)*1</f>
        <v>0</v>
      </c>
      <c r="H4115" s="4">
        <v>4100</v>
      </c>
      <c r="I4115" s="3">
        <v>0.66772777465202604</v>
      </c>
      <c r="J4115" s="128">
        <v>1.2630404168214567E-3</v>
      </c>
      <c r="K4115" s="128"/>
      <c r="L4115" s="128">
        <v>4.1799999999999997E-2</v>
      </c>
      <c r="O4115" s="2"/>
    </row>
    <row r="4116" spans="2:15" x14ac:dyDescent="0.2">
      <c r="B4116" s="1">
        <f>B4115+1</f>
        <v>4101</v>
      </c>
      <c r="C4116" s="5">
        <f ca="1"/>
        <v>-0.56464100072159362</v>
      </c>
      <c r="D4116" s="5">
        <f ca="1">S0*EXP((μ-0.5*σ*σ)*T+σ*SQRT(T)*$C4116)</f>
        <v>0.62852570080511849</v>
      </c>
      <c r="E4116" s="5">
        <f ca="1">MAX(0,CP*(D4116-K))</f>
        <v>0</v>
      </c>
      <c r="F4116" s="4">
        <f ca="1">(CP*(D4116-K)&gt;0)*1</f>
        <v>0</v>
      </c>
      <c r="H4116" s="4">
        <v>4101</v>
      </c>
      <c r="I4116" s="3">
        <v>0.66782309340894863</v>
      </c>
      <c r="J4116" s="128">
        <v>1.5459227812771616E-3</v>
      </c>
      <c r="K4116" s="128"/>
      <c r="L4116" s="128">
        <v>4.36E-2</v>
      </c>
      <c r="O4116" s="2"/>
    </row>
    <row r="4117" spans="2:15" x14ac:dyDescent="0.2">
      <c r="B4117" s="1">
        <f>B4116+1</f>
        <v>4102</v>
      </c>
      <c r="C4117" s="5">
        <f ca="1"/>
        <v>-2.5484847392792092E-2</v>
      </c>
      <c r="D4117" s="5">
        <f ca="1">S0*EXP((μ-0.5*σ*σ)*T+σ*SQRT(T)*$C4117)</f>
        <v>0.66283822801696257</v>
      </c>
      <c r="E4117" s="5">
        <f ca="1">MAX(0,CP*(D4117-K))</f>
        <v>0</v>
      </c>
      <c r="F4117" s="4">
        <f ca="1">(CP*(D4117-K)&gt;0)*1</f>
        <v>0</v>
      </c>
      <c r="H4117" s="4">
        <v>4102</v>
      </c>
      <c r="I4117" s="3">
        <v>0.66782340148943431</v>
      </c>
      <c r="J4117" s="128">
        <v>1.4257653515567029E-3</v>
      </c>
      <c r="K4117" s="128"/>
      <c r="L4117" s="128">
        <v>4.1599999999999998E-2</v>
      </c>
      <c r="O4117" s="2"/>
    </row>
    <row r="4118" spans="2:15" x14ac:dyDescent="0.2">
      <c r="B4118" s="1">
        <f>B4117+1</f>
        <v>4103</v>
      </c>
      <c r="C4118" s="5">
        <f ca="1"/>
        <v>-1.3259971091233933</v>
      </c>
      <c r="D4118" s="5">
        <f ca="1">S0*EXP((μ-0.5*σ*σ)*T+σ*SQRT(T)*$C4118)</f>
        <v>0.58307553885981422</v>
      </c>
      <c r="E4118" s="5">
        <f ca="1">MAX(0,CP*(D4118-K))</f>
        <v>0</v>
      </c>
      <c r="F4118" s="4">
        <f ca="1">(CP*(D4118-K)&gt;0)*1</f>
        <v>0</v>
      </c>
      <c r="H4118" s="4">
        <v>4103</v>
      </c>
      <c r="I4118" s="3">
        <v>0.66765367070457893</v>
      </c>
      <c r="J4118" s="128">
        <v>1.2649706477911422E-3</v>
      </c>
      <c r="K4118" s="128"/>
      <c r="L4118" s="128">
        <v>4.1799999999999997E-2</v>
      </c>
      <c r="O4118" s="2"/>
    </row>
    <row r="4119" spans="2:15" x14ac:dyDescent="0.2">
      <c r="B4119" s="1">
        <f>B4118+1</f>
        <v>4104</v>
      </c>
      <c r="C4119" s="5">
        <f ca="1"/>
        <v>-1.9590590407555193</v>
      </c>
      <c r="D4119" s="5">
        <f ca="1">S0*EXP((μ-0.5*σ*σ)*T+σ*SQRT(T)*$C4119)</f>
        <v>0.54779699605149679</v>
      </c>
      <c r="E4119" s="5">
        <f ca="1">MAX(0,CP*(D4119-K))</f>
        <v>0</v>
      </c>
      <c r="F4119" s="4">
        <f ca="1">(CP*(D4119-K)&gt;0)*1</f>
        <v>0</v>
      </c>
      <c r="H4119" s="4">
        <v>4104</v>
      </c>
      <c r="I4119" s="3">
        <v>0.66769199702839455</v>
      </c>
      <c r="J4119" s="128">
        <v>1.3223797474160917E-3</v>
      </c>
      <c r="K4119" s="128"/>
      <c r="L4119" s="128">
        <v>3.9E-2</v>
      </c>
      <c r="O4119" s="2"/>
    </row>
    <row r="4120" spans="2:15" x14ac:dyDescent="0.2">
      <c r="B4120" s="1">
        <f>B4119+1</f>
        <v>4105</v>
      </c>
      <c r="C4120" s="5">
        <f ca="1"/>
        <v>9.5407859392948602E-2</v>
      </c>
      <c r="D4120" s="5">
        <f ca="1">S0*EXP((μ-0.5*σ*σ)*T+σ*SQRT(T)*$C4120)</f>
        <v>0.67078553540170072</v>
      </c>
      <c r="E4120" s="5">
        <f ca="1">MAX(0,CP*(D4120-K))</f>
        <v>0</v>
      </c>
      <c r="F4120" s="4">
        <f ca="1">(CP*(D4120-K)&gt;0)*1</f>
        <v>0</v>
      </c>
      <c r="H4120" s="4">
        <v>4105</v>
      </c>
      <c r="I4120" s="3">
        <v>0.6677869666679811</v>
      </c>
      <c r="J4120" s="128">
        <v>1.4967244165636927E-3</v>
      </c>
      <c r="K4120" s="128"/>
      <c r="L4120" s="128">
        <v>4.4400000000000002E-2</v>
      </c>
      <c r="O4120" s="2"/>
    </row>
    <row r="4121" spans="2:15" x14ac:dyDescent="0.2">
      <c r="B4121" s="1">
        <f>B4120+1</f>
        <v>4106</v>
      </c>
      <c r="C4121" s="5">
        <f ca="1"/>
        <v>0.2319529605290741</v>
      </c>
      <c r="D4121" s="5">
        <f ca="1">S0*EXP((μ-0.5*σ*σ)*T+σ*SQRT(T)*$C4121)</f>
        <v>0.67987645819383891</v>
      </c>
      <c r="E4121" s="5">
        <f ca="1">MAX(0,CP*(D4121-K))</f>
        <v>0</v>
      </c>
      <c r="F4121" s="4">
        <f ca="1">(CP*(D4121-K)&gt;0)*1</f>
        <v>0</v>
      </c>
      <c r="H4121" s="4">
        <v>4106</v>
      </c>
      <c r="I4121" s="3">
        <v>0.66779905475379786</v>
      </c>
      <c r="J4121" s="128">
        <v>1.5494570107659146E-3</v>
      </c>
      <c r="K4121" s="128"/>
      <c r="L4121" s="128">
        <v>4.4999999999999998E-2</v>
      </c>
      <c r="O4121" s="2"/>
    </row>
    <row r="4122" spans="2:15" x14ac:dyDescent="0.2">
      <c r="B4122" s="1">
        <f>B4121+1</f>
        <v>4107</v>
      </c>
      <c r="C4122" s="5">
        <f ca="1"/>
        <v>1.6622976307607127</v>
      </c>
      <c r="D4122" s="5">
        <f ca="1">S0*EXP((μ-0.5*σ*σ)*T+σ*SQRT(T)*$C4122)</f>
        <v>0.78283751965323944</v>
      </c>
      <c r="E4122" s="5">
        <f ca="1">MAX(0,CP*(D4122-K))</f>
        <v>0</v>
      </c>
      <c r="F4122" s="4">
        <f ca="1">(CP*(D4122-K)&gt;0)*1</f>
        <v>0</v>
      </c>
      <c r="H4122" s="4">
        <v>4107</v>
      </c>
      <c r="I4122" s="3">
        <v>0.66774533549136961</v>
      </c>
      <c r="J4122" s="128">
        <v>1.2947646637663623E-3</v>
      </c>
      <c r="K4122" s="128"/>
      <c r="L4122" s="128">
        <v>4.4600000000000001E-2</v>
      </c>
      <c r="O4122" s="2"/>
    </row>
    <row r="4123" spans="2:15" x14ac:dyDescent="0.2">
      <c r="B4123" s="1">
        <f>B4122+1</f>
        <v>4108</v>
      </c>
      <c r="C4123" s="5">
        <f ca="1"/>
        <v>-0.65515379771239146</v>
      </c>
      <c r="D4123" s="5">
        <f ca="1">S0*EXP((μ-0.5*σ*σ)*T+σ*SQRT(T)*$C4123)</f>
        <v>0.62294204691417754</v>
      </c>
      <c r="E4123" s="5">
        <f ca="1">MAX(0,CP*(D4123-K))</f>
        <v>0</v>
      </c>
      <c r="F4123" s="4">
        <f ca="1">(CP*(D4123-K)&gt;0)*1</f>
        <v>0</v>
      </c>
      <c r="H4123" s="4">
        <v>4108</v>
      </c>
      <c r="I4123" s="3">
        <v>0.66797887144472956</v>
      </c>
      <c r="J4123" s="128">
        <v>1.6391179614674719E-3</v>
      </c>
      <c r="K4123" s="128"/>
      <c r="L4123" s="128">
        <v>4.8599999999999997E-2</v>
      </c>
      <c r="O4123" s="2"/>
    </row>
    <row r="4124" spans="2:15" x14ac:dyDescent="0.2">
      <c r="B4124" s="1">
        <f>B4123+1</f>
        <v>4109</v>
      </c>
      <c r="C4124" s="5">
        <f ca="1"/>
        <v>-0.4832726821323865</v>
      </c>
      <c r="D4124" s="5">
        <f ca="1">S0*EXP((μ-0.5*σ*σ)*T+σ*SQRT(T)*$C4124)</f>
        <v>0.63358794627529769</v>
      </c>
      <c r="E4124" s="5">
        <f ca="1">MAX(0,CP*(D4124-K))</f>
        <v>0</v>
      </c>
      <c r="F4124" s="4">
        <f ca="1">(CP*(D4124-K)&gt;0)*1</f>
        <v>0</v>
      </c>
      <c r="H4124" s="4">
        <v>4109</v>
      </c>
      <c r="I4124" s="3">
        <v>0.66769975882386268</v>
      </c>
      <c r="J4124" s="128">
        <v>1.3397455304828125E-3</v>
      </c>
      <c r="K4124" s="128"/>
      <c r="L4124" s="128">
        <v>4.0399999999999998E-2</v>
      </c>
      <c r="O4124" s="2"/>
    </row>
    <row r="4125" spans="2:15" x14ac:dyDescent="0.2">
      <c r="B4125" s="1">
        <f>B4124+1</f>
        <v>4110</v>
      </c>
      <c r="C4125" s="5">
        <f ca="1"/>
        <v>-1.6507378226679263</v>
      </c>
      <c r="D4125" s="5">
        <f ca="1">S0*EXP((μ-0.5*σ*σ)*T+σ*SQRT(T)*$C4125)</f>
        <v>0.56470382034128364</v>
      </c>
      <c r="E4125" s="5">
        <f ca="1">MAX(0,CP*(D4125-K))</f>
        <v>0</v>
      </c>
      <c r="F4125" s="4">
        <f ca="1">(CP*(D4125-K)&gt;0)*1</f>
        <v>0</v>
      </c>
      <c r="H4125" s="4">
        <v>4110</v>
      </c>
      <c r="I4125" s="3">
        <v>0.66781284366887117</v>
      </c>
      <c r="J4125" s="128">
        <v>1.4237785988827842E-3</v>
      </c>
      <c r="K4125" s="128"/>
      <c r="L4125" s="128">
        <v>4.2000000000000003E-2</v>
      </c>
      <c r="O4125" s="2"/>
    </row>
    <row r="4126" spans="2:15" x14ac:dyDescent="0.2">
      <c r="B4126" s="1">
        <f>B4125+1</f>
        <v>4111</v>
      </c>
      <c r="C4126" s="5">
        <f ca="1"/>
        <v>0.72584502623337921</v>
      </c>
      <c r="D4126" s="5">
        <f ca="1">S0*EXP((μ-0.5*σ*σ)*T+σ*SQRT(T)*$C4126)</f>
        <v>0.71379990047175279</v>
      </c>
      <c r="E4126" s="5">
        <f ca="1">MAX(0,CP*(D4126-K))</f>
        <v>0</v>
      </c>
      <c r="F4126" s="4">
        <f ca="1">(CP*(D4126-K)&gt;0)*1</f>
        <v>0</v>
      </c>
      <c r="H4126" s="4">
        <v>4111</v>
      </c>
      <c r="I4126" s="3">
        <v>0.66772320831706167</v>
      </c>
      <c r="J4126" s="128">
        <v>1.2893418421318647E-3</v>
      </c>
      <c r="K4126" s="128"/>
      <c r="L4126" s="128">
        <v>4.1200000000000001E-2</v>
      </c>
      <c r="O4126" s="2"/>
    </row>
    <row r="4127" spans="2:15" x14ac:dyDescent="0.2">
      <c r="B4127" s="1">
        <f>B4126+1</f>
        <v>4112</v>
      </c>
      <c r="C4127" s="5">
        <f ca="1"/>
        <v>0.27271071581842787</v>
      </c>
      <c r="D4127" s="5">
        <f ca="1">S0*EXP((μ-0.5*σ*σ)*T+σ*SQRT(T)*$C4127)</f>
        <v>0.68261383646377882</v>
      </c>
      <c r="E4127" s="5">
        <f ca="1">MAX(0,CP*(D4127-K))</f>
        <v>0</v>
      </c>
      <c r="F4127" s="4">
        <f ca="1">(CP*(D4127-K)&gt;0)*1</f>
        <v>0</v>
      </c>
      <c r="H4127" s="4">
        <v>4112</v>
      </c>
      <c r="I4127" s="3">
        <v>0.66774685447473892</v>
      </c>
      <c r="J4127" s="128">
        <v>1.3888111155540123E-3</v>
      </c>
      <c r="K4127" s="128"/>
      <c r="L4127" s="128">
        <v>0.04</v>
      </c>
      <c r="O4127" s="2"/>
    </row>
    <row r="4128" spans="2:15" x14ac:dyDescent="0.2">
      <c r="B4128" s="1">
        <f>B4127+1</f>
        <v>4113</v>
      </c>
      <c r="C4128" s="5">
        <f ca="1"/>
        <v>0.71083302638137869</v>
      </c>
      <c r="D4128" s="5">
        <f ca="1">S0*EXP((μ-0.5*σ*σ)*T+σ*SQRT(T)*$C4128)</f>
        <v>0.71274426149303682</v>
      </c>
      <c r="E4128" s="5">
        <f ca="1">MAX(0,CP*(D4128-K))</f>
        <v>0</v>
      </c>
      <c r="F4128" s="4">
        <f ca="1">(CP*(D4128-K)&gt;0)*1</f>
        <v>0</v>
      </c>
      <c r="H4128" s="4">
        <v>4113</v>
      </c>
      <c r="I4128" s="3">
        <v>0.6677239408692438</v>
      </c>
      <c r="J4128" s="128">
        <v>1.281825115546915E-3</v>
      </c>
      <c r="K4128" s="128"/>
      <c r="L4128" s="128">
        <v>3.9E-2</v>
      </c>
      <c r="O4128" s="2"/>
    </row>
    <row r="4129" spans="2:15" x14ac:dyDescent="0.2">
      <c r="B4129" s="1">
        <f>B4128+1</f>
        <v>4114</v>
      </c>
      <c r="C4129" s="5">
        <f ca="1"/>
        <v>-0.74866407071402774</v>
      </c>
      <c r="D4129" s="5">
        <f ca="1">S0*EXP((μ-0.5*σ*σ)*T+σ*SQRT(T)*$C4129)</f>
        <v>0.61722557121933996</v>
      </c>
      <c r="E4129" s="5">
        <f ca="1">MAX(0,CP*(D4129-K))</f>
        <v>0</v>
      </c>
      <c r="F4129" s="4">
        <f ca="1">(CP*(D4129-K)&gt;0)*1</f>
        <v>0</v>
      </c>
      <c r="H4129" s="4">
        <v>4114</v>
      </c>
      <c r="I4129" s="3">
        <v>0.66772677899981037</v>
      </c>
      <c r="J4129" s="128">
        <v>1.3882877666053896E-3</v>
      </c>
      <c r="K4129" s="128"/>
      <c r="L4129" s="128">
        <v>3.9800000000000002E-2</v>
      </c>
      <c r="O4129" s="2"/>
    </row>
    <row r="4130" spans="2:15" x14ac:dyDescent="0.2">
      <c r="B4130" s="1">
        <f>B4129+1</f>
        <v>4115</v>
      </c>
      <c r="C4130" s="5">
        <f ca="1"/>
        <v>-1.503652705683949</v>
      </c>
      <c r="D4130" s="5">
        <f ca="1">S0*EXP((μ-0.5*σ*σ)*T+σ*SQRT(T)*$C4130)</f>
        <v>0.57295210763591931</v>
      </c>
      <c r="E4130" s="5">
        <f ca="1">MAX(0,CP*(D4130-K))</f>
        <v>0</v>
      </c>
      <c r="F4130" s="4">
        <f ca="1">(CP*(D4130-K)&gt;0)*1</f>
        <v>0</v>
      </c>
      <c r="H4130" s="4">
        <v>4115</v>
      </c>
      <c r="I4130" s="3">
        <v>0.66759960906374372</v>
      </c>
      <c r="J4130" s="128">
        <v>1.171838280597389E-3</v>
      </c>
      <c r="K4130" s="128"/>
      <c r="L4130" s="128">
        <v>3.7600000000000001E-2</v>
      </c>
      <c r="O4130" s="2"/>
    </row>
    <row r="4131" spans="2:15" x14ac:dyDescent="0.2">
      <c r="B4131" s="1">
        <f>B4130+1</f>
        <v>4116</v>
      </c>
      <c r="C4131" s="5">
        <f ca="1"/>
        <v>-0.80902207534283921</v>
      </c>
      <c r="D4131" s="5">
        <f ca="1">S0*EXP((μ-0.5*σ*σ)*T+σ*SQRT(T)*$C4131)</f>
        <v>0.61356364996009305</v>
      </c>
      <c r="E4131" s="5">
        <f ca="1">MAX(0,CP*(D4131-K))</f>
        <v>0</v>
      </c>
      <c r="F4131" s="4">
        <f ca="1">(CP*(D4131-K)&gt;0)*1</f>
        <v>0</v>
      </c>
      <c r="H4131" s="4">
        <v>4116</v>
      </c>
      <c r="I4131" s="3">
        <v>0.66780095568920161</v>
      </c>
      <c r="J4131" s="128">
        <v>1.5252254793903428E-3</v>
      </c>
      <c r="K4131" s="128"/>
      <c r="L4131" s="128">
        <v>4.3200000000000002E-2</v>
      </c>
      <c r="O4131" s="2"/>
    </row>
    <row r="4132" spans="2:15" x14ac:dyDescent="0.2">
      <c r="B4132" s="1">
        <f>B4131+1</f>
        <v>4117</v>
      </c>
      <c r="C4132" s="5">
        <f ca="1"/>
        <v>0.316335605380198</v>
      </c>
      <c r="D4132" s="5">
        <f ca="1">S0*EXP((μ-0.5*σ*σ)*T+σ*SQRT(T)*$C4132)</f>
        <v>0.68555599048630667</v>
      </c>
      <c r="E4132" s="5">
        <f ca="1">MAX(0,CP*(D4132-K))</f>
        <v>0</v>
      </c>
      <c r="F4132" s="4">
        <f ca="1">(CP*(D4132-K)&gt;0)*1</f>
        <v>0</v>
      </c>
      <c r="H4132" s="4">
        <v>4117</v>
      </c>
      <c r="I4132" s="3">
        <v>0.66776577922281199</v>
      </c>
      <c r="J4132" s="128">
        <v>1.4391454056122577E-3</v>
      </c>
      <c r="K4132" s="128"/>
      <c r="L4132" s="128">
        <v>4.3400000000000001E-2</v>
      </c>
      <c r="O4132" s="2"/>
    </row>
    <row r="4133" spans="2:15" x14ac:dyDescent="0.2">
      <c r="B4133" s="1">
        <f>B4132+1</f>
        <v>4118</v>
      </c>
      <c r="C4133" s="5">
        <f ca="1"/>
        <v>-1.8444965618122686</v>
      </c>
      <c r="D4133" s="5">
        <f ca="1">S0*EXP((μ-0.5*σ*σ)*T+σ*SQRT(T)*$C4133)</f>
        <v>0.55401911960893535</v>
      </c>
      <c r="E4133" s="5">
        <f ca="1">MAX(0,CP*(D4133-K))</f>
        <v>0</v>
      </c>
      <c r="F4133" s="4">
        <f ca="1">(CP*(D4133-K)&gt;0)*1</f>
        <v>0</v>
      </c>
      <c r="H4133" s="4">
        <v>4118</v>
      </c>
      <c r="I4133" s="3">
        <v>0.66783834179337032</v>
      </c>
      <c r="J4133" s="128">
        <v>1.4581604696084164E-3</v>
      </c>
      <c r="K4133" s="128"/>
      <c r="L4133" s="128">
        <v>4.5400000000000003E-2</v>
      </c>
      <c r="O4133" s="2"/>
    </row>
    <row r="4134" spans="2:15" x14ac:dyDescent="0.2">
      <c r="B4134" s="1">
        <f>B4133+1</f>
        <v>4119</v>
      </c>
      <c r="C4134" s="5">
        <f ca="1"/>
        <v>0.89977811767673166</v>
      </c>
      <c r="D4134" s="5">
        <f ca="1">S0*EXP((μ-0.5*σ*σ)*T+σ*SQRT(T)*$C4134)</f>
        <v>0.72614541797734289</v>
      </c>
      <c r="E4134" s="5">
        <f ca="1">MAX(0,CP*(D4134-K))</f>
        <v>0</v>
      </c>
      <c r="F4134" s="4">
        <f ca="1">(CP*(D4134-K)&gt;0)*1</f>
        <v>0</v>
      </c>
      <c r="H4134" s="4">
        <v>4119</v>
      </c>
      <c r="I4134" s="3">
        <v>0.66785343077150616</v>
      </c>
      <c r="J4134" s="128">
        <v>1.4451807241281985E-3</v>
      </c>
      <c r="K4134" s="128"/>
      <c r="L4134" s="128">
        <v>4.4400000000000002E-2</v>
      </c>
      <c r="O4134" s="2"/>
    </row>
    <row r="4135" spans="2:15" x14ac:dyDescent="0.2">
      <c r="B4135" s="1">
        <f>B4134+1</f>
        <v>4120</v>
      </c>
      <c r="C4135" s="5">
        <f ca="1"/>
        <v>1.0235142879538539</v>
      </c>
      <c r="D4135" s="5">
        <f ca="1">S0*EXP((μ-0.5*σ*σ)*T+σ*SQRT(T)*$C4135)</f>
        <v>0.73505779660275172</v>
      </c>
      <c r="E4135" s="5">
        <f ca="1">MAX(0,CP*(D4135-K))</f>
        <v>0</v>
      </c>
      <c r="F4135" s="4">
        <f ca="1">(CP*(D4135-K)&gt;0)*1</f>
        <v>0</v>
      </c>
      <c r="H4135" s="4">
        <v>4120</v>
      </c>
      <c r="I4135" s="3">
        <v>0.66761631586115766</v>
      </c>
      <c r="J4135" s="128">
        <v>1.1880266544134815E-3</v>
      </c>
      <c r="K4135" s="128"/>
      <c r="L4135" s="128">
        <v>3.6200000000000003E-2</v>
      </c>
      <c r="O4135" s="2"/>
    </row>
    <row r="4136" spans="2:15" x14ac:dyDescent="0.2">
      <c r="B4136" s="1">
        <f>B4135+1</f>
        <v>4121</v>
      </c>
      <c r="C4136" s="5">
        <f ca="1"/>
        <v>-0.1561295903545068</v>
      </c>
      <c r="D4136" s="5">
        <f ca="1">S0*EXP((μ-0.5*σ*σ)*T+σ*SQRT(T)*$C4136)</f>
        <v>0.65435565968955345</v>
      </c>
      <c r="E4136" s="5">
        <f ca="1">MAX(0,CP*(D4136-K))</f>
        <v>0</v>
      </c>
      <c r="F4136" s="4">
        <f ca="1">(CP*(D4136-K)&gt;0)*1</f>
        <v>0</v>
      </c>
      <c r="H4136" s="4">
        <v>4121</v>
      </c>
      <c r="I4136" s="3">
        <v>0.66783600020112255</v>
      </c>
      <c r="J4136" s="128">
        <v>1.526829760993625E-3</v>
      </c>
      <c r="K4136" s="128"/>
      <c r="L4136" s="128">
        <v>4.3799999999999999E-2</v>
      </c>
      <c r="O4136" s="2"/>
    </row>
    <row r="4137" spans="2:15" x14ac:dyDescent="0.2">
      <c r="B4137" s="1">
        <f>B4136+1</f>
        <v>4122</v>
      </c>
      <c r="C4137" s="5">
        <f ca="1"/>
        <v>-0.85564014462458071</v>
      </c>
      <c r="D4137" s="5">
        <f ca="1">S0*EXP((μ-0.5*σ*σ)*T+σ*SQRT(T)*$C4137)</f>
        <v>0.61075020768739852</v>
      </c>
      <c r="E4137" s="5">
        <f ca="1">MAX(0,CP*(D4137-K))</f>
        <v>0</v>
      </c>
      <c r="F4137" s="4">
        <f ca="1">(CP*(D4137-K)&gt;0)*1</f>
        <v>0</v>
      </c>
      <c r="H4137" s="4">
        <v>4122</v>
      </c>
      <c r="I4137" s="3">
        <v>0.66771052322592572</v>
      </c>
      <c r="J4137" s="128">
        <v>1.2804074059282857E-3</v>
      </c>
      <c r="K4137" s="128"/>
      <c r="L4137" s="128">
        <v>0.04</v>
      </c>
      <c r="O4137" s="2"/>
    </row>
    <row r="4138" spans="2:15" x14ac:dyDescent="0.2">
      <c r="B4138" s="1">
        <f>B4137+1</f>
        <v>4123</v>
      </c>
      <c r="C4138" s="5">
        <f ca="1"/>
        <v>6.4628102716292685E-2</v>
      </c>
      <c r="D4138" s="5">
        <f ca="1">S0*EXP((μ-0.5*σ*σ)*T+σ*SQRT(T)*$C4138)</f>
        <v>0.66875312305021084</v>
      </c>
      <c r="E4138" s="5">
        <f ca="1">MAX(0,CP*(D4138-K))</f>
        <v>0</v>
      </c>
      <c r="F4138" s="4">
        <f ca="1">(CP*(D4138-K)&gt;0)*1</f>
        <v>0</v>
      </c>
      <c r="H4138" s="4">
        <v>4123</v>
      </c>
      <c r="I4138" s="3">
        <v>0.66762897262962184</v>
      </c>
      <c r="J4138" s="128">
        <v>1.137793547041636E-3</v>
      </c>
      <c r="K4138" s="128"/>
      <c r="L4138" s="128">
        <v>3.9E-2</v>
      </c>
      <c r="O4138" s="2"/>
    </row>
    <row r="4139" spans="2:15" x14ac:dyDescent="0.2">
      <c r="B4139" s="1">
        <f>B4138+1</f>
        <v>4124</v>
      </c>
      <c r="C4139" s="5">
        <f ca="1"/>
        <v>1.5053008249050051</v>
      </c>
      <c r="D4139" s="5">
        <f ca="1">S0*EXP((μ-0.5*σ*σ)*T+σ*SQRT(T)*$C4139)</f>
        <v>0.77081411351495277</v>
      </c>
      <c r="E4139" s="5">
        <f ca="1">MAX(0,CP*(D4139-K))</f>
        <v>0</v>
      </c>
      <c r="F4139" s="4">
        <f ca="1">(CP*(D4139-K)&gt;0)*1</f>
        <v>0</v>
      </c>
      <c r="H4139" s="4">
        <v>4124</v>
      </c>
      <c r="I4139" s="3">
        <v>0.66781043403630247</v>
      </c>
      <c r="J4139" s="128">
        <v>1.457802149324909E-3</v>
      </c>
      <c r="K4139" s="128"/>
      <c r="L4139" s="128">
        <v>4.2999999999999997E-2</v>
      </c>
      <c r="O4139" s="2"/>
    </row>
    <row r="4140" spans="2:15" x14ac:dyDescent="0.2">
      <c r="B4140" s="1">
        <f>B4139+1</f>
        <v>4125</v>
      </c>
      <c r="C4140" s="5">
        <f ca="1"/>
        <v>-0.92766189119973119</v>
      </c>
      <c r="D4140" s="5">
        <f ca="1">S0*EXP((μ-0.5*σ*σ)*T+σ*SQRT(T)*$C4140)</f>
        <v>0.6064289709070928</v>
      </c>
      <c r="E4140" s="5">
        <f ca="1">MAX(0,CP*(D4140-K))</f>
        <v>0</v>
      </c>
      <c r="F4140" s="4">
        <f ca="1">(CP*(D4140-K)&gt;0)*1</f>
        <v>0</v>
      </c>
      <c r="H4140" s="4">
        <v>4125</v>
      </c>
      <c r="I4140" s="3">
        <v>0.66788341556558539</v>
      </c>
      <c r="J4140" s="128">
        <v>1.5215406991453599E-3</v>
      </c>
      <c r="K4140" s="128"/>
      <c r="L4140" s="128">
        <v>4.48E-2</v>
      </c>
      <c r="O4140" s="2"/>
    </row>
    <row r="4141" spans="2:15" x14ac:dyDescent="0.2">
      <c r="B4141" s="1">
        <f>B4140+1</f>
        <v>4126</v>
      </c>
      <c r="C4141" s="5">
        <f ca="1"/>
        <v>-0.2883662458752988</v>
      </c>
      <c r="D4141" s="5">
        <f ca="1">S0*EXP((μ-0.5*σ*σ)*T+σ*SQRT(T)*$C4141)</f>
        <v>0.64588027159667716</v>
      </c>
      <c r="E4141" s="5">
        <f ca="1">MAX(0,CP*(D4141-K))</f>
        <v>0</v>
      </c>
      <c r="F4141" s="4">
        <f ca="1">(CP*(D4141-K)&gt;0)*1</f>
        <v>0</v>
      </c>
      <c r="H4141" s="4">
        <v>4126</v>
      </c>
      <c r="I4141" s="3">
        <v>0.66780771037354147</v>
      </c>
      <c r="J4141" s="128">
        <v>1.4266979282707578E-3</v>
      </c>
      <c r="K4141" s="128"/>
      <c r="L4141" s="128">
        <v>4.24E-2</v>
      </c>
      <c r="O4141" s="2"/>
    </row>
    <row r="4142" spans="2:15" x14ac:dyDescent="0.2">
      <c r="B4142" s="1">
        <f>B4141+1</f>
        <v>4127</v>
      </c>
      <c r="C4142" s="5">
        <f ca="1"/>
        <v>0.64916748280637282</v>
      </c>
      <c r="D4142" s="5">
        <f ca="1">S0*EXP((μ-0.5*σ*σ)*T+σ*SQRT(T)*$C4142)</f>
        <v>0.70842431321557964</v>
      </c>
      <c r="E4142" s="5">
        <f ca="1">MAX(0,CP*(D4142-K))</f>
        <v>0</v>
      </c>
      <c r="F4142" s="4">
        <f ca="1">(CP*(D4142-K)&gt;0)*1</f>
        <v>0</v>
      </c>
      <c r="H4142" s="4">
        <v>4127</v>
      </c>
      <c r="I4142" s="3">
        <v>0.66762623562321644</v>
      </c>
      <c r="J4142" s="128">
        <v>1.3341930434347309E-3</v>
      </c>
      <c r="K4142" s="128"/>
      <c r="L4142" s="128">
        <v>4.1000000000000002E-2</v>
      </c>
      <c r="O4142" s="2"/>
    </row>
    <row r="4143" spans="2:15" x14ac:dyDescent="0.2">
      <c r="B4143" s="1">
        <f>B4142+1</f>
        <v>4128</v>
      </c>
      <c r="C4143" s="5">
        <f ca="1"/>
        <v>-0.80224159884352575</v>
      </c>
      <c r="D4143" s="5">
        <f ca="1">S0*EXP((μ-0.5*σ*σ)*T+σ*SQRT(T)*$C4143)</f>
        <v>0.61397393598318306</v>
      </c>
      <c r="E4143" s="5">
        <f ca="1">MAX(0,CP*(D4143-K))</f>
        <v>0</v>
      </c>
      <c r="F4143" s="4">
        <f ca="1">(CP*(D4143-K)&gt;0)*1</f>
        <v>0</v>
      </c>
      <c r="H4143" s="4">
        <v>4128</v>
      </c>
      <c r="I4143" s="3">
        <v>0.66780233009187118</v>
      </c>
      <c r="J4143" s="128">
        <v>1.5098310611012626E-3</v>
      </c>
      <c r="K4143" s="128"/>
      <c r="L4143" s="128">
        <v>0.04</v>
      </c>
      <c r="O4143" s="2"/>
    </row>
    <row r="4144" spans="2:15" x14ac:dyDescent="0.2">
      <c r="B4144" s="1">
        <f>B4143+1</f>
        <v>4129</v>
      </c>
      <c r="C4144" s="5">
        <f ca="1"/>
        <v>-0.79337454130339069</v>
      </c>
      <c r="D4144" s="5">
        <f ca="1">S0*EXP((μ-0.5*σ*σ)*T+σ*SQRT(T)*$C4144)</f>
        <v>0.61451089485479027</v>
      </c>
      <c r="E4144" s="5">
        <f ca="1">MAX(0,CP*(D4144-K))</f>
        <v>0</v>
      </c>
      <c r="F4144" s="4">
        <f ca="1">(CP*(D4144-K)&gt;0)*1</f>
        <v>0</v>
      </c>
      <c r="H4144" s="4">
        <v>4129</v>
      </c>
      <c r="I4144" s="3">
        <v>0.66784183395443319</v>
      </c>
      <c r="J4144" s="128">
        <v>1.3798051041270889E-3</v>
      </c>
      <c r="K4144" s="128"/>
      <c r="L4144" s="128">
        <v>4.2999999999999997E-2</v>
      </c>
      <c r="O4144" s="2"/>
    </row>
    <row r="4145" spans="2:15" x14ac:dyDescent="0.2">
      <c r="B4145" s="1">
        <f>B4144+1</f>
        <v>4130</v>
      </c>
      <c r="C4145" s="5">
        <f ca="1"/>
        <v>0.50021718260962222</v>
      </c>
      <c r="D4145" s="5">
        <f ca="1">S0*EXP((μ-0.5*σ*σ)*T+σ*SQRT(T)*$C4145)</f>
        <v>0.69809737126675497</v>
      </c>
      <c r="E4145" s="5">
        <f ca="1">MAX(0,CP*(D4145-K))</f>
        <v>0</v>
      </c>
      <c r="F4145" s="4">
        <f ca="1">(CP*(D4145-K)&gt;0)*1</f>
        <v>0</v>
      </c>
      <c r="H4145" s="4">
        <v>4130</v>
      </c>
      <c r="I4145" s="3">
        <v>0.66774819419711717</v>
      </c>
      <c r="J4145" s="128">
        <v>1.31604602012053E-3</v>
      </c>
      <c r="K4145" s="128"/>
      <c r="L4145" s="128">
        <v>4.2999999999999997E-2</v>
      </c>
      <c r="O4145" s="2"/>
    </row>
    <row r="4146" spans="2:15" x14ac:dyDescent="0.2">
      <c r="B4146" s="1">
        <f>B4145+1</f>
        <v>4131</v>
      </c>
      <c r="C4146" s="5">
        <f ca="1"/>
        <v>-0.68658559826949472</v>
      </c>
      <c r="D4146" s="5">
        <f ca="1">S0*EXP((μ-0.5*σ*σ)*T+σ*SQRT(T)*$C4146)</f>
        <v>0.62101467330483162</v>
      </c>
      <c r="E4146" s="5">
        <f ca="1">MAX(0,CP*(D4146-K))</f>
        <v>0</v>
      </c>
      <c r="F4146" s="4">
        <f ca="1">(CP*(D4146-K)&gt;0)*1</f>
        <v>0</v>
      </c>
      <c r="H4146" s="4">
        <v>4131</v>
      </c>
      <c r="I4146" s="3">
        <v>0.66765961457703293</v>
      </c>
      <c r="J4146" s="128">
        <v>1.2436823963030026E-3</v>
      </c>
      <c r="K4146" s="128"/>
      <c r="L4146" s="128">
        <v>3.8399999999999997E-2</v>
      </c>
      <c r="O4146" s="2"/>
    </row>
    <row r="4147" spans="2:15" x14ac:dyDescent="0.2">
      <c r="B4147" s="1">
        <f>B4146+1</f>
        <v>4132</v>
      </c>
      <c r="C4147" s="5">
        <f ca="1"/>
        <v>0.33104977009530268</v>
      </c>
      <c r="D4147" s="5">
        <f ca="1">S0*EXP((μ-0.5*σ*σ)*T+σ*SQRT(T)*$C4147)</f>
        <v>0.68655120179636642</v>
      </c>
      <c r="E4147" s="5">
        <f ca="1">MAX(0,CP*(D4147-K))</f>
        <v>0</v>
      </c>
      <c r="F4147" s="4">
        <f ca="1">(CP*(D4147-K)&gt;0)*1</f>
        <v>0</v>
      </c>
      <c r="H4147" s="4">
        <v>4132</v>
      </c>
      <c r="I4147" s="3">
        <v>0.66762678572208656</v>
      </c>
      <c r="J4147" s="128">
        <v>1.197891746417734E-3</v>
      </c>
      <c r="K4147" s="128"/>
      <c r="L4147" s="128">
        <v>3.9E-2</v>
      </c>
      <c r="O4147" s="2"/>
    </row>
    <row r="4148" spans="2:15" x14ac:dyDescent="0.2">
      <c r="B4148" s="1">
        <f>B4147+1</f>
        <v>4133</v>
      </c>
      <c r="C4148" s="5">
        <f ca="1"/>
        <v>-0.39587796823094434</v>
      </c>
      <c r="D4148" s="5">
        <f ca="1">S0*EXP((μ-0.5*σ*σ)*T+σ*SQRT(T)*$C4148)</f>
        <v>0.6390705402069391</v>
      </c>
      <c r="E4148" s="5">
        <f ca="1">MAX(0,CP*(D4148-K))</f>
        <v>0</v>
      </c>
      <c r="F4148" s="4">
        <f ca="1">(CP*(D4148-K)&gt;0)*1</f>
        <v>0</v>
      </c>
      <c r="H4148" s="4">
        <v>4133</v>
      </c>
      <c r="I4148" s="3">
        <v>0.66781477439328851</v>
      </c>
      <c r="J4148" s="128">
        <v>1.5039074960404143E-3</v>
      </c>
      <c r="K4148" s="128"/>
      <c r="L4148" s="128">
        <v>4.2999999999999997E-2</v>
      </c>
      <c r="O4148" s="2"/>
    </row>
    <row r="4149" spans="2:15" x14ac:dyDescent="0.2">
      <c r="B4149" s="1">
        <f>B4148+1</f>
        <v>4134</v>
      </c>
      <c r="C4149" s="5">
        <f ca="1"/>
        <v>-0.15076630256533757</v>
      </c>
      <c r="D4149" s="5">
        <f ca="1">S0*EXP((μ-0.5*σ*σ)*T+σ*SQRT(T)*$C4149)</f>
        <v>0.65470174367818201</v>
      </c>
      <c r="E4149" s="5">
        <f ca="1">MAX(0,CP*(D4149-K))</f>
        <v>0</v>
      </c>
      <c r="F4149" s="4">
        <f ca="1">(CP*(D4149-K)&gt;0)*1</f>
        <v>0</v>
      </c>
      <c r="H4149" s="4">
        <v>4134</v>
      </c>
      <c r="I4149" s="3">
        <v>0.66764413963386893</v>
      </c>
      <c r="J4149" s="128">
        <v>1.2298679773723213E-3</v>
      </c>
      <c r="K4149" s="128"/>
      <c r="L4149" s="128">
        <v>4.1599999999999998E-2</v>
      </c>
      <c r="O4149" s="2"/>
    </row>
    <row r="4150" spans="2:15" x14ac:dyDescent="0.2">
      <c r="B4150" s="1">
        <f>B4149+1</f>
        <v>4135</v>
      </c>
      <c r="C4150" s="5">
        <f ca="1"/>
        <v>0.69750412311439025</v>
      </c>
      <c r="D4150" s="5">
        <f ca="1">S0*EXP((μ-0.5*σ*σ)*T+σ*SQRT(T)*$C4150)</f>
        <v>0.71180828583931111</v>
      </c>
      <c r="E4150" s="5">
        <f ca="1">MAX(0,CP*(D4150-K))</f>
        <v>0</v>
      </c>
      <c r="F4150" s="4">
        <f ca="1">(CP*(D4150-K)&gt;0)*1</f>
        <v>0</v>
      </c>
      <c r="H4150" s="4">
        <v>4135</v>
      </c>
      <c r="I4150" s="3">
        <v>0.66773687373969792</v>
      </c>
      <c r="J4150" s="128">
        <v>1.3822707068954962E-3</v>
      </c>
      <c r="K4150" s="128"/>
      <c r="L4150" s="128">
        <v>4.5400000000000003E-2</v>
      </c>
      <c r="O4150" s="2"/>
    </row>
    <row r="4151" spans="2:15" x14ac:dyDescent="0.2">
      <c r="B4151" s="1">
        <f>B4150+1</f>
        <v>4136</v>
      </c>
      <c r="C4151" s="5">
        <f ca="1"/>
        <v>-3.3184932599171477E-2</v>
      </c>
      <c r="D4151" s="5">
        <f ca="1">S0*EXP((μ-0.5*σ*σ)*T+σ*SQRT(T)*$C4151)</f>
        <v>0.66233523730437449</v>
      </c>
      <c r="E4151" s="5">
        <f ca="1">MAX(0,CP*(D4151-K))</f>
        <v>0</v>
      </c>
      <c r="F4151" s="4">
        <f ca="1">(CP*(D4151-K)&gt;0)*1</f>
        <v>0</v>
      </c>
      <c r="H4151" s="4">
        <v>4136</v>
      </c>
      <c r="I4151" s="3">
        <v>0.66788507580032108</v>
      </c>
      <c r="J4151" s="128">
        <v>1.5565326323470174E-3</v>
      </c>
      <c r="K4151" s="128"/>
      <c r="L4151" s="128">
        <v>4.82E-2</v>
      </c>
      <c r="O4151" s="2"/>
    </row>
    <row r="4152" spans="2:15" x14ac:dyDescent="0.2">
      <c r="B4152" s="1">
        <f>B4151+1</f>
        <v>4137</v>
      </c>
      <c r="C4152" s="5">
        <f ca="1"/>
        <v>2.1411198761044572</v>
      </c>
      <c r="D4152" s="5">
        <f ca="1">S0*EXP((μ-0.5*σ*σ)*T+σ*SQRT(T)*$C4152)</f>
        <v>0.82067817248167274</v>
      </c>
      <c r="E4152" s="5">
        <f ca="1">MAX(0,CP*(D4152-K))</f>
        <v>3.2478172481672729E-2</v>
      </c>
      <c r="F4152" s="4">
        <f ca="1">(CP*(D4152-K)&gt;0)*1</f>
        <v>1</v>
      </c>
      <c r="H4152" s="4">
        <v>4137</v>
      </c>
      <c r="I4152" s="3">
        <v>0.66777107587267104</v>
      </c>
      <c r="J4152" s="128">
        <v>1.3697899971411231E-3</v>
      </c>
      <c r="K4152" s="128"/>
      <c r="L4152" s="128">
        <v>3.9600000000000003E-2</v>
      </c>
      <c r="O4152" s="2"/>
    </row>
    <row r="4153" spans="2:15" x14ac:dyDescent="0.2">
      <c r="B4153" s="1">
        <f>B4152+1</f>
        <v>4138</v>
      </c>
      <c r="C4153" s="5">
        <f ca="1"/>
        <v>4.1931186639876078E-2</v>
      </c>
      <c r="D4153" s="5">
        <f ca="1">S0*EXP((μ-0.5*σ*σ)*T+σ*SQRT(T)*$C4153)</f>
        <v>0.6672583729519892</v>
      </c>
      <c r="E4153" s="5">
        <f ca="1">MAX(0,CP*(D4153-K))</f>
        <v>0</v>
      </c>
      <c r="F4153" s="4">
        <f ca="1">(CP*(D4153-K)&gt;0)*1</f>
        <v>0</v>
      </c>
      <c r="H4153" s="4">
        <v>4138</v>
      </c>
      <c r="I4153" s="3">
        <v>0.66776346148414101</v>
      </c>
      <c r="J4153" s="128">
        <v>1.3534481238056987E-3</v>
      </c>
      <c r="K4153" s="128"/>
      <c r="L4153" s="128">
        <v>4.0800000000000003E-2</v>
      </c>
      <c r="O4153" s="2"/>
    </row>
    <row r="4154" spans="2:15" x14ac:dyDescent="0.2">
      <c r="B4154" s="1">
        <f>B4153+1</f>
        <v>4139</v>
      </c>
      <c r="C4154" s="5">
        <f ca="1"/>
        <v>0.84806475637082135</v>
      </c>
      <c r="D4154" s="5">
        <f ca="1">S0*EXP((μ-0.5*σ*σ)*T+σ*SQRT(T)*$C4154)</f>
        <v>0.72245273962877787</v>
      </c>
      <c r="E4154" s="5">
        <f ca="1">MAX(0,CP*(D4154-K))</f>
        <v>0</v>
      </c>
      <c r="F4154" s="4">
        <f ca="1">(CP*(D4154-K)&gt;0)*1</f>
        <v>0</v>
      </c>
      <c r="H4154" s="4">
        <v>4139</v>
      </c>
      <c r="I4154" s="3">
        <v>0.66766758612284527</v>
      </c>
      <c r="J4154" s="128">
        <v>1.2739543640002025E-3</v>
      </c>
      <c r="K4154" s="128"/>
      <c r="L4154" s="128">
        <v>4.02E-2</v>
      </c>
      <c r="O4154" s="2"/>
    </row>
    <row r="4155" spans="2:15" x14ac:dyDescent="0.2">
      <c r="B4155" s="1">
        <f>B4154+1</f>
        <v>4140</v>
      </c>
      <c r="C4155" s="5">
        <f ca="1"/>
        <v>-0.79538289674534013</v>
      </c>
      <c r="D4155" s="5">
        <f ca="1">S0*EXP((μ-0.5*σ*σ)*T+σ*SQRT(T)*$C4155)</f>
        <v>0.61438923455261107</v>
      </c>
      <c r="E4155" s="5">
        <f ca="1">MAX(0,CP*(D4155-K))</f>
        <v>0</v>
      </c>
      <c r="F4155" s="4">
        <f ca="1">(CP*(D4155-K)&gt;0)*1</f>
        <v>0</v>
      </c>
      <c r="H4155" s="4">
        <v>4140</v>
      </c>
      <c r="I4155" s="3">
        <v>0.66778959296153262</v>
      </c>
      <c r="J4155" s="128">
        <v>1.4557639024278697E-3</v>
      </c>
      <c r="K4155" s="128"/>
      <c r="L4155" s="128">
        <v>4.4200000000000003E-2</v>
      </c>
      <c r="O4155" s="2"/>
    </row>
    <row r="4156" spans="2:15" x14ac:dyDescent="0.2">
      <c r="B4156" s="1">
        <f>B4155+1</f>
        <v>4141</v>
      </c>
      <c r="C4156" s="5">
        <f ca="1"/>
        <v>-1.3274428608026727</v>
      </c>
      <c r="D4156" s="5">
        <f ca="1">S0*EXP((μ-0.5*σ*σ)*T+σ*SQRT(T)*$C4156)</f>
        <v>0.58299243727657046</v>
      </c>
      <c r="E4156" s="5">
        <f ca="1">MAX(0,CP*(D4156-K))</f>
        <v>0</v>
      </c>
      <c r="F4156" s="4">
        <f ca="1">(CP*(D4156-K)&gt;0)*1</f>
        <v>0</v>
      </c>
      <c r="H4156" s="4">
        <v>4141</v>
      </c>
      <c r="I4156" s="3">
        <v>0.66774465484305245</v>
      </c>
      <c r="J4156" s="128">
        <v>1.386587878650133E-3</v>
      </c>
      <c r="K4156" s="128"/>
      <c r="L4156" s="128">
        <v>4.0800000000000003E-2</v>
      </c>
      <c r="O4156" s="2"/>
    </row>
    <row r="4157" spans="2:15" x14ac:dyDescent="0.2">
      <c r="B4157" s="1">
        <f>B4156+1</f>
        <v>4142</v>
      </c>
      <c r="C4157" s="5">
        <f ca="1"/>
        <v>0.57007683367511142</v>
      </c>
      <c r="D4157" s="5">
        <f ca="1">S0*EXP((μ-0.5*σ*σ)*T+σ*SQRT(T)*$C4157)</f>
        <v>0.70292196278333341</v>
      </c>
      <c r="E4157" s="5">
        <f ca="1">MAX(0,CP*(D4157-K))</f>
        <v>0</v>
      </c>
      <c r="F4157" s="4">
        <f ca="1">(CP*(D4157-K)&gt;0)*1</f>
        <v>0</v>
      </c>
      <c r="H4157" s="4">
        <v>4142</v>
      </c>
      <c r="I4157" s="3">
        <v>0.66776615910481241</v>
      </c>
      <c r="J4157" s="128">
        <v>1.4165723544117266E-3</v>
      </c>
      <c r="K4157" s="128"/>
      <c r="L4157" s="128">
        <v>4.4600000000000001E-2</v>
      </c>
      <c r="O4157" s="2"/>
    </row>
    <row r="4158" spans="2:15" x14ac:dyDescent="0.2">
      <c r="B4158" s="1">
        <f>B4157+1</f>
        <v>4143</v>
      </c>
      <c r="C4158" s="5">
        <f ca="1"/>
        <v>-1.302618944165121</v>
      </c>
      <c r="D4158" s="5">
        <f ca="1">S0*EXP((μ-0.5*σ*σ)*T+σ*SQRT(T)*$C4158)</f>
        <v>0.58442095780065662</v>
      </c>
      <c r="E4158" s="5">
        <f ca="1">MAX(0,CP*(D4158-K))</f>
        <v>0</v>
      </c>
      <c r="F4158" s="4">
        <f ca="1">(CP*(D4158-K)&gt;0)*1</f>
        <v>0</v>
      </c>
      <c r="H4158" s="4">
        <v>4143</v>
      </c>
      <c r="I4158" s="3">
        <v>0.66792019440201533</v>
      </c>
      <c r="J4158" s="128">
        <v>1.6257447532418163E-3</v>
      </c>
      <c r="K4158" s="128"/>
      <c r="L4158" s="128">
        <v>4.6199999999999998E-2</v>
      </c>
      <c r="O4158" s="2"/>
    </row>
    <row r="4159" spans="2:15" x14ac:dyDescent="0.2">
      <c r="B4159" s="1">
        <f>B4158+1</f>
        <v>4144</v>
      </c>
      <c r="C4159" s="5">
        <f ca="1"/>
        <v>0.82364879950831771</v>
      </c>
      <c r="D4159" s="5">
        <f ca="1">S0*EXP((μ-0.5*σ*σ)*T+σ*SQRT(T)*$C4159)</f>
        <v>0.72071580961420401</v>
      </c>
      <c r="E4159" s="5">
        <f ca="1">MAX(0,CP*(D4159-K))</f>
        <v>0</v>
      </c>
      <c r="F4159" s="4">
        <f ca="1">(CP*(D4159-K)&gt;0)*1</f>
        <v>0</v>
      </c>
      <c r="H4159" s="4">
        <v>4144</v>
      </c>
      <c r="I4159" s="3">
        <v>0.66777416589704119</v>
      </c>
      <c r="J4159" s="128">
        <v>1.5559624069992884E-3</v>
      </c>
      <c r="K4159" s="128"/>
      <c r="L4159" s="128">
        <v>4.2599999999999999E-2</v>
      </c>
      <c r="O4159" s="2"/>
    </row>
    <row r="4160" spans="2:15" x14ac:dyDescent="0.2">
      <c r="B4160" s="1">
        <f>B4159+1</f>
        <v>4145</v>
      </c>
      <c r="C4160" s="5">
        <f ca="1"/>
        <v>-0.69130569240930262</v>
      </c>
      <c r="D4160" s="5">
        <f ca="1">S0*EXP((μ-0.5*σ*σ)*T+σ*SQRT(T)*$C4160)</f>
        <v>0.62072575623676407</v>
      </c>
      <c r="E4160" s="5">
        <f ca="1">MAX(0,CP*(D4160-K))</f>
        <v>0</v>
      </c>
      <c r="F4160" s="4">
        <f ca="1">(CP*(D4160-K)&gt;0)*1</f>
        <v>0</v>
      </c>
      <c r="H4160" s="4">
        <v>4145</v>
      </c>
      <c r="I4160" s="3">
        <v>0.66782696422505217</v>
      </c>
      <c r="J4160" s="128">
        <v>1.4567301344596576E-3</v>
      </c>
      <c r="K4160" s="128"/>
      <c r="L4160" s="128">
        <v>4.2799999999999998E-2</v>
      </c>
      <c r="O4160" s="2"/>
    </row>
    <row r="4161" spans="2:15" x14ac:dyDescent="0.2">
      <c r="B4161" s="1">
        <f>B4160+1</f>
        <v>4146</v>
      </c>
      <c r="C4161" s="5">
        <f ca="1"/>
        <v>0.72768955691491444</v>
      </c>
      <c r="D4161" s="5">
        <f ca="1">S0*EXP((μ-0.5*σ*σ)*T+σ*SQRT(T)*$C4161)</f>
        <v>0.71392971508251968</v>
      </c>
      <c r="E4161" s="5">
        <f ca="1">MAX(0,CP*(D4161-K))</f>
        <v>0</v>
      </c>
      <c r="F4161" s="4">
        <f ca="1">(CP*(D4161-K)&gt;0)*1</f>
        <v>0</v>
      </c>
      <c r="H4161" s="4">
        <v>4146</v>
      </c>
      <c r="I4161" s="3">
        <v>0.66776917428980409</v>
      </c>
      <c r="J4161" s="128">
        <v>1.3638412482701292E-3</v>
      </c>
      <c r="K4161" s="128"/>
      <c r="L4161" s="128">
        <v>4.2599999999999999E-2</v>
      </c>
      <c r="O4161" s="2"/>
    </row>
    <row r="4162" spans="2:15" x14ac:dyDescent="0.2">
      <c r="B4162" s="1">
        <f>B4161+1</f>
        <v>4147</v>
      </c>
      <c r="C4162" s="5">
        <f ca="1"/>
        <v>1.0240200626739315</v>
      </c>
      <c r="D4162" s="5">
        <f ca="1">S0*EXP((μ-0.5*σ*σ)*T+σ*SQRT(T)*$C4162)</f>
        <v>0.73509444974016325</v>
      </c>
      <c r="E4162" s="5">
        <f ca="1">MAX(0,CP*(D4162-K))</f>
        <v>0</v>
      </c>
      <c r="F4162" s="4">
        <f ca="1">(CP*(D4162-K)&gt;0)*1</f>
        <v>0</v>
      </c>
      <c r="H4162" s="4">
        <v>4147</v>
      </c>
      <c r="I4162" s="3">
        <v>0.66763022343483502</v>
      </c>
      <c r="J4162" s="128">
        <v>1.1337255104636739E-3</v>
      </c>
      <c r="K4162" s="128"/>
      <c r="L4162" s="128">
        <v>3.6600000000000001E-2</v>
      </c>
      <c r="O4162" s="2"/>
    </row>
    <row r="4163" spans="2:15" x14ac:dyDescent="0.2">
      <c r="B4163" s="1">
        <f>B4162+1</f>
        <v>4148</v>
      </c>
      <c r="C4163" s="5">
        <f ca="1"/>
        <v>0.28066742540402578</v>
      </c>
      <c r="D4163" s="5">
        <f ca="1">S0*EXP((μ-0.5*σ*σ)*T+σ*SQRT(T)*$C4163)</f>
        <v>0.68314951058140361</v>
      </c>
      <c r="E4163" s="5">
        <f ca="1">MAX(0,CP*(D4163-K))</f>
        <v>0</v>
      </c>
      <c r="F4163" s="4">
        <f ca="1">(CP*(D4163-K)&gt;0)*1</f>
        <v>0</v>
      </c>
      <c r="H4163" s="4">
        <v>4148</v>
      </c>
      <c r="I4163" s="3">
        <v>0.66783899807090807</v>
      </c>
      <c r="J4163" s="128">
        <v>1.3627247884301389E-3</v>
      </c>
      <c r="K4163" s="128"/>
      <c r="L4163" s="128">
        <v>4.1799999999999997E-2</v>
      </c>
      <c r="O4163" s="2"/>
    </row>
    <row r="4164" spans="2:15" x14ac:dyDescent="0.2">
      <c r="B4164" s="1">
        <f>B4163+1</f>
        <v>4149</v>
      </c>
      <c r="C4164" s="5">
        <f ca="1"/>
        <v>0.25059141932231233</v>
      </c>
      <c r="D4164" s="5">
        <f ca="1">S0*EXP((μ-0.5*σ*σ)*T+σ*SQRT(T)*$C4164)</f>
        <v>0.68112689225428869</v>
      </c>
      <c r="E4164" s="5">
        <f ca="1">MAX(0,CP*(D4164-K))</f>
        <v>0</v>
      </c>
      <c r="F4164" s="4">
        <f ca="1">(CP*(D4164-K)&gt;0)*1</f>
        <v>0</v>
      </c>
      <c r="H4164" s="4">
        <v>4149</v>
      </c>
      <c r="I4164" s="3">
        <v>0.66775697967906944</v>
      </c>
      <c r="J4164" s="128">
        <v>1.4347331147675838E-3</v>
      </c>
      <c r="K4164" s="128"/>
      <c r="L4164" s="128">
        <v>4.2599999999999999E-2</v>
      </c>
      <c r="O4164" s="2"/>
    </row>
    <row r="4165" spans="2:15" x14ac:dyDescent="0.2">
      <c r="B4165" s="1">
        <f>B4164+1</f>
        <v>4150</v>
      </c>
      <c r="C4165" s="5">
        <f ca="1"/>
        <v>0.73369201334640721</v>
      </c>
      <c r="D4165" s="5">
        <f ca="1">S0*EXP((μ-0.5*σ*σ)*T+σ*SQRT(T)*$C4165)</f>
        <v>0.71435232015191974</v>
      </c>
      <c r="E4165" s="5">
        <f ca="1">MAX(0,CP*(D4165-K))</f>
        <v>0</v>
      </c>
      <c r="F4165" s="4">
        <f ca="1">(CP*(D4165-K)&gt;0)*1</f>
        <v>0</v>
      </c>
      <c r="H4165" s="4">
        <v>4150</v>
      </c>
      <c r="I4165" s="3">
        <v>0.66768731140275295</v>
      </c>
      <c r="J4165" s="128">
        <v>1.306522840376724E-3</v>
      </c>
      <c r="K4165" s="128"/>
      <c r="L4165" s="128">
        <v>4.1599999999999998E-2</v>
      </c>
      <c r="O4165" s="2"/>
    </row>
    <row r="4166" spans="2:15" x14ac:dyDescent="0.2">
      <c r="B4166" s="1">
        <f>B4165+1</f>
        <v>4151</v>
      </c>
      <c r="C4166" s="5">
        <f ca="1"/>
        <v>-1.5374032796638373</v>
      </c>
      <c r="D4166" s="5">
        <f ca="1">S0*EXP((μ-0.5*σ*σ)*T+σ*SQRT(T)*$C4166)</f>
        <v>0.57104884433684533</v>
      </c>
      <c r="E4166" s="5">
        <f ca="1">MAX(0,CP*(D4166-K))</f>
        <v>0</v>
      </c>
      <c r="F4166" s="4">
        <f ca="1">(CP*(D4166-K)&gt;0)*1</f>
        <v>0</v>
      </c>
      <c r="H4166" s="4">
        <v>4151</v>
      </c>
      <c r="I4166" s="3">
        <v>0.6677326720960215</v>
      </c>
      <c r="J4166" s="128">
        <v>1.3258316671975504E-3</v>
      </c>
      <c r="K4166" s="128"/>
      <c r="L4166" s="128">
        <v>4.0399999999999998E-2</v>
      </c>
      <c r="O4166" s="2"/>
    </row>
    <row r="4167" spans="2:15" x14ac:dyDescent="0.2">
      <c r="B4167" s="1">
        <f>B4166+1</f>
        <v>4152</v>
      </c>
      <c r="C4167" s="5">
        <f ca="1"/>
        <v>0.87136461947424515</v>
      </c>
      <c r="D4167" s="5">
        <f ca="1">S0*EXP((μ-0.5*σ*σ)*T+σ*SQRT(T)*$C4167)</f>
        <v>0.72411417491944086</v>
      </c>
      <c r="E4167" s="5">
        <f ca="1">MAX(0,CP*(D4167-K))</f>
        <v>0</v>
      </c>
      <c r="F4167" s="4">
        <f ca="1">(CP*(D4167-K)&gt;0)*1</f>
        <v>0</v>
      </c>
      <c r="H4167" s="4">
        <v>4152</v>
      </c>
      <c r="I4167" s="3">
        <v>0.66776963754199159</v>
      </c>
      <c r="J4167" s="128">
        <v>1.4792619370382286E-3</v>
      </c>
      <c r="K4167" s="128"/>
      <c r="L4167" s="128">
        <v>4.1200000000000001E-2</v>
      </c>
      <c r="O4167" s="2"/>
    </row>
    <row r="4168" spans="2:15" x14ac:dyDescent="0.2">
      <c r="B4168" s="1">
        <f>B4167+1</f>
        <v>4153</v>
      </c>
      <c r="C4168" s="5">
        <f ca="1"/>
        <v>0.88675321097398596</v>
      </c>
      <c r="D4168" s="5">
        <f ca="1">S0*EXP((μ-0.5*σ*σ)*T+σ*SQRT(T)*$C4168)</f>
        <v>0.72521357843506018</v>
      </c>
      <c r="E4168" s="5">
        <f ca="1">MAX(0,CP*(D4168-K))</f>
        <v>0</v>
      </c>
      <c r="F4168" s="4">
        <f ca="1">(CP*(D4168-K)&gt;0)*1</f>
        <v>0</v>
      </c>
      <c r="H4168" s="4">
        <v>4153</v>
      </c>
      <c r="I4168" s="3">
        <v>0.66771843017098509</v>
      </c>
      <c r="J4168" s="128">
        <v>1.288202727799364E-3</v>
      </c>
      <c r="K4168" s="128"/>
      <c r="L4168" s="128">
        <v>3.8800000000000001E-2</v>
      </c>
      <c r="O4168" s="2"/>
    </row>
    <row r="4169" spans="2:15" x14ac:dyDescent="0.2">
      <c r="B4169" s="1">
        <f>B4168+1</f>
        <v>4154</v>
      </c>
      <c r="C4169" s="5">
        <f ca="1"/>
        <v>-0.99701936230893151</v>
      </c>
      <c r="D4169" s="5">
        <f ca="1">S0*EXP((μ-0.5*σ*σ)*T+σ*SQRT(T)*$C4169)</f>
        <v>0.60229648908031974</v>
      </c>
      <c r="E4169" s="5">
        <f ca="1">MAX(0,CP*(D4169-K))</f>
        <v>0</v>
      </c>
      <c r="F4169" s="4">
        <f ca="1">(CP*(D4169-K)&gt;0)*1</f>
        <v>0</v>
      </c>
      <c r="H4169" s="4">
        <v>4154</v>
      </c>
      <c r="I4169" s="3">
        <v>0.66773741050363933</v>
      </c>
      <c r="J4169" s="128">
        <v>1.3289574070686949E-3</v>
      </c>
      <c r="K4169" s="128"/>
      <c r="L4169" s="128">
        <v>4.4200000000000003E-2</v>
      </c>
      <c r="O4169" s="2"/>
    </row>
    <row r="4170" spans="2:15" x14ac:dyDescent="0.2">
      <c r="B4170" s="1">
        <f>B4169+1</f>
        <v>4155</v>
      </c>
      <c r="C4170" s="5">
        <f ca="1"/>
        <v>-0.42277558280427024</v>
      </c>
      <c r="D4170" s="5">
        <f ca="1">S0*EXP((μ-0.5*σ*σ)*T+σ*SQRT(T)*$C4170)</f>
        <v>0.63737811849660353</v>
      </c>
      <c r="E4170" s="5">
        <f ca="1">MAX(0,CP*(D4170-K))</f>
        <v>0</v>
      </c>
      <c r="F4170" s="4">
        <f ca="1">(CP*(D4170-K)&gt;0)*1</f>
        <v>0</v>
      </c>
      <c r="H4170" s="4">
        <v>4155</v>
      </c>
      <c r="I4170" s="3">
        <v>0.66771159153523818</v>
      </c>
      <c r="J4170" s="128">
        <v>1.4266467305526439E-3</v>
      </c>
      <c r="K4170" s="128"/>
      <c r="L4170" s="128">
        <v>3.9600000000000003E-2</v>
      </c>
      <c r="O4170" s="2"/>
    </row>
    <row r="4171" spans="2:15" x14ac:dyDescent="0.2">
      <c r="B4171" s="1">
        <f>B4170+1</f>
        <v>4156</v>
      </c>
      <c r="C4171" s="5">
        <f ca="1"/>
        <v>0.12341549454666066</v>
      </c>
      <c r="D4171" s="5">
        <f ca="1">S0*EXP((μ-0.5*σ*σ)*T+σ*SQRT(T)*$C4171)</f>
        <v>0.67264026915408859</v>
      </c>
      <c r="E4171" s="5">
        <f ca="1">MAX(0,CP*(D4171-K))</f>
        <v>0</v>
      </c>
      <c r="F4171" s="4">
        <f ca="1">(CP*(D4171-K)&gt;0)*1</f>
        <v>0</v>
      </c>
      <c r="H4171" s="4">
        <v>4156</v>
      </c>
      <c r="I4171" s="3">
        <v>0.66774336237415266</v>
      </c>
      <c r="J4171" s="128">
        <v>1.3653181168711036E-3</v>
      </c>
      <c r="K4171" s="128"/>
      <c r="L4171" s="128">
        <v>4.3999999999999997E-2</v>
      </c>
      <c r="O4171" s="2"/>
    </row>
    <row r="4172" spans="2:15" x14ac:dyDescent="0.2">
      <c r="B4172" s="1">
        <f>B4171+1</f>
        <v>4157</v>
      </c>
      <c r="C4172" s="5">
        <f ca="1"/>
        <v>1.717350312313721</v>
      </c>
      <c r="D4172" s="5">
        <f ca="1">S0*EXP((μ-0.5*σ*σ)*T+σ*SQRT(T)*$C4172)</f>
        <v>0.78709792510062759</v>
      </c>
      <c r="E4172" s="5">
        <f ca="1">MAX(0,CP*(D4172-K))</f>
        <v>0</v>
      </c>
      <c r="F4172" s="4">
        <f ca="1">(CP*(D4172-K)&gt;0)*1</f>
        <v>0</v>
      </c>
      <c r="H4172" s="4">
        <v>4157</v>
      </c>
      <c r="I4172" s="3">
        <v>0.6678243312883102</v>
      </c>
      <c r="J4172" s="128">
        <v>1.4372491950873461E-3</v>
      </c>
      <c r="K4172" s="128"/>
      <c r="L4172" s="128">
        <v>4.48E-2</v>
      </c>
      <c r="O4172" s="2"/>
    </row>
    <row r="4173" spans="2:15" x14ac:dyDescent="0.2">
      <c r="B4173" s="1">
        <f>B4172+1</f>
        <v>4158</v>
      </c>
      <c r="C4173" s="5">
        <f ca="1"/>
        <v>1.984411764690879</v>
      </c>
      <c r="D4173" s="5">
        <f ca="1">S0*EXP((μ-0.5*σ*σ)*T+σ*SQRT(T)*$C4173)</f>
        <v>0.80809658063667034</v>
      </c>
      <c r="E4173" s="5">
        <f ca="1">MAX(0,CP*(D4173-K))</f>
        <v>1.9896580636670325E-2</v>
      </c>
      <c r="F4173" s="4">
        <f ca="1">(CP*(D4173-K)&gt;0)*1</f>
        <v>1</v>
      </c>
      <c r="H4173" s="4">
        <v>4158</v>
      </c>
      <c r="I4173" s="3">
        <v>0.66780971759696195</v>
      </c>
      <c r="J4173" s="128">
        <v>1.526800931236038E-3</v>
      </c>
      <c r="K4173" s="128"/>
      <c r="L4173" s="128">
        <v>4.4200000000000003E-2</v>
      </c>
      <c r="O4173" s="2"/>
    </row>
    <row r="4174" spans="2:15" x14ac:dyDescent="0.2">
      <c r="B4174" s="1">
        <f>B4173+1</f>
        <v>4159</v>
      </c>
      <c r="C4174" s="5">
        <f ca="1"/>
        <v>-0.16567550554563604</v>
      </c>
      <c r="D4174" s="5">
        <f ca="1">S0*EXP((μ-0.5*σ*σ)*T+σ*SQRT(T)*$C4174)</f>
        <v>0.65374013027385292</v>
      </c>
      <c r="E4174" s="5">
        <f ca="1">MAX(0,CP*(D4174-K))</f>
        <v>0</v>
      </c>
      <c r="F4174" s="4">
        <f ca="1">(CP*(D4174-K)&gt;0)*1</f>
        <v>0</v>
      </c>
      <c r="H4174" s="4">
        <v>4159</v>
      </c>
      <c r="I4174" s="3">
        <v>0.66772043332382147</v>
      </c>
      <c r="J4174" s="128">
        <v>1.3906446295188914E-3</v>
      </c>
      <c r="K4174" s="128"/>
      <c r="L4174" s="128">
        <v>0.04</v>
      </c>
      <c r="O4174" s="2"/>
    </row>
    <row r="4175" spans="2:15" x14ac:dyDescent="0.2">
      <c r="B4175" s="1">
        <f>B4174+1</f>
        <v>4160</v>
      </c>
      <c r="C4175" s="5">
        <f ca="1"/>
        <v>0.75615061360364222</v>
      </c>
      <c r="D4175" s="5">
        <f ca="1">S0*EXP((μ-0.5*σ*σ)*T+σ*SQRT(T)*$C4175)</f>
        <v>0.71593574606393962</v>
      </c>
      <c r="E4175" s="5">
        <f ca="1">MAX(0,CP*(D4175-K))</f>
        <v>0</v>
      </c>
      <c r="F4175" s="4">
        <f ca="1">(CP*(D4175-K)&gt;0)*1</f>
        <v>0</v>
      </c>
      <c r="H4175" s="4">
        <v>4160</v>
      </c>
      <c r="I4175" s="3">
        <v>0.66772787725930904</v>
      </c>
      <c r="J4175" s="128">
        <v>1.2933818167597075E-3</v>
      </c>
      <c r="K4175" s="128"/>
      <c r="L4175" s="128">
        <v>0.04</v>
      </c>
      <c r="O4175" s="2"/>
    </row>
    <row r="4176" spans="2:15" x14ac:dyDescent="0.2">
      <c r="B4176" s="1">
        <f>B4175+1</f>
        <v>4161</v>
      </c>
      <c r="C4176" s="5">
        <f ca="1"/>
        <v>4.3325464888559699E-2</v>
      </c>
      <c r="D4176" s="5">
        <f ca="1">S0*EXP((μ-0.5*σ*σ)*T+σ*SQRT(T)*$C4176)</f>
        <v>0.66735009950088409</v>
      </c>
      <c r="E4176" s="5">
        <f ca="1">MAX(0,CP*(D4176-K))</f>
        <v>0</v>
      </c>
      <c r="F4176" s="4">
        <f ca="1">(CP*(D4176-K)&gt;0)*1</f>
        <v>0</v>
      </c>
      <c r="H4176" s="4">
        <v>4161</v>
      </c>
      <c r="I4176" s="3">
        <v>0.66770557851037116</v>
      </c>
      <c r="J4176" s="128">
        <v>1.2453449337306666E-3</v>
      </c>
      <c r="K4176" s="128"/>
      <c r="L4176" s="128">
        <v>4.02E-2</v>
      </c>
      <c r="O4176" s="2"/>
    </row>
    <row r="4177" spans="2:15" x14ac:dyDescent="0.2">
      <c r="B4177" s="1">
        <f>B4176+1</f>
        <v>4162</v>
      </c>
      <c r="C4177" s="5">
        <f ca="1"/>
        <v>0.78051255028066058</v>
      </c>
      <c r="D4177" s="5">
        <f ca="1">S0*EXP((μ-0.5*σ*σ)*T+σ*SQRT(T)*$C4177)</f>
        <v>0.7176573340453104</v>
      </c>
      <c r="E4177" s="5">
        <f ca="1">MAX(0,CP*(D4177-K))</f>
        <v>0</v>
      </c>
      <c r="F4177" s="4">
        <f ca="1">(CP*(D4177-K)&gt;0)*1</f>
        <v>0</v>
      </c>
      <c r="H4177" s="4">
        <v>4162</v>
      </c>
      <c r="I4177" s="3">
        <v>0.66770669031785501</v>
      </c>
      <c r="J4177" s="128">
        <v>1.2895386710520056E-3</v>
      </c>
      <c r="K4177" s="128"/>
      <c r="L4177" s="128">
        <v>4.02E-2</v>
      </c>
      <c r="O4177" s="2"/>
    </row>
    <row r="4178" spans="2:15" x14ac:dyDescent="0.2">
      <c r="B4178" s="1">
        <f>B4177+1</f>
        <v>4163</v>
      </c>
      <c r="C4178" s="5">
        <f ca="1"/>
        <v>-1.3926846931707622</v>
      </c>
      <c r="D4178" s="5">
        <f ca="1">S0*EXP((μ-0.5*σ*σ)*T+σ*SQRT(T)*$C4178)</f>
        <v>0.5792546477456848</v>
      </c>
      <c r="E4178" s="5">
        <f ca="1">MAX(0,CP*(D4178-K))</f>
        <v>0</v>
      </c>
      <c r="F4178" s="4">
        <f ca="1">(CP*(D4178-K)&gt;0)*1</f>
        <v>0</v>
      </c>
      <c r="H4178" s="4">
        <v>4163</v>
      </c>
      <c r="I4178" s="3">
        <v>0.66776925387639419</v>
      </c>
      <c r="J4178" s="128">
        <v>1.3086353133318965E-3</v>
      </c>
      <c r="K4178" s="128"/>
      <c r="L4178" s="128">
        <v>4.2999999999999997E-2</v>
      </c>
      <c r="O4178" s="2"/>
    </row>
    <row r="4179" spans="2:15" x14ac:dyDescent="0.2">
      <c r="B4179" s="1">
        <f>B4178+1</f>
        <v>4164</v>
      </c>
      <c r="C4179" s="5">
        <f ca="1"/>
        <v>-1.1278474668346146</v>
      </c>
      <c r="D4179" s="5">
        <f ca="1">S0*EXP((μ-0.5*σ*σ)*T+σ*SQRT(T)*$C4179)</f>
        <v>0.59457794579399126</v>
      </c>
      <c r="E4179" s="5">
        <f ca="1">MAX(0,CP*(D4179-K))</f>
        <v>0</v>
      </c>
      <c r="F4179" s="4">
        <f ca="1">(CP*(D4179-K)&gt;0)*1</f>
        <v>0</v>
      </c>
      <c r="H4179" s="4">
        <v>4164</v>
      </c>
      <c r="I4179" s="3">
        <v>0.66754633990119905</v>
      </c>
      <c r="J4179" s="128">
        <v>1.1950779096175609E-3</v>
      </c>
      <c r="K4179" s="128"/>
      <c r="L4179" s="128">
        <v>3.7600000000000001E-2</v>
      </c>
      <c r="O4179" s="2"/>
    </row>
    <row r="4180" spans="2:15" x14ac:dyDescent="0.2">
      <c r="B4180" s="1">
        <f>B4179+1</f>
        <v>4165</v>
      </c>
      <c r="C4180" s="5">
        <f ca="1"/>
        <v>-0.42560090429555308</v>
      </c>
      <c r="D4180" s="5">
        <f ca="1">S0*EXP((μ-0.5*σ*σ)*T+σ*SQRT(T)*$C4180)</f>
        <v>0.63720060709205129</v>
      </c>
      <c r="E4180" s="5">
        <f ca="1">MAX(0,CP*(D4180-K))</f>
        <v>0</v>
      </c>
      <c r="F4180" s="4">
        <f ca="1">(CP*(D4180-K)&gt;0)*1</f>
        <v>0</v>
      </c>
      <c r="H4180" s="4">
        <v>4165</v>
      </c>
      <c r="I4180" s="3">
        <v>0.66789556681249673</v>
      </c>
      <c r="J4180" s="128">
        <v>1.5504285593988031E-3</v>
      </c>
      <c r="K4180" s="128"/>
      <c r="L4180" s="128">
        <v>4.5999999999999999E-2</v>
      </c>
      <c r="O4180" s="2"/>
    </row>
    <row r="4181" spans="2:15" x14ac:dyDescent="0.2">
      <c r="B4181" s="1">
        <f>B4180+1</f>
        <v>4166</v>
      </c>
      <c r="C4181" s="5">
        <f ca="1"/>
        <v>-1.0465663624733124</v>
      </c>
      <c r="D4181" s="5">
        <f ca="1">S0*EXP((μ-0.5*σ*σ)*T+σ*SQRT(T)*$C4181)</f>
        <v>0.59936161720122061</v>
      </c>
      <c r="E4181" s="5">
        <f ca="1">MAX(0,CP*(D4181-K))</f>
        <v>0</v>
      </c>
      <c r="F4181" s="4">
        <f ca="1">(CP*(D4181-K)&gt;0)*1</f>
        <v>0</v>
      </c>
      <c r="H4181" s="4">
        <v>4166</v>
      </c>
      <c r="I4181" s="3">
        <v>0.66777669097417192</v>
      </c>
      <c r="J4181" s="128">
        <v>1.5163580610495434E-3</v>
      </c>
      <c r="K4181" s="128"/>
      <c r="L4181" s="128">
        <v>4.5199999999999997E-2</v>
      </c>
      <c r="O4181" s="2"/>
    </row>
    <row r="4182" spans="2:15" x14ac:dyDescent="0.2">
      <c r="B4182" s="1">
        <f>B4181+1</f>
        <v>4167</v>
      </c>
      <c r="C4182" s="5">
        <f ca="1"/>
        <v>-1.7413767286356959E-2</v>
      </c>
      <c r="D4182" s="5">
        <f ca="1">S0*EXP((μ-0.5*σ*σ)*T+σ*SQRT(T)*$C4182)</f>
        <v>0.66336586317107005</v>
      </c>
      <c r="E4182" s="5">
        <f ca="1">MAX(0,CP*(D4182-K))</f>
        <v>0</v>
      </c>
      <c r="F4182" s="4">
        <f ca="1">(CP*(D4182-K)&gt;0)*1</f>
        <v>0</v>
      </c>
      <c r="H4182" s="4">
        <v>4167</v>
      </c>
      <c r="I4182" s="3">
        <v>0.66762919750341865</v>
      </c>
      <c r="J4182" s="128">
        <v>1.1974217773020436E-3</v>
      </c>
      <c r="K4182" s="128"/>
      <c r="L4182" s="128">
        <v>3.9399999999999998E-2</v>
      </c>
      <c r="O4182" s="2"/>
    </row>
    <row r="4183" spans="2:15" x14ac:dyDescent="0.2">
      <c r="B4183" s="1">
        <f>B4182+1</f>
        <v>4168</v>
      </c>
      <c r="C4183" s="5">
        <f ca="1"/>
        <v>0.45756725363320599</v>
      </c>
      <c r="D4183" s="5">
        <f ca="1">S0*EXP((μ-0.5*σ*σ)*T+σ*SQRT(T)*$C4183)</f>
        <v>0.69516820984375249</v>
      </c>
      <c r="E4183" s="5">
        <f ca="1">MAX(0,CP*(D4183-K))</f>
        <v>0</v>
      </c>
      <c r="F4183" s="4">
        <f ca="1">(CP*(D4183-K)&gt;0)*1</f>
        <v>0</v>
      </c>
      <c r="H4183" s="4">
        <v>4168</v>
      </c>
      <c r="I4183" s="3">
        <v>0.66771306778762085</v>
      </c>
      <c r="J4183" s="128">
        <v>1.171900598630201E-3</v>
      </c>
      <c r="K4183" s="128"/>
      <c r="L4183" s="128">
        <v>3.9199999999999999E-2</v>
      </c>
      <c r="O4183" s="2"/>
    </row>
    <row r="4184" spans="2:15" x14ac:dyDescent="0.2">
      <c r="B4184" s="1">
        <f>B4183+1</f>
        <v>4169</v>
      </c>
      <c r="C4184" s="5">
        <f ca="1"/>
        <v>2.0525792997773911</v>
      </c>
      <c r="D4184" s="5">
        <f ca="1">S0*EXP((μ-0.5*σ*σ)*T+σ*SQRT(T)*$C4184)</f>
        <v>0.81354565491125264</v>
      </c>
      <c r="E4184" s="5">
        <f ca="1">MAX(0,CP*(D4184-K))</f>
        <v>2.5345654911252624E-2</v>
      </c>
      <c r="F4184" s="4">
        <f ca="1">(CP*(D4184-K)&gt;0)*1</f>
        <v>1</v>
      </c>
      <c r="H4184" s="4">
        <v>4169</v>
      </c>
      <c r="I4184" s="3">
        <v>0.66778230504227887</v>
      </c>
      <c r="J4184" s="128">
        <v>1.4562826506663428E-3</v>
      </c>
      <c r="K4184" s="128"/>
      <c r="L4184" s="128">
        <v>4.2000000000000003E-2</v>
      </c>
      <c r="O4184" s="2"/>
    </row>
    <row r="4185" spans="2:15" x14ac:dyDescent="0.2">
      <c r="B4185" s="1">
        <f>B4184+1</f>
        <v>4170</v>
      </c>
      <c r="C4185" s="5">
        <f ca="1"/>
        <v>4.881210029512309E-2</v>
      </c>
      <c r="D4185" s="5">
        <f ca="1">S0*EXP((μ-0.5*σ*σ)*T+σ*SQRT(T)*$C4185)</f>
        <v>0.66771117582708139</v>
      </c>
      <c r="E4185" s="5">
        <f ca="1">MAX(0,CP*(D4185-K))</f>
        <v>0</v>
      </c>
      <c r="F4185" s="4">
        <f ca="1">(CP*(D4185-K)&gt;0)*1</f>
        <v>0</v>
      </c>
      <c r="H4185" s="4">
        <v>4170</v>
      </c>
      <c r="I4185" s="3">
        <v>0.66771943277182955</v>
      </c>
      <c r="J4185" s="128">
        <v>1.2539153172280975E-3</v>
      </c>
      <c r="K4185" s="128"/>
      <c r="L4185" s="128">
        <v>4.0599999999999997E-2</v>
      </c>
      <c r="O4185" s="2"/>
    </row>
    <row r="4186" spans="2:15" x14ac:dyDescent="0.2">
      <c r="B4186" s="1">
        <f>B4185+1</f>
        <v>4171</v>
      </c>
      <c r="C4186" s="5">
        <f ca="1"/>
        <v>-0.59504202292687924</v>
      </c>
      <c r="D4186" s="5">
        <f ca="1">S0*EXP((μ-0.5*σ*σ)*T+σ*SQRT(T)*$C4186)</f>
        <v>0.62664472900033852</v>
      </c>
      <c r="E4186" s="5">
        <f ca="1">MAX(0,CP*(D4186-K))</f>
        <v>0</v>
      </c>
      <c r="F4186" s="4">
        <f ca="1">(CP*(D4186-K)&gt;0)*1</f>
        <v>0</v>
      </c>
      <c r="H4186" s="4">
        <v>4171</v>
      </c>
      <c r="I4186" s="3">
        <v>0.66772940205539655</v>
      </c>
      <c r="J4186" s="128">
        <v>1.3346768986202697E-3</v>
      </c>
      <c r="K4186" s="128"/>
      <c r="L4186" s="128">
        <v>4.1599999999999998E-2</v>
      </c>
      <c r="O4186" s="2"/>
    </row>
    <row r="4187" spans="2:15" x14ac:dyDescent="0.2">
      <c r="B4187" s="1">
        <f>B4186+1</f>
        <v>4172</v>
      </c>
      <c r="C4187" s="5">
        <f ca="1"/>
        <v>-0.13198341585974835</v>
      </c>
      <c r="D4187" s="5">
        <f ca="1">S0*EXP((μ-0.5*σ*σ)*T+σ*SQRT(T)*$C4187)</f>
        <v>0.65591521557580112</v>
      </c>
      <c r="E4187" s="5">
        <f ca="1">MAX(0,CP*(D4187-K))</f>
        <v>0</v>
      </c>
      <c r="F4187" s="4">
        <f ca="1">(CP*(D4187-K)&gt;0)*1</f>
        <v>0</v>
      </c>
      <c r="H4187" s="4">
        <v>4172</v>
      </c>
      <c r="I4187" s="3">
        <v>0.6678059428048303</v>
      </c>
      <c r="J4187" s="128">
        <v>1.5380745779207518E-3</v>
      </c>
      <c r="K4187" s="128"/>
      <c r="L4187" s="128">
        <v>4.4999999999999998E-2</v>
      </c>
      <c r="O4187" s="2"/>
    </row>
    <row r="4188" spans="2:15" x14ac:dyDescent="0.2">
      <c r="B4188" s="1">
        <f>B4187+1</f>
        <v>4173</v>
      </c>
      <c r="C4188" s="5">
        <f ca="1"/>
        <v>0.12829972315239957</v>
      </c>
      <c r="D4188" s="5">
        <f ca="1">S0*EXP((μ-0.5*σ*σ)*T+σ*SQRT(T)*$C4188)</f>
        <v>0.6729642394055132</v>
      </c>
      <c r="E4188" s="5">
        <f ca="1">MAX(0,CP*(D4188-K))</f>
        <v>0</v>
      </c>
      <c r="F4188" s="4">
        <f ca="1">(CP*(D4188-K)&gt;0)*1</f>
        <v>0</v>
      </c>
      <c r="H4188" s="4">
        <v>4173</v>
      </c>
      <c r="I4188" s="3">
        <v>0.6678469941569436</v>
      </c>
      <c r="J4188" s="128">
        <v>1.4416764184181155E-3</v>
      </c>
      <c r="K4188" s="128"/>
      <c r="L4188" s="128">
        <v>4.6800000000000001E-2</v>
      </c>
      <c r="O4188" s="2"/>
    </row>
    <row r="4189" spans="2:15" x14ac:dyDescent="0.2">
      <c r="B4189" s="1">
        <f>B4188+1</f>
        <v>4174</v>
      </c>
      <c r="C4189" s="5">
        <f ca="1"/>
        <v>-0.48745557622909297</v>
      </c>
      <c r="D4189" s="5">
        <f ca="1">S0*EXP((μ-0.5*σ*σ)*T+σ*SQRT(T)*$C4189)</f>
        <v>0.63332672054510608</v>
      </c>
      <c r="E4189" s="5">
        <f ca="1">MAX(0,CP*(D4189-K))</f>
        <v>0</v>
      </c>
      <c r="F4189" s="4">
        <f ca="1">(CP*(D4189-K)&gt;0)*1</f>
        <v>0</v>
      </c>
      <c r="H4189" s="4">
        <v>4174</v>
      </c>
      <c r="I4189" s="3">
        <v>0.66769239801758562</v>
      </c>
      <c r="J4189" s="128">
        <v>1.3567174804094029E-3</v>
      </c>
      <c r="K4189" s="128"/>
      <c r="L4189" s="128">
        <v>4.1200000000000001E-2</v>
      </c>
      <c r="O4189" s="2"/>
    </row>
    <row r="4190" spans="2:15" x14ac:dyDescent="0.2">
      <c r="B4190" s="1">
        <f>B4189+1</f>
        <v>4175</v>
      </c>
      <c r="C4190" s="5">
        <f ca="1"/>
        <v>-0.98808275846110727</v>
      </c>
      <c r="D4190" s="5">
        <f ca="1">S0*EXP((μ-0.5*σ*σ)*T+σ*SQRT(T)*$C4190)</f>
        <v>0.60282736849731866</v>
      </c>
      <c r="E4190" s="5">
        <f ca="1">MAX(0,CP*(D4190-K))</f>
        <v>0</v>
      </c>
      <c r="F4190" s="4">
        <f ca="1">(CP*(D4190-K)&gt;0)*1</f>
        <v>0</v>
      </c>
      <c r="H4190" s="4">
        <v>4175</v>
      </c>
      <c r="I4190" s="3">
        <v>0.66765631939760572</v>
      </c>
      <c r="J4190" s="128">
        <v>1.2391898305439629E-3</v>
      </c>
      <c r="K4190" s="128"/>
      <c r="L4190" s="128">
        <v>4.02E-2</v>
      </c>
      <c r="O4190" s="2"/>
    </row>
    <row r="4191" spans="2:15" x14ac:dyDescent="0.2">
      <c r="B4191" s="1">
        <f>B4190+1</f>
        <v>4176</v>
      </c>
      <c r="C4191" s="5">
        <f ca="1"/>
        <v>-0.69560779047206378</v>
      </c>
      <c r="D4191" s="5">
        <f ca="1">S0*EXP((μ-0.5*σ*σ)*T+σ*SQRT(T)*$C4191)</f>
        <v>0.62046254180571714</v>
      </c>
      <c r="E4191" s="5">
        <f ca="1">MAX(0,CP*(D4191-K))</f>
        <v>0</v>
      </c>
      <c r="F4191" s="4">
        <f ca="1">(CP*(D4191-K)&gt;0)*1</f>
        <v>0</v>
      </c>
      <c r="H4191" s="4">
        <v>4176</v>
      </c>
      <c r="I4191" s="3">
        <v>0.66780171286151313</v>
      </c>
      <c r="J4191" s="128">
        <v>1.4676539331656927E-3</v>
      </c>
      <c r="K4191" s="128"/>
      <c r="L4191" s="128">
        <v>4.4200000000000003E-2</v>
      </c>
      <c r="O4191" s="2"/>
    </row>
    <row r="4192" spans="2:15" x14ac:dyDescent="0.2">
      <c r="B4192" s="1">
        <f>B4191+1</f>
        <v>4177</v>
      </c>
      <c r="C4192" s="5">
        <f ca="1"/>
        <v>-1.4848839086205146</v>
      </c>
      <c r="D4192" s="5">
        <f ca="1">S0*EXP((μ-0.5*σ*σ)*T+σ*SQRT(T)*$C4192)</f>
        <v>0.57401326146311737</v>
      </c>
      <c r="E4192" s="5">
        <f ca="1">MAX(0,CP*(D4192-K))</f>
        <v>0</v>
      </c>
      <c r="F4192" s="4">
        <f ca="1">(CP*(D4192-K)&gt;0)*1</f>
        <v>0</v>
      </c>
      <c r="H4192" s="4">
        <v>4177</v>
      </c>
      <c r="I4192" s="3">
        <v>0.66784633237472513</v>
      </c>
      <c r="J4192" s="128">
        <v>1.4696004106828579E-3</v>
      </c>
      <c r="K4192" s="128"/>
      <c r="L4192" s="128">
        <v>4.1399999999999999E-2</v>
      </c>
      <c r="O4192" s="2"/>
    </row>
    <row r="4193" spans="2:15" x14ac:dyDescent="0.2">
      <c r="B4193" s="1">
        <f>B4192+1</f>
        <v>4178</v>
      </c>
      <c r="C4193" s="5">
        <f ca="1"/>
        <v>-0.58390082132796584</v>
      </c>
      <c r="D4193" s="5">
        <f ca="1">S0*EXP((μ-0.5*σ*σ)*T+σ*SQRT(T)*$C4193)</f>
        <v>0.62733340298433349</v>
      </c>
      <c r="E4193" s="5">
        <f ca="1">MAX(0,CP*(D4193-K))</f>
        <v>0</v>
      </c>
      <c r="F4193" s="4">
        <f ca="1">(CP*(D4193-K)&gt;0)*1</f>
        <v>0</v>
      </c>
      <c r="H4193" s="4">
        <v>4178</v>
      </c>
      <c r="I4193" s="3">
        <v>0.66771292505510782</v>
      </c>
      <c r="J4193" s="128">
        <v>1.3380455155458449E-3</v>
      </c>
      <c r="K4193" s="128"/>
      <c r="L4193" s="128">
        <v>3.9600000000000003E-2</v>
      </c>
      <c r="O4193" s="2"/>
    </row>
    <row r="4194" spans="2:15" x14ac:dyDescent="0.2">
      <c r="B4194" s="1">
        <f>B4193+1</f>
        <v>4179</v>
      </c>
      <c r="C4194" s="5">
        <f ca="1"/>
        <v>-0.39640534655620191</v>
      </c>
      <c r="D4194" s="5">
        <f ca="1">S0*EXP((μ-0.5*σ*σ)*T+σ*SQRT(T)*$C4194)</f>
        <v>0.63903731394341845</v>
      </c>
      <c r="E4194" s="5">
        <f ca="1">MAX(0,CP*(D4194-K))</f>
        <v>0</v>
      </c>
      <c r="F4194" s="4">
        <f ca="1">(CP*(D4194-K)&gt;0)*1</f>
        <v>0</v>
      </c>
      <c r="H4194" s="4">
        <v>4179</v>
      </c>
      <c r="I4194" s="3">
        <v>0.6677726308533195</v>
      </c>
      <c r="J4194" s="128">
        <v>1.4672269927613929E-3</v>
      </c>
      <c r="K4194" s="128"/>
      <c r="L4194" s="128">
        <v>4.2200000000000001E-2</v>
      </c>
      <c r="O4194" s="2"/>
    </row>
    <row r="4195" spans="2:15" x14ac:dyDescent="0.2">
      <c r="B4195" s="1">
        <f>B4194+1</f>
        <v>4180</v>
      </c>
      <c r="C4195" s="5">
        <f ca="1"/>
        <v>-1.6383312355344055</v>
      </c>
      <c r="D4195" s="5">
        <f ca="1">S0*EXP((μ-0.5*σ*σ)*T+σ*SQRT(T)*$C4195)</f>
        <v>0.56539495138965823</v>
      </c>
      <c r="E4195" s="5">
        <f ca="1">MAX(0,CP*(D4195-K))</f>
        <v>0</v>
      </c>
      <c r="F4195" s="4">
        <f ca="1">(CP*(D4195-K)&gt;0)*1</f>
        <v>0</v>
      </c>
      <c r="H4195" s="4">
        <v>4180</v>
      </c>
      <c r="I4195" s="3">
        <v>0.66779856850639718</v>
      </c>
      <c r="J4195" s="128">
        <v>1.3884637067941962E-3</v>
      </c>
      <c r="K4195" s="128"/>
      <c r="L4195" s="128">
        <v>4.48E-2</v>
      </c>
      <c r="O4195" s="2"/>
    </row>
    <row r="4196" spans="2:15" x14ac:dyDescent="0.2">
      <c r="B4196" s="1">
        <f>B4195+1</f>
        <v>4181</v>
      </c>
      <c r="C4196" s="5">
        <f ca="1"/>
        <v>0.16047198135702187</v>
      </c>
      <c r="D4196" s="5">
        <f ca="1">S0*EXP((μ-0.5*σ*σ)*T+σ*SQRT(T)*$C4196)</f>
        <v>0.67510212361048971</v>
      </c>
      <c r="E4196" s="5">
        <f ca="1">MAX(0,CP*(D4196-K))</f>
        <v>0</v>
      </c>
      <c r="F4196" s="4">
        <f ca="1">(CP*(D4196-K)&gt;0)*1</f>
        <v>0</v>
      </c>
      <c r="H4196" s="4">
        <v>4181</v>
      </c>
      <c r="I4196" s="3">
        <v>0.66773465081111727</v>
      </c>
      <c r="J4196" s="128">
        <v>1.3091291841461398E-3</v>
      </c>
      <c r="K4196" s="128"/>
      <c r="L4196" s="128">
        <v>4.02E-2</v>
      </c>
      <c r="O4196" s="2"/>
    </row>
    <row r="4197" spans="2:15" x14ac:dyDescent="0.2">
      <c r="B4197" s="1">
        <f>B4196+1</f>
        <v>4182</v>
      </c>
      <c r="C4197" s="5">
        <f ca="1"/>
        <v>-0.59170367616521813</v>
      </c>
      <c r="D4197" s="5">
        <f ca="1">S0*EXP((μ-0.5*σ*σ)*T+σ*SQRT(T)*$C4197)</f>
        <v>0.62685100373001001</v>
      </c>
      <c r="E4197" s="5">
        <f ca="1">MAX(0,CP*(D4197-K))</f>
        <v>0</v>
      </c>
      <c r="F4197" s="4">
        <f ca="1">(CP*(D4197-K)&gt;0)*1</f>
        <v>0</v>
      </c>
      <c r="H4197" s="4">
        <v>4182</v>
      </c>
      <c r="I4197" s="3">
        <v>0.66765269073647748</v>
      </c>
      <c r="J4197" s="128">
        <v>1.1700734314182746E-3</v>
      </c>
      <c r="K4197" s="128"/>
      <c r="L4197" s="128">
        <v>3.9800000000000002E-2</v>
      </c>
      <c r="O4197" s="2"/>
    </row>
    <row r="4198" spans="2:15" x14ac:dyDescent="0.2">
      <c r="B4198" s="1">
        <f>B4197+1</f>
        <v>4183</v>
      </c>
      <c r="C4198" s="5">
        <f ca="1"/>
        <v>2.801574015727363</v>
      </c>
      <c r="D4198" s="5">
        <f ca="1">S0*EXP((μ-0.5*σ*σ)*T+σ*SQRT(T)*$C4198)</f>
        <v>0.8758926524551176</v>
      </c>
      <c r="E4198" s="5">
        <f ca="1">MAX(0,CP*(D4198-K))</f>
        <v>8.7692652455117592E-2</v>
      </c>
      <c r="F4198" s="4">
        <f ca="1">(CP*(D4198-K)&gt;0)*1</f>
        <v>1</v>
      </c>
      <c r="H4198" s="4">
        <v>4183</v>
      </c>
      <c r="I4198" s="3">
        <v>0.66779776315021999</v>
      </c>
      <c r="J4198" s="128">
        <v>1.4106796604138104E-3</v>
      </c>
      <c r="K4198" s="128"/>
      <c r="L4198" s="128">
        <v>4.5999999999999999E-2</v>
      </c>
      <c r="O4198" s="2"/>
    </row>
    <row r="4199" spans="2:15" x14ac:dyDescent="0.2">
      <c r="B4199" s="1">
        <f>B4198+1</f>
        <v>4184</v>
      </c>
      <c r="C4199" s="5">
        <f ca="1"/>
        <v>-0.97521709408698309</v>
      </c>
      <c r="D4199" s="5">
        <f ca="1">S0*EXP((μ-0.5*σ*σ)*T+σ*SQRT(T)*$C4199)</f>
        <v>0.60359247581681452</v>
      </c>
      <c r="E4199" s="5">
        <f ca="1">MAX(0,CP*(D4199-K))</f>
        <v>0</v>
      </c>
      <c r="F4199" s="4">
        <f ca="1">(CP*(D4199-K)&gt;0)*1</f>
        <v>0</v>
      </c>
      <c r="H4199" s="4">
        <v>4184</v>
      </c>
      <c r="I4199" s="3">
        <v>0.66772383343818664</v>
      </c>
      <c r="J4199" s="128">
        <v>1.3096661112584028E-3</v>
      </c>
      <c r="K4199" s="128"/>
      <c r="L4199" s="128">
        <v>4.0800000000000003E-2</v>
      </c>
      <c r="O4199" s="2"/>
    </row>
    <row r="4200" spans="2:15" x14ac:dyDescent="0.2">
      <c r="B4200" s="1">
        <f>B4199+1</f>
        <v>4185</v>
      </c>
      <c r="C4200" s="5">
        <f ca="1"/>
        <v>0.28554754309639324</v>
      </c>
      <c r="D4200" s="5">
        <f ca="1">S0*EXP((μ-0.5*σ*σ)*T+σ*SQRT(T)*$C4200)</f>
        <v>0.68347826549738666</v>
      </c>
      <c r="E4200" s="5">
        <f ca="1">MAX(0,CP*(D4200-K))</f>
        <v>0</v>
      </c>
      <c r="F4200" s="4">
        <f ca="1">(CP*(D4200-K)&gt;0)*1</f>
        <v>0</v>
      </c>
      <c r="H4200" s="4">
        <v>4185</v>
      </c>
      <c r="I4200" s="3">
        <v>0.66776889580113818</v>
      </c>
      <c r="J4200" s="128">
        <v>1.3137162118298108E-3</v>
      </c>
      <c r="K4200" s="128"/>
      <c r="L4200" s="128">
        <v>3.9600000000000003E-2</v>
      </c>
      <c r="O4200" s="2"/>
    </row>
    <row r="4201" spans="2:15" x14ac:dyDescent="0.2">
      <c r="B4201" s="1">
        <f>B4200+1</f>
        <v>4186</v>
      </c>
      <c r="C4201" s="5">
        <f ca="1"/>
        <v>0.44513978532797921</v>
      </c>
      <c r="D4201" s="5">
        <f ca="1">S0*EXP((μ-0.5*σ*σ)*T+σ*SQRT(T)*$C4201)</f>
        <v>0.69431701640315191</v>
      </c>
      <c r="E4201" s="5">
        <f ca="1">MAX(0,CP*(D4201-K))</f>
        <v>0</v>
      </c>
      <c r="F4201" s="4">
        <f ca="1">(CP*(D4201-K)&gt;0)*1</f>
        <v>0</v>
      </c>
      <c r="H4201" s="4">
        <v>4186</v>
      </c>
      <c r="I4201" s="3">
        <v>0.66770832839813332</v>
      </c>
      <c r="J4201" s="128">
        <v>1.352306172060151E-3</v>
      </c>
      <c r="K4201" s="128"/>
      <c r="L4201" s="128">
        <v>4.24E-2</v>
      </c>
      <c r="O4201" s="2"/>
    </row>
    <row r="4202" spans="2:15" x14ac:dyDescent="0.2">
      <c r="B4202" s="1">
        <f>B4201+1</f>
        <v>4187</v>
      </c>
      <c r="C4202" s="5">
        <f ca="1"/>
        <v>-1.5420899274099364</v>
      </c>
      <c r="D4202" s="5">
        <f ca="1">S0*EXP((μ-0.5*σ*σ)*T+σ*SQRT(T)*$C4202)</f>
        <v>0.57078505516629341</v>
      </c>
      <c r="E4202" s="5">
        <f ca="1">MAX(0,CP*(D4202-K))</f>
        <v>0</v>
      </c>
      <c r="F4202" s="4">
        <f ca="1">(CP*(D4202-K)&gt;0)*1</f>
        <v>0</v>
      </c>
      <c r="H4202" s="4">
        <v>4187</v>
      </c>
      <c r="I4202" s="3">
        <v>0.66775631100061716</v>
      </c>
      <c r="J4202" s="128">
        <v>1.4328806967215247E-3</v>
      </c>
      <c r="K4202" s="128"/>
      <c r="L4202" s="128">
        <v>4.48E-2</v>
      </c>
      <c r="O4202" s="2"/>
    </row>
    <row r="4203" spans="2:15" x14ac:dyDescent="0.2">
      <c r="B4203" s="1">
        <f>B4202+1</f>
        <v>4188</v>
      </c>
      <c r="C4203" s="5">
        <f ca="1"/>
        <v>-0.77949983249578447</v>
      </c>
      <c r="D4203" s="5">
        <f ca="1">S0*EXP((μ-0.5*σ*σ)*T+σ*SQRT(T)*$C4203)</f>
        <v>0.61535204252892728</v>
      </c>
      <c r="E4203" s="5">
        <f ca="1">MAX(0,CP*(D4203-K))</f>
        <v>0</v>
      </c>
      <c r="F4203" s="4">
        <f ca="1">(CP*(D4203-K)&gt;0)*1</f>
        <v>0</v>
      </c>
      <c r="H4203" s="4">
        <v>4188</v>
      </c>
      <c r="I4203" s="3">
        <v>0.66764322537559939</v>
      </c>
      <c r="J4203" s="128">
        <v>1.2331003564755229E-3</v>
      </c>
      <c r="K4203" s="128"/>
      <c r="L4203" s="128">
        <v>4.02E-2</v>
      </c>
      <c r="O4203" s="2"/>
    </row>
    <row r="4204" spans="2:15" x14ac:dyDescent="0.2">
      <c r="B4204" s="1">
        <f>B4203+1</f>
        <v>4189</v>
      </c>
      <c r="C4204" s="5">
        <f ca="1"/>
        <v>1.0092455968835021</v>
      </c>
      <c r="D4204" s="5">
        <f ca="1">S0*EXP((μ-0.5*σ*σ)*T+σ*SQRT(T)*$C4204)</f>
        <v>0.73402450734151847</v>
      </c>
      <c r="E4204" s="5">
        <f ca="1">MAX(0,CP*(D4204-K))</f>
        <v>0</v>
      </c>
      <c r="F4204" s="4">
        <f ca="1">(CP*(D4204-K)&gt;0)*1</f>
        <v>0</v>
      </c>
      <c r="H4204" s="4">
        <v>4189</v>
      </c>
      <c r="I4204" s="3">
        <v>0.66774586730519836</v>
      </c>
      <c r="J4204" s="128">
        <v>1.2852345266567971E-3</v>
      </c>
      <c r="K4204" s="128"/>
      <c r="L4204" s="128">
        <v>4.2200000000000001E-2</v>
      </c>
      <c r="O4204" s="2"/>
    </row>
    <row r="4205" spans="2:15" x14ac:dyDescent="0.2">
      <c r="B4205" s="1">
        <f>B4204+1</f>
        <v>4190</v>
      </c>
      <c r="C4205" s="5">
        <f ca="1"/>
        <v>-2.5956793108117515</v>
      </c>
      <c r="D4205" s="5">
        <f ca="1">S0*EXP((μ-0.5*σ*σ)*T+σ*SQRT(T)*$C4205)</f>
        <v>0.51447244219832589</v>
      </c>
      <c r="E4205" s="5">
        <f ca="1">MAX(0,CP*(D4205-K))</f>
        <v>0</v>
      </c>
      <c r="F4205" s="4">
        <f ca="1">(CP*(D4205-K)&gt;0)*1</f>
        <v>0</v>
      </c>
      <c r="H4205" s="4">
        <v>4190</v>
      </c>
      <c r="I4205" s="3">
        <v>0.66781084617291631</v>
      </c>
      <c r="J4205" s="128">
        <v>1.4411134752040594E-3</v>
      </c>
      <c r="K4205" s="128"/>
      <c r="L4205" s="128">
        <v>4.2599999999999999E-2</v>
      </c>
      <c r="O4205" s="2"/>
    </row>
    <row r="4206" spans="2:15" x14ac:dyDescent="0.2">
      <c r="B4206" s="1">
        <f>B4205+1</f>
        <v>4191</v>
      </c>
      <c r="C4206" s="5">
        <f ca="1"/>
        <v>-0.47510034396102752</v>
      </c>
      <c r="D4206" s="5">
        <f ca="1">S0*EXP((μ-0.5*σ*σ)*T+σ*SQRT(T)*$C4206)</f>
        <v>0.63409862753563062</v>
      </c>
      <c r="E4206" s="5">
        <f ca="1">MAX(0,CP*(D4206-K))</f>
        <v>0</v>
      </c>
      <c r="F4206" s="4">
        <f ca="1">(CP*(D4206-K)&gt;0)*1</f>
        <v>0</v>
      </c>
      <c r="H4206" s="4">
        <v>4191</v>
      </c>
      <c r="I4206" s="3">
        <v>0.66781063287156672</v>
      </c>
      <c r="J4206" s="128">
        <v>1.4243541254448891E-3</v>
      </c>
      <c r="K4206" s="128"/>
      <c r="L4206" s="128">
        <v>4.1399999999999999E-2</v>
      </c>
      <c r="O4206" s="2"/>
    </row>
    <row r="4207" spans="2:15" x14ac:dyDescent="0.2">
      <c r="B4207" s="1">
        <f>B4206+1</f>
        <v>4192</v>
      </c>
      <c r="C4207" s="5">
        <f ca="1"/>
        <v>0.51833443710453908</v>
      </c>
      <c r="D4207" s="5">
        <f ca="1">S0*EXP((μ-0.5*σ*σ)*T+σ*SQRT(T)*$C4207)</f>
        <v>0.69934538113670708</v>
      </c>
      <c r="E4207" s="5">
        <f ca="1">MAX(0,CP*(D4207-K))</f>
        <v>0</v>
      </c>
      <c r="F4207" s="4">
        <f ca="1">(CP*(D4207-K)&gt;0)*1</f>
        <v>0</v>
      </c>
      <c r="H4207" s="4">
        <v>4192</v>
      </c>
      <c r="I4207" s="3">
        <v>0.66782199894729211</v>
      </c>
      <c r="J4207" s="128">
        <v>1.5569104607541335E-3</v>
      </c>
      <c r="K4207" s="128"/>
      <c r="L4207" s="128">
        <v>4.4400000000000002E-2</v>
      </c>
      <c r="O4207" s="2"/>
    </row>
    <row r="4208" spans="2:15" x14ac:dyDescent="0.2">
      <c r="B4208" s="1">
        <f>B4207+1</f>
        <v>4193</v>
      </c>
      <c r="C4208" s="5">
        <f ca="1"/>
        <v>-0.52137058428337391</v>
      </c>
      <c r="D4208" s="5">
        <f ca="1">S0*EXP((μ-0.5*σ*σ)*T+σ*SQRT(T)*$C4208)</f>
        <v>0.63121266883206306</v>
      </c>
      <c r="E4208" s="5">
        <f ca="1">MAX(0,CP*(D4208-K))</f>
        <v>0</v>
      </c>
      <c r="F4208" s="4">
        <f ca="1">(CP*(D4208-K)&gt;0)*1</f>
        <v>0</v>
      </c>
      <c r="H4208" s="4">
        <v>4193</v>
      </c>
      <c r="I4208" s="3">
        <v>0.66793825970757625</v>
      </c>
      <c r="J4208" s="128">
        <v>1.5634658658433074E-3</v>
      </c>
      <c r="K4208" s="128"/>
      <c r="L4208" s="128">
        <v>4.5600000000000002E-2</v>
      </c>
      <c r="O4208" s="2"/>
    </row>
    <row r="4209" spans="2:15" x14ac:dyDescent="0.2">
      <c r="B4209" s="1">
        <f>B4208+1</f>
        <v>4194</v>
      </c>
      <c r="C4209" s="5">
        <f ca="1"/>
        <v>-0.76009563907979816</v>
      </c>
      <c r="D4209" s="5">
        <f ca="1">S0*EXP((μ-0.5*σ*σ)*T+σ*SQRT(T)*$C4209)</f>
        <v>0.61653034403579665</v>
      </c>
      <c r="E4209" s="5">
        <f ca="1">MAX(0,CP*(D4209-K))</f>
        <v>0</v>
      </c>
      <c r="F4209" s="4">
        <f ca="1">(CP*(D4209-K)&gt;0)*1</f>
        <v>0</v>
      </c>
      <c r="H4209" s="4">
        <v>4194</v>
      </c>
      <c r="I4209" s="3">
        <v>0.66768407425693899</v>
      </c>
      <c r="J4209" s="128">
        <v>1.3244159684244489E-3</v>
      </c>
      <c r="K4209" s="128"/>
      <c r="L4209" s="128">
        <v>3.9399999999999998E-2</v>
      </c>
      <c r="O4209" s="2"/>
    </row>
    <row r="4210" spans="2:15" x14ac:dyDescent="0.2">
      <c r="B4210" s="1">
        <f>B4209+1</f>
        <v>4195</v>
      </c>
      <c r="C4210" s="5">
        <f ca="1"/>
        <v>0.13171659315123108</v>
      </c>
      <c r="D4210" s="5">
        <f ca="1">S0*EXP((μ-0.5*σ*σ)*T+σ*SQRT(T)*$C4210)</f>
        <v>0.67319097270780126</v>
      </c>
      <c r="E4210" s="5">
        <f ca="1">MAX(0,CP*(D4210-K))</f>
        <v>0</v>
      </c>
      <c r="F4210" s="4">
        <f ca="1">(CP*(D4210-K)&gt;0)*1</f>
        <v>0</v>
      </c>
      <c r="H4210" s="4">
        <v>4195</v>
      </c>
      <c r="I4210" s="3">
        <v>0.66774775543816201</v>
      </c>
      <c r="J4210" s="128">
        <v>1.5127121569395515E-3</v>
      </c>
      <c r="K4210" s="128"/>
      <c r="L4210" s="128">
        <v>4.3799999999999999E-2</v>
      </c>
      <c r="O4210" s="2"/>
    </row>
    <row r="4211" spans="2:15" x14ac:dyDescent="0.2">
      <c r="B4211" s="1">
        <f>B4210+1</f>
        <v>4196</v>
      </c>
      <c r="C4211" s="5">
        <f ca="1"/>
        <v>-1.2426578858612329</v>
      </c>
      <c r="D4211" s="5">
        <f ca="1">S0*EXP((μ-0.5*σ*σ)*T+σ*SQRT(T)*$C4211)</f>
        <v>0.58788594049757392</v>
      </c>
      <c r="E4211" s="5">
        <f ca="1">MAX(0,CP*(D4211-K))</f>
        <v>0</v>
      </c>
      <c r="F4211" s="4">
        <f ca="1">(CP*(D4211-K)&gt;0)*1</f>
        <v>0</v>
      </c>
      <c r="H4211" s="4">
        <v>4196</v>
      </c>
      <c r="I4211" s="3">
        <v>0.66777030309215679</v>
      </c>
      <c r="J4211" s="128">
        <v>1.5670129131922343E-3</v>
      </c>
      <c r="K4211" s="128"/>
      <c r="L4211" s="128">
        <v>4.2000000000000003E-2</v>
      </c>
      <c r="O4211" s="2"/>
    </row>
    <row r="4212" spans="2:15" x14ac:dyDescent="0.2">
      <c r="B4212" s="1">
        <f>B4211+1</f>
        <v>4197</v>
      </c>
      <c r="C4212" s="5">
        <f ca="1"/>
        <v>1.3182363597028355</v>
      </c>
      <c r="D4212" s="5">
        <f ca="1">S0*EXP((μ-0.5*σ*σ)*T+σ*SQRT(T)*$C4212)</f>
        <v>0.75672887666609989</v>
      </c>
      <c r="E4212" s="5">
        <f ca="1">MAX(0,CP*(D4212-K))</f>
        <v>0</v>
      </c>
      <c r="F4212" s="4">
        <f ca="1">(CP*(D4212-K)&gt;0)*1</f>
        <v>0</v>
      </c>
      <c r="H4212" s="4">
        <v>4197</v>
      </c>
      <c r="I4212" s="3">
        <v>0.66789893439022185</v>
      </c>
      <c r="J4212" s="128">
        <v>1.6129420926230824E-3</v>
      </c>
      <c r="K4212" s="128"/>
      <c r="L4212" s="128">
        <v>4.36E-2</v>
      </c>
      <c r="O4212" s="2"/>
    </row>
    <row r="4213" spans="2:15" x14ac:dyDescent="0.2">
      <c r="B4213" s="1">
        <f>B4212+1</f>
        <v>4198</v>
      </c>
      <c r="C4213" s="5">
        <f ca="1"/>
        <v>0.59065625673590838</v>
      </c>
      <c r="D4213" s="5">
        <f ca="1">S0*EXP((μ-0.5*σ*σ)*T+σ*SQRT(T)*$C4213)</f>
        <v>0.70434955005640321</v>
      </c>
      <c r="E4213" s="5">
        <f ca="1">MAX(0,CP*(D4213-K))</f>
        <v>0</v>
      </c>
      <c r="F4213" s="4">
        <f ca="1">(CP*(D4213-K)&gt;0)*1</f>
        <v>0</v>
      </c>
      <c r="H4213" s="4">
        <v>4198</v>
      </c>
      <c r="I4213" s="3">
        <v>0.66776101455631665</v>
      </c>
      <c r="J4213" s="128">
        <v>1.4080732840993434E-3</v>
      </c>
      <c r="K4213" s="128"/>
      <c r="L4213" s="128">
        <v>4.2799999999999998E-2</v>
      </c>
      <c r="O4213" s="2"/>
    </row>
    <row r="4214" spans="2:15" x14ac:dyDescent="0.2">
      <c r="B4214" s="1">
        <f>B4213+1</f>
        <v>4199</v>
      </c>
      <c r="C4214" s="5">
        <f ca="1"/>
        <v>2.3177846306547853</v>
      </c>
      <c r="D4214" s="5">
        <f ca="1">S0*EXP((μ-0.5*σ*σ)*T+σ*SQRT(T)*$C4214)</f>
        <v>0.83509706967763109</v>
      </c>
      <c r="E4214" s="5">
        <f ca="1">MAX(0,CP*(D4214-K))</f>
        <v>4.6897069677631076E-2</v>
      </c>
      <c r="F4214" s="4">
        <f ca="1">(CP*(D4214-K)&gt;0)*1</f>
        <v>1</v>
      </c>
      <c r="H4214" s="4">
        <v>4199</v>
      </c>
      <c r="I4214" s="3">
        <v>0.66758926246749706</v>
      </c>
      <c r="J4214" s="128">
        <v>1.1932269984286359E-3</v>
      </c>
      <c r="K4214" s="128"/>
      <c r="L4214" s="128">
        <v>3.9800000000000002E-2</v>
      </c>
      <c r="O4214" s="2"/>
    </row>
    <row r="4215" spans="2:15" x14ac:dyDescent="0.2">
      <c r="B4215" s="1">
        <f>B4214+1</f>
        <v>4200</v>
      </c>
      <c r="C4215" s="5">
        <f ca="1"/>
        <v>-1.352238960107486</v>
      </c>
      <c r="D4215" s="5">
        <f ca="1">S0*EXP((μ-0.5*σ*σ)*T+σ*SQRT(T)*$C4215)</f>
        <v>0.58156900345118179</v>
      </c>
      <c r="E4215" s="5">
        <f ca="1">MAX(0,CP*(D4215-K))</f>
        <v>0</v>
      </c>
      <c r="F4215" s="4">
        <f ca="1">(CP*(D4215-K)&gt;0)*1</f>
        <v>0</v>
      </c>
      <c r="H4215" s="4">
        <v>4200</v>
      </c>
      <c r="I4215" s="3">
        <v>0.66774415724893654</v>
      </c>
      <c r="J4215" s="128">
        <v>1.336945755567242E-3</v>
      </c>
      <c r="K4215" s="128"/>
      <c r="L4215" s="128">
        <v>4.1799999999999997E-2</v>
      </c>
      <c r="O4215" s="2"/>
    </row>
    <row r="4216" spans="2:15" x14ac:dyDescent="0.2">
      <c r="B4216" s="1">
        <f>B4215+1</f>
        <v>4201</v>
      </c>
      <c r="C4216" s="5">
        <f ca="1"/>
        <v>-0.57112700510105507</v>
      </c>
      <c r="D4216" s="5">
        <f ca="1">S0*EXP((μ-0.5*σ*σ)*T+σ*SQRT(T)*$C4216)</f>
        <v>0.62812392557906138</v>
      </c>
      <c r="E4216" s="5">
        <f ca="1">MAX(0,CP*(D4216-K))</f>
        <v>0</v>
      </c>
      <c r="F4216" s="4">
        <f ca="1">(CP*(D4216-K)&gt;0)*1</f>
        <v>0</v>
      </c>
      <c r="H4216" s="4">
        <v>4201</v>
      </c>
      <c r="I4216" s="3">
        <v>0.66772920378267386</v>
      </c>
      <c r="J4216" s="128">
        <v>1.3045080487120299E-3</v>
      </c>
      <c r="K4216" s="128"/>
      <c r="L4216" s="128">
        <v>4.1000000000000002E-2</v>
      </c>
      <c r="O4216" s="2"/>
    </row>
    <row r="4217" spans="2:15" x14ac:dyDescent="0.2">
      <c r="B4217" s="1">
        <f>B4216+1</f>
        <v>4202</v>
      </c>
      <c r="C4217" s="5">
        <f ca="1"/>
        <v>-0.63646849107362702</v>
      </c>
      <c r="D4217" s="5">
        <f ca="1">S0*EXP((μ-0.5*σ*σ)*T+σ*SQRT(T)*$C4217)</f>
        <v>0.62409064918836687</v>
      </c>
      <c r="E4217" s="5">
        <f ca="1">MAX(0,CP*(D4217-K))</f>
        <v>0</v>
      </c>
      <c r="F4217" s="4">
        <f ca="1">(CP*(D4217-K)&gt;0)*1</f>
        <v>0</v>
      </c>
      <c r="H4217" s="4">
        <v>4202</v>
      </c>
      <c r="I4217" s="3">
        <v>0.66773676376420721</v>
      </c>
      <c r="J4217" s="128">
        <v>1.3156995795834828E-3</v>
      </c>
      <c r="K4217" s="128"/>
      <c r="L4217" s="128">
        <v>4.2000000000000003E-2</v>
      </c>
      <c r="O4217" s="2"/>
    </row>
    <row r="4218" spans="2:15" x14ac:dyDescent="0.2">
      <c r="B4218" s="1">
        <f>B4217+1</f>
        <v>4203</v>
      </c>
      <c r="C4218" s="5">
        <f ca="1"/>
        <v>1.153451568548491</v>
      </c>
      <c r="D4218" s="5">
        <f ca="1">S0*EXP((μ-0.5*σ*σ)*T+σ*SQRT(T)*$C4218)</f>
        <v>0.74453459515022336</v>
      </c>
      <c r="E4218" s="5">
        <f ca="1">MAX(0,CP*(D4218-K))</f>
        <v>0</v>
      </c>
      <c r="F4218" s="4">
        <f ca="1">(CP*(D4218-K)&gt;0)*1</f>
        <v>0</v>
      </c>
      <c r="H4218" s="4">
        <v>4203</v>
      </c>
      <c r="I4218" s="3">
        <v>0.66786957962758131</v>
      </c>
      <c r="J4218" s="128">
        <v>1.5071207318897968E-3</v>
      </c>
      <c r="K4218" s="128"/>
      <c r="L4218" s="128">
        <v>4.7199999999999999E-2</v>
      </c>
      <c r="O4218" s="2"/>
    </row>
    <row r="4219" spans="2:15" x14ac:dyDescent="0.2">
      <c r="B4219" s="1">
        <f>B4218+1</f>
        <v>4204</v>
      </c>
      <c r="C4219" s="5">
        <f ca="1"/>
        <v>0.33954413569518832</v>
      </c>
      <c r="D4219" s="5">
        <f ca="1">S0*EXP((μ-0.5*σ*σ)*T+σ*SQRT(T)*$C4219)</f>
        <v>0.6871263866768621</v>
      </c>
      <c r="E4219" s="5">
        <f ca="1">MAX(0,CP*(D4219-K))</f>
        <v>0</v>
      </c>
      <c r="F4219" s="4">
        <f ca="1">(CP*(D4219-K)&gt;0)*1</f>
        <v>0</v>
      </c>
      <c r="H4219" s="4">
        <v>4204</v>
      </c>
      <c r="I4219" s="3">
        <v>0.66772495159683631</v>
      </c>
      <c r="J4219" s="128">
        <v>1.3359883621412592E-3</v>
      </c>
      <c r="K4219" s="128"/>
      <c r="L4219" s="128">
        <v>4.1399999999999999E-2</v>
      </c>
      <c r="O4219" s="2"/>
    </row>
    <row r="4220" spans="2:15" x14ac:dyDescent="0.2">
      <c r="B4220" s="1">
        <f>B4219+1</f>
        <v>4205</v>
      </c>
      <c r="C4220" s="5">
        <f ca="1"/>
        <v>-8.6106751149655131E-2</v>
      </c>
      <c r="D4220" s="5">
        <f ca="1">S0*EXP((μ-0.5*σ*σ)*T+σ*SQRT(T)*$C4220)</f>
        <v>0.65888855000968405</v>
      </c>
      <c r="E4220" s="5">
        <f ca="1">MAX(0,CP*(D4220-K))</f>
        <v>0</v>
      </c>
      <c r="F4220" s="4">
        <f ca="1">(CP*(D4220-K)&gt;0)*1</f>
        <v>0</v>
      </c>
      <c r="H4220" s="4">
        <v>4205</v>
      </c>
      <c r="I4220" s="3">
        <v>0.66778504622032619</v>
      </c>
      <c r="J4220" s="128">
        <v>1.3312154516737069E-3</v>
      </c>
      <c r="K4220" s="128"/>
      <c r="L4220" s="128">
        <v>4.2599999999999999E-2</v>
      </c>
      <c r="O4220" s="2"/>
    </row>
    <row r="4221" spans="2:15" x14ac:dyDescent="0.2">
      <c r="B4221" s="1">
        <f>B4220+1</f>
        <v>4206</v>
      </c>
      <c r="C4221" s="5">
        <f ca="1"/>
        <v>-0.28995543927052253</v>
      </c>
      <c r="D4221" s="5">
        <f ca="1">S0*EXP((μ-0.5*σ*σ)*T+σ*SQRT(T)*$C4221)</f>
        <v>0.64577908651881633</v>
      </c>
      <c r="E4221" s="5">
        <f ca="1">MAX(0,CP*(D4221-K))</f>
        <v>0</v>
      </c>
      <c r="F4221" s="4">
        <f ca="1">(CP*(D4221-K)&gt;0)*1</f>
        <v>0</v>
      </c>
      <c r="H4221" s="4">
        <v>4206</v>
      </c>
      <c r="I4221" s="3">
        <v>0.66774867542525762</v>
      </c>
      <c r="J4221" s="128">
        <v>1.4931976218570133E-3</v>
      </c>
      <c r="K4221" s="128"/>
      <c r="L4221" s="128">
        <v>4.0800000000000003E-2</v>
      </c>
      <c r="O4221" s="2"/>
    </row>
    <row r="4222" spans="2:15" x14ac:dyDescent="0.2">
      <c r="B4222" s="1">
        <f>B4221+1</f>
        <v>4207</v>
      </c>
      <c r="C4222" s="5">
        <f ca="1"/>
        <v>-1.2622352261299306</v>
      </c>
      <c r="D4222" s="5">
        <f ca="1">S0*EXP((μ-0.5*σ*σ)*T+σ*SQRT(T)*$C4222)</f>
        <v>0.58675236763735594</v>
      </c>
      <c r="E4222" s="5">
        <f ca="1">MAX(0,CP*(D4222-K))</f>
        <v>0</v>
      </c>
      <c r="F4222" s="4">
        <f ca="1">(CP*(D4222-K)&gt;0)*1</f>
        <v>0</v>
      </c>
      <c r="H4222" s="4">
        <v>4207</v>
      </c>
      <c r="I4222" s="3">
        <v>0.66749808797733723</v>
      </c>
      <c r="J4222" s="128">
        <v>1.1085267484602186E-3</v>
      </c>
      <c r="K4222" s="128"/>
      <c r="L4222" s="128">
        <v>3.56E-2</v>
      </c>
      <c r="O4222" s="2"/>
    </row>
    <row r="4223" spans="2:15" x14ac:dyDescent="0.2">
      <c r="B4223" s="1">
        <f>B4222+1</f>
        <v>4208</v>
      </c>
      <c r="C4223" s="5">
        <f ca="1"/>
        <v>-1.4515158843405915</v>
      </c>
      <c r="D4223" s="5">
        <f ca="1">S0*EXP((μ-0.5*σ*σ)*T+σ*SQRT(T)*$C4223)</f>
        <v>0.57590468451543764</v>
      </c>
      <c r="E4223" s="5">
        <f ca="1">MAX(0,CP*(D4223-K))</f>
        <v>0</v>
      </c>
      <c r="F4223" s="4">
        <f ca="1">(CP*(D4223-K)&gt;0)*1</f>
        <v>0</v>
      </c>
      <c r="H4223" s="4">
        <v>4208</v>
      </c>
      <c r="I4223" s="3">
        <v>0.66772250867813421</v>
      </c>
      <c r="J4223" s="128">
        <v>1.4529242537543857E-3</v>
      </c>
      <c r="K4223" s="128"/>
      <c r="L4223" s="128">
        <v>4.2799999999999998E-2</v>
      </c>
      <c r="O4223" s="2"/>
    </row>
    <row r="4224" spans="2:15" x14ac:dyDescent="0.2">
      <c r="B4224" s="1">
        <f>B4223+1</f>
        <v>4209</v>
      </c>
      <c r="C4224" s="5">
        <f ca="1"/>
        <v>0.72082575266903204</v>
      </c>
      <c r="D4224" s="5">
        <f ca="1">S0*EXP((μ-0.5*σ*σ)*T+σ*SQRT(T)*$C4224)</f>
        <v>0.713446772904894</v>
      </c>
      <c r="E4224" s="5">
        <f ca="1">MAX(0,CP*(D4224-K))</f>
        <v>0</v>
      </c>
      <c r="F4224" s="4">
        <f ca="1">(CP*(D4224-K)&gt;0)*1</f>
        <v>0</v>
      </c>
      <c r="H4224" s="4">
        <v>4209</v>
      </c>
      <c r="I4224" s="3">
        <v>0.66769308258207227</v>
      </c>
      <c r="J4224" s="128">
        <v>1.2906691053736214E-3</v>
      </c>
      <c r="K4224" s="128"/>
      <c r="L4224" s="128">
        <v>4.0599999999999997E-2</v>
      </c>
      <c r="O4224" s="2"/>
    </row>
    <row r="4225" spans="2:15" x14ac:dyDescent="0.2">
      <c r="B4225" s="1">
        <f>B4224+1</f>
        <v>4210</v>
      </c>
      <c r="C4225" s="5">
        <f ca="1"/>
        <v>-0.55588692203177548</v>
      </c>
      <c r="D4225" s="5">
        <f ca="1">S0*EXP((μ-0.5*σ*σ)*T+σ*SQRT(T)*$C4225)</f>
        <v>0.629068379320736</v>
      </c>
      <c r="E4225" s="5">
        <f ca="1">MAX(0,CP*(D4225-K))</f>
        <v>0</v>
      </c>
      <c r="F4225" s="4">
        <f ca="1">(CP*(D4225-K)&gt;0)*1</f>
        <v>0</v>
      </c>
      <c r="H4225" s="4">
        <v>4210</v>
      </c>
      <c r="I4225" s="3">
        <v>0.66777231028993556</v>
      </c>
      <c r="J4225" s="128">
        <v>1.2615669070439378E-3</v>
      </c>
      <c r="K4225" s="128"/>
      <c r="L4225" s="128">
        <v>4.1599999999999998E-2</v>
      </c>
      <c r="O4225" s="2"/>
    </row>
    <row r="4226" spans="2:15" x14ac:dyDescent="0.2">
      <c r="B4226" s="1">
        <f>B4225+1</f>
        <v>4211</v>
      </c>
      <c r="C4226" s="5">
        <f ca="1"/>
        <v>-1.5213741200252064</v>
      </c>
      <c r="D4226" s="5">
        <f ca="1">S0*EXP((μ-0.5*σ*σ)*T+σ*SQRT(T)*$C4226)</f>
        <v>0.57195197155079947</v>
      </c>
      <c r="E4226" s="5">
        <f ca="1">MAX(0,CP*(D4226-K))</f>
        <v>0</v>
      </c>
      <c r="F4226" s="4">
        <f ca="1">(CP*(D4226-K)&gt;0)*1</f>
        <v>0</v>
      </c>
      <c r="H4226" s="4">
        <v>4211</v>
      </c>
      <c r="I4226" s="3">
        <v>0.6677613489878842</v>
      </c>
      <c r="J4226" s="128">
        <v>1.3218737811054237E-3</v>
      </c>
      <c r="K4226" s="128"/>
      <c r="L4226" s="128">
        <v>4.2000000000000003E-2</v>
      </c>
      <c r="O4226" s="2"/>
    </row>
    <row r="4227" spans="2:15" x14ac:dyDescent="0.2">
      <c r="B4227" s="1">
        <f>B4226+1</f>
        <v>4212</v>
      </c>
      <c r="C4227" s="5">
        <f ca="1"/>
        <v>-1.4005643063299471</v>
      </c>
      <c r="D4227" s="5">
        <f ca="1">S0*EXP((μ-0.5*σ*σ)*T+σ*SQRT(T)*$C4227)</f>
        <v>0.57880483944180783</v>
      </c>
      <c r="E4227" s="5">
        <f ca="1">MAX(0,CP*(D4227-K))</f>
        <v>0</v>
      </c>
      <c r="F4227" s="4">
        <f ca="1">(CP*(D4227-K)&gt;0)*1</f>
        <v>0</v>
      </c>
      <c r="H4227" s="4">
        <v>4212</v>
      </c>
      <c r="I4227" s="3">
        <v>0.66764737338047397</v>
      </c>
      <c r="J4227" s="128">
        <v>1.1612696295758326E-3</v>
      </c>
      <c r="K4227" s="128"/>
      <c r="L4227" s="128">
        <v>4.02E-2</v>
      </c>
      <c r="O4227" s="2"/>
    </row>
    <row r="4228" spans="2:15" x14ac:dyDescent="0.2">
      <c r="B4228" s="1">
        <f>B4227+1</f>
        <v>4213</v>
      </c>
      <c r="C4228" s="5">
        <f ca="1"/>
        <v>-1.1659915583684486</v>
      </c>
      <c r="D4228" s="5">
        <f ca="1">S0*EXP((μ-0.5*σ*σ)*T+σ*SQRT(T)*$C4228)</f>
        <v>0.59234621677802368</v>
      </c>
      <c r="E4228" s="5">
        <f ca="1">MAX(0,CP*(D4228-K))</f>
        <v>0</v>
      </c>
      <c r="F4228" s="4">
        <f ca="1">(CP*(D4228-K)&gt;0)*1</f>
        <v>0</v>
      </c>
      <c r="H4228" s="4">
        <v>4213</v>
      </c>
      <c r="I4228" s="3">
        <v>0.66784676763333195</v>
      </c>
      <c r="J4228" s="128">
        <v>1.5862393794623775E-3</v>
      </c>
      <c r="K4228" s="128"/>
      <c r="L4228" s="128">
        <v>4.7199999999999999E-2</v>
      </c>
      <c r="O4228" s="2"/>
    </row>
    <row r="4229" spans="2:15" x14ac:dyDescent="0.2">
      <c r="B4229" s="1">
        <f>B4228+1</f>
        <v>4214</v>
      </c>
      <c r="C4229" s="5">
        <f ca="1"/>
        <v>1.8294649285213924</v>
      </c>
      <c r="D4229" s="5">
        <f ca="1">S0*EXP((μ-0.5*σ*σ)*T+σ*SQRT(T)*$C4229)</f>
        <v>0.7958460521722609</v>
      </c>
      <c r="E4229" s="5">
        <f ca="1">MAX(0,CP*(D4229-K))</f>
        <v>7.6460521722608865E-3</v>
      </c>
      <c r="F4229" s="4">
        <f ca="1">(CP*(D4229-K)&gt;0)*1</f>
        <v>1</v>
      </c>
      <c r="H4229" s="4">
        <v>4214</v>
      </c>
      <c r="I4229" s="3">
        <v>0.66764545560631983</v>
      </c>
      <c r="J4229" s="128">
        <v>1.2052277120484752E-3</v>
      </c>
      <c r="K4229" s="128"/>
      <c r="L4229" s="128">
        <v>3.8399999999999997E-2</v>
      </c>
      <c r="O4229" s="2"/>
    </row>
    <row r="4230" spans="2:15" x14ac:dyDescent="0.2">
      <c r="B4230" s="1">
        <f>B4229+1</f>
        <v>4215</v>
      </c>
      <c r="C4230" s="5">
        <f ca="1"/>
        <v>0.98764208452286306</v>
      </c>
      <c r="D4230" s="5">
        <f ca="1">S0*EXP((μ-0.5*σ*σ)*T+σ*SQRT(T)*$C4230)</f>
        <v>0.73246281945853731</v>
      </c>
      <c r="E4230" s="5">
        <f ca="1">MAX(0,CP*(D4230-K))</f>
        <v>0</v>
      </c>
      <c r="F4230" s="4">
        <f ca="1">(CP*(D4230-K)&gt;0)*1</f>
        <v>0</v>
      </c>
      <c r="H4230" s="4">
        <v>4215</v>
      </c>
      <c r="I4230" s="3">
        <v>0.66780901430229267</v>
      </c>
      <c r="J4230" s="128">
        <v>1.3460462682197121E-3</v>
      </c>
      <c r="K4230" s="128"/>
      <c r="L4230" s="128">
        <v>3.9600000000000003E-2</v>
      </c>
      <c r="O4230" s="2"/>
    </row>
    <row r="4231" spans="2:15" x14ac:dyDescent="0.2">
      <c r="B4231" s="1">
        <f>B4230+1</f>
        <v>4216</v>
      </c>
      <c r="C4231" s="5">
        <f ca="1"/>
        <v>-0.7095527152141915</v>
      </c>
      <c r="D4231" s="5">
        <f ca="1">S0*EXP((μ-0.5*σ*σ)*T+σ*SQRT(T)*$C4231)</f>
        <v>0.61961011918842712</v>
      </c>
      <c r="E4231" s="5">
        <f ca="1">MAX(0,CP*(D4231-K))</f>
        <v>0</v>
      </c>
      <c r="F4231" s="4">
        <f ca="1">(CP*(D4231-K)&gt;0)*1</f>
        <v>0</v>
      </c>
      <c r="H4231" s="4">
        <v>4216</v>
      </c>
      <c r="I4231" s="3">
        <v>0.66777372771843779</v>
      </c>
      <c r="J4231" s="128">
        <v>1.3144383356937343E-3</v>
      </c>
      <c r="K4231" s="128"/>
      <c r="L4231" s="128">
        <v>4.36E-2</v>
      </c>
      <c r="O4231" s="2"/>
    </row>
    <row r="4232" spans="2:15" x14ac:dyDescent="0.2">
      <c r="B4232" s="1">
        <f>B4231+1</f>
        <v>4217</v>
      </c>
      <c r="C4232" s="5">
        <f ca="1"/>
        <v>-1.1809557516234641</v>
      </c>
      <c r="D4232" s="5">
        <f ca="1">S0*EXP((μ-0.5*σ*σ)*T+σ*SQRT(T)*$C4232)</f>
        <v>0.59147298338751375</v>
      </c>
      <c r="E4232" s="5">
        <f ca="1">MAX(0,CP*(D4232-K))</f>
        <v>0</v>
      </c>
      <c r="F4232" s="4">
        <f ca="1">(CP*(D4232-K)&gt;0)*1</f>
        <v>0</v>
      </c>
      <c r="H4232" s="4">
        <v>4217</v>
      </c>
      <c r="I4232" s="3">
        <v>0.66769105030713938</v>
      </c>
      <c r="J4232" s="128">
        <v>1.3307297325402089E-3</v>
      </c>
      <c r="K4232" s="128"/>
      <c r="L4232" s="128">
        <v>3.9199999999999999E-2</v>
      </c>
      <c r="O4232" s="2"/>
    </row>
    <row r="4233" spans="2:15" x14ac:dyDescent="0.2">
      <c r="B4233" s="1">
        <f>B4232+1</f>
        <v>4218</v>
      </c>
      <c r="C4233" s="5">
        <f ca="1"/>
        <v>-0.30326883057413684</v>
      </c>
      <c r="D4233" s="5">
        <f ca="1">S0*EXP((μ-0.5*σ*σ)*T+σ*SQRT(T)*$C4233)</f>
        <v>0.64493203580676417</v>
      </c>
      <c r="E4233" s="5">
        <f ca="1">MAX(0,CP*(D4233-K))</f>
        <v>0</v>
      </c>
      <c r="F4233" s="4">
        <f ca="1">(CP*(D4233-K)&gt;0)*1</f>
        <v>0</v>
      </c>
      <c r="H4233" s="4">
        <v>4218</v>
      </c>
      <c r="I4233" s="3">
        <v>0.66766643802782366</v>
      </c>
      <c r="J4233" s="128">
        <v>1.3056607341393059E-3</v>
      </c>
      <c r="K4233" s="128"/>
      <c r="L4233" s="128">
        <v>3.9199999999999999E-2</v>
      </c>
      <c r="O4233" s="2"/>
    </row>
    <row r="4234" spans="2:15" x14ac:dyDescent="0.2">
      <c r="B4234" s="1">
        <f>B4233+1</f>
        <v>4219</v>
      </c>
      <c r="C4234" s="5">
        <f ca="1"/>
        <v>7.3516903479117546E-2</v>
      </c>
      <c r="D4234" s="5">
        <f ca="1">S0*EXP((μ-0.5*σ*σ)*T+σ*SQRT(T)*$C4234)</f>
        <v>0.66933942457127371</v>
      </c>
      <c r="E4234" s="5">
        <f ca="1">MAX(0,CP*(D4234-K))</f>
        <v>0</v>
      </c>
      <c r="F4234" s="4">
        <f ca="1">(CP*(D4234-K)&gt;0)*1</f>
        <v>0</v>
      </c>
      <c r="H4234" s="4">
        <v>4219</v>
      </c>
      <c r="I4234" s="3">
        <v>0.66770343623128314</v>
      </c>
      <c r="J4234" s="128">
        <v>1.2101181251054284E-3</v>
      </c>
      <c r="K4234" s="128"/>
      <c r="L4234" s="128">
        <v>3.8199999999999998E-2</v>
      </c>
      <c r="O4234" s="2"/>
    </row>
    <row r="4235" spans="2:15" x14ac:dyDescent="0.2">
      <c r="B4235" s="1">
        <f>B4234+1</f>
        <v>4220</v>
      </c>
      <c r="C4235" s="5">
        <f ca="1"/>
        <v>0.43901643859235018</v>
      </c>
      <c r="D4235" s="5">
        <f ca="1">S0*EXP((μ-0.5*σ*σ)*T+σ*SQRT(T)*$C4235)</f>
        <v>0.6938979939454375</v>
      </c>
      <c r="E4235" s="5">
        <f ca="1">MAX(0,CP*(D4235-K))</f>
        <v>0</v>
      </c>
      <c r="F4235" s="4">
        <f ca="1">(CP*(D4235-K)&gt;0)*1</f>
        <v>0</v>
      </c>
      <c r="H4235" s="4">
        <v>4220</v>
      </c>
      <c r="I4235" s="3">
        <v>0.66766154051872417</v>
      </c>
      <c r="J4235" s="128">
        <v>1.3545586569331978E-3</v>
      </c>
      <c r="K4235" s="128"/>
      <c r="L4235" s="128">
        <v>3.9E-2</v>
      </c>
      <c r="O4235" s="2"/>
    </row>
    <row r="4236" spans="2:15" x14ac:dyDescent="0.2">
      <c r="B4236" s="1">
        <f>B4235+1</f>
        <v>4221</v>
      </c>
      <c r="C4236" s="5">
        <f ca="1"/>
        <v>-1.5246643267691551</v>
      </c>
      <c r="D4236" s="5">
        <f ca="1">S0*EXP((μ-0.5*σ*σ)*T+σ*SQRT(T)*$C4236)</f>
        <v>0.57176647577022033</v>
      </c>
      <c r="E4236" s="5">
        <f ca="1">MAX(0,CP*(D4236-K))</f>
        <v>0</v>
      </c>
      <c r="F4236" s="4">
        <f ca="1">(CP*(D4236-K)&gt;0)*1</f>
        <v>0</v>
      </c>
      <c r="H4236" s="4">
        <v>4221</v>
      </c>
      <c r="I4236" s="3">
        <v>0.66773335164799019</v>
      </c>
      <c r="J4236" s="128">
        <v>1.3802168374422391E-3</v>
      </c>
      <c r="K4236" s="128"/>
      <c r="L4236" s="128">
        <v>4.1599999999999998E-2</v>
      </c>
      <c r="O4236" s="2"/>
    </row>
    <row r="4237" spans="2:15" x14ac:dyDescent="0.2">
      <c r="B4237" s="1">
        <f>B4236+1</f>
        <v>4222</v>
      </c>
      <c r="C4237" s="5">
        <f ca="1"/>
        <v>1.2248361077612033</v>
      </c>
      <c r="D4237" s="5">
        <f ca="1">S0*EXP((μ-0.5*σ*σ)*T+σ*SQRT(T)*$C4237)</f>
        <v>0.74979282855119611</v>
      </c>
      <c r="E4237" s="5">
        <f ca="1">MAX(0,CP*(D4237-K))</f>
        <v>0</v>
      </c>
      <c r="F4237" s="4">
        <f ca="1">(CP*(D4237-K)&gt;0)*1</f>
        <v>0</v>
      </c>
      <c r="H4237" s="4">
        <v>4222</v>
      </c>
      <c r="I4237" s="3">
        <v>0.66774751988126624</v>
      </c>
      <c r="J4237" s="128">
        <v>1.3631052775933011E-3</v>
      </c>
      <c r="K4237" s="128"/>
      <c r="L4237" s="128">
        <v>4.36E-2</v>
      </c>
      <c r="O4237" s="2"/>
    </row>
    <row r="4238" spans="2:15" x14ac:dyDescent="0.2">
      <c r="B4238" s="1">
        <f>B4237+1</f>
        <v>4223</v>
      </c>
      <c r="C4238" s="5">
        <f ca="1"/>
        <v>-1.7405450844739909</v>
      </c>
      <c r="D4238" s="5">
        <f ca="1">S0*EXP((μ-0.5*σ*σ)*T+σ*SQRT(T)*$C4238)</f>
        <v>0.55972607440576616</v>
      </c>
      <c r="E4238" s="5">
        <f ca="1">MAX(0,CP*(D4238-K))</f>
        <v>0</v>
      </c>
      <c r="F4238" s="4">
        <f ca="1">(CP*(D4238-K)&gt;0)*1</f>
        <v>0</v>
      </c>
      <c r="H4238" s="4">
        <v>4223</v>
      </c>
      <c r="I4238" s="3">
        <v>0.66772237930223655</v>
      </c>
      <c r="J4238" s="128">
        <v>1.3513327244350302E-3</v>
      </c>
      <c r="K4238" s="128"/>
      <c r="L4238" s="128">
        <v>4.24E-2</v>
      </c>
      <c r="O4238" s="2"/>
    </row>
    <row r="4239" spans="2:15" x14ac:dyDescent="0.2">
      <c r="B4239" s="1">
        <f>B4238+1</f>
        <v>4224</v>
      </c>
      <c r="C4239" s="5">
        <f ca="1"/>
        <v>1.0110718137022301</v>
      </c>
      <c r="D4239" s="5">
        <f ca="1">S0*EXP((μ-0.5*σ*σ)*T+σ*SQRT(T)*$C4239)</f>
        <v>0.73415667454933964</v>
      </c>
      <c r="E4239" s="5">
        <f ca="1">MAX(0,CP*(D4239-K))</f>
        <v>0</v>
      </c>
      <c r="F4239" s="4">
        <f ca="1">(CP*(D4239-K)&gt;0)*1</f>
        <v>0</v>
      </c>
      <c r="H4239" s="4">
        <v>4224</v>
      </c>
      <c r="I4239" s="3">
        <v>0.66779020303293368</v>
      </c>
      <c r="J4239" s="128">
        <v>1.4721259244020099E-3</v>
      </c>
      <c r="K4239" s="128"/>
      <c r="L4239" s="128">
        <v>4.2999999999999997E-2</v>
      </c>
      <c r="O4239" s="2"/>
    </row>
    <row r="4240" spans="2:15" x14ac:dyDescent="0.2">
      <c r="B4240" s="1">
        <f>B4239+1</f>
        <v>4225</v>
      </c>
      <c r="C4240" s="5">
        <f ca="1"/>
        <v>0.93463437818493023</v>
      </c>
      <c r="D4240" s="5">
        <f ca="1">S0*EXP((μ-0.5*σ*σ)*T+σ*SQRT(T)*$C4240)</f>
        <v>0.7286450295748077</v>
      </c>
      <c r="E4240" s="5">
        <f ca="1">MAX(0,CP*(D4240-K))</f>
        <v>0</v>
      </c>
      <c r="F4240" s="4">
        <f ca="1">(CP*(D4240-K)&gt;0)*1</f>
        <v>0</v>
      </c>
      <c r="H4240" s="4">
        <v>4225</v>
      </c>
      <c r="I4240" s="3">
        <v>0.66772886636644802</v>
      </c>
      <c r="J4240" s="128">
        <v>1.2958319056696494E-3</v>
      </c>
      <c r="K4240" s="128"/>
      <c r="L4240" s="128">
        <v>3.8399999999999997E-2</v>
      </c>
      <c r="O4240" s="2"/>
    </row>
    <row r="4241" spans="2:15" x14ac:dyDescent="0.2">
      <c r="B4241" s="1">
        <f>B4240+1</f>
        <v>4226</v>
      </c>
      <c r="C4241" s="5">
        <f ca="1"/>
        <v>-1.0231607861773953</v>
      </c>
      <c r="D4241" s="5">
        <f ca="1">S0*EXP((μ-0.5*σ*σ)*T+σ*SQRT(T)*$C4241)</f>
        <v>0.60074623895263268</v>
      </c>
      <c r="E4241" s="5">
        <f ca="1">MAX(0,CP*(D4241-K))</f>
        <v>0</v>
      </c>
      <c r="F4241" s="4">
        <f ca="1">(CP*(D4241-K)&gt;0)*1</f>
        <v>0</v>
      </c>
      <c r="H4241" s="4">
        <v>4226</v>
      </c>
      <c r="I4241" s="3">
        <v>0.66765465877891683</v>
      </c>
      <c r="J4241" s="128">
        <v>1.2408589986724443E-3</v>
      </c>
      <c r="K4241" s="128"/>
      <c r="L4241" s="128">
        <v>3.78E-2</v>
      </c>
      <c r="O4241" s="2"/>
    </row>
    <row r="4242" spans="2:15" x14ac:dyDescent="0.2">
      <c r="B4242" s="1">
        <f>B4241+1</f>
        <v>4227</v>
      </c>
      <c r="C4242" s="5">
        <f ca="1"/>
        <v>-7.8779531686338944E-2</v>
      </c>
      <c r="D4242" s="5">
        <f ca="1">S0*EXP((μ-0.5*σ*σ)*T+σ*SQRT(T)*$C4242)</f>
        <v>0.65936468461967057</v>
      </c>
      <c r="E4242" s="5">
        <f ca="1">MAX(0,CP*(D4242-K))</f>
        <v>0</v>
      </c>
      <c r="F4242" s="4">
        <f ca="1">(CP*(D4242-K)&gt;0)*1</f>
        <v>0</v>
      </c>
      <c r="H4242" s="4">
        <v>4227</v>
      </c>
      <c r="I4242" s="3">
        <v>0.66775003792656684</v>
      </c>
      <c r="J4242" s="128">
        <v>1.3572569413283849E-3</v>
      </c>
      <c r="K4242" s="128"/>
      <c r="L4242" s="128">
        <v>4.2999999999999997E-2</v>
      </c>
      <c r="O4242" s="2"/>
    </row>
    <row r="4243" spans="2:15" x14ac:dyDescent="0.2">
      <c r="B4243" s="1">
        <f>B4242+1</f>
        <v>4228</v>
      </c>
      <c r="C4243" s="5">
        <f ca="1"/>
        <v>0.4036055514968892</v>
      </c>
      <c r="D4243" s="5">
        <f ca="1">S0*EXP((μ-0.5*σ*σ)*T+σ*SQRT(T)*$C4243)</f>
        <v>0.69147977119037196</v>
      </c>
      <c r="E4243" s="5">
        <f ca="1">MAX(0,CP*(D4243-K))</f>
        <v>0</v>
      </c>
      <c r="F4243" s="4">
        <f ca="1">(CP*(D4243-K)&gt;0)*1</f>
        <v>0</v>
      </c>
      <c r="H4243" s="4">
        <v>4228</v>
      </c>
      <c r="I4243" s="3">
        <v>0.66773567032873393</v>
      </c>
      <c r="J4243" s="128">
        <v>1.3316907402359153E-3</v>
      </c>
      <c r="K4243" s="128"/>
      <c r="L4243" s="128">
        <v>4.0599999999999997E-2</v>
      </c>
      <c r="O4243" s="2"/>
    </row>
    <row r="4244" spans="2:15" x14ac:dyDescent="0.2">
      <c r="B4244" s="1">
        <f>B4243+1</f>
        <v>4229</v>
      </c>
      <c r="C4244" s="5">
        <f ca="1"/>
        <v>-0.15803541528591636</v>
      </c>
      <c r="D4244" s="5">
        <f ca="1">S0*EXP((μ-0.5*σ*σ)*T+σ*SQRT(T)*$C4244)</f>
        <v>0.65423272405469413</v>
      </c>
      <c r="E4244" s="5">
        <f ca="1">MAX(0,CP*(D4244-K))</f>
        <v>0</v>
      </c>
      <c r="F4244" s="4">
        <f ca="1">(CP*(D4244-K)&gt;0)*1</f>
        <v>0</v>
      </c>
      <c r="H4244" s="4">
        <v>4229</v>
      </c>
      <c r="I4244" s="3">
        <v>0.66777639004102629</v>
      </c>
      <c r="J4244" s="128">
        <v>1.4011753861502786E-3</v>
      </c>
      <c r="K4244" s="128"/>
      <c r="L4244" s="128">
        <v>4.1399999999999999E-2</v>
      </c>
      <c r="O4244" s="2"/>
    </row>
    <row r="4245" spans="2:15" x14ac:dyDescent="0.2">
      <c r="B4245" s="1">
        <f>B4244+1</f>
        <v>4230</v>
      </c>
      <c r="C4245" s="5">
        <f ca="1"/>
        <v>-0.73168156088409475</v>
      </c>
      <c r="D4245" s="5">
        <f ca="1">S0*EXP((μ-0.5*σ*σ)*T+σ*SQRT(T)*$C4245)</f>
        <v>0.61825983452730737</v>
      </c>
      <c r="E4245" s="5">
        <f ca="1">MAX(0,CP*(D4245-K))</f>
        <v>0</v>
      </c>
      <c r="F4245" s="4">
        <f ca="1">(CP*(D4245-K)&gt;0)*1</f>
        <v>0</v>
      </c>
      <c r="H4245" s="4">
        <v>4230</v>
      </c>
      <c r="I4245" s="3">
        <v>0.66764711179939529</v>
      </c>
      <c r="J4245" s="128">
        <v>1.1823384468585925E-3</v>
      </c>
      <c r="K4245" s="128"/>
      <c r="L4245" s="128">
        <v>3.9199999999999999E-2</v>
      </c>
      <c r="O4245" s="2"/>
    </row>
    <row r="4246" spans="2:15" x14ac:dyDescent="0.2">
      <c r="B4246" s="1">
        <f>B4245+1</f>
        <v>4231</v>
      </c>
      <c r="C4246" s="5">
        <f ca="1"/>
        <v>0.63293583185071123</v>
      </c>
      <c r="D4246" s="5">
        <f ca="1">S0*EXP((μ-0.5*σ*σ)*T+σ*SQRT(T)*$C4246)</f>
        <v>0.70729157270488219</v>
      </c>
      <c r="E4246" s="5">
        <f ca="1">MAX(0,CP*(D4246-K))</f>
        <v>0</v>
      </c>
      <c r="F4246" s="4">
        <f ca="1">(CP*(D4246-K)&gt;0)*1</f>
        <v>0</v>
      </c>
      <c r="H4246" s="4">
        <v>4231</v>
      </c>
      <c r="I4246" s="3">
        <v>0.66781234876201434</v>
      </c>
      <c r="J4246" s="128">
        <v>1.457979662194533E-3</v>
      </c>
      <c r="K4246" s="128"/>
      <c r="L4246" s="128">
        <v>4.5600000000000002E-2</v>
      </c>
      <c r="O4246" s="2"/>
    </row>
    <row r="4247" spans="2:15" x14ac:dyDescent="0.2">
      <c r="B4247" s="1">
        <f>B4246+1</f>
        <v>4232</v>
      </c>
      <c r="C4247" s="5">
        <f ca="1"/>
        <v>0.62905122221207521</v>
      </c>
      <c r="D4247" s="5">
        <f ca="1">S0*EXP((μ-0.5*σ*σ)*T+σ*SQRT(T)*$C4247)</f>
        <v>0.70702075040090839</v>
      </c>
      <c r="E4247" s="5">
        <f ca="1">MAX(0,CP*(D4247-K))</f>
        <v>0</v>
      </c>
      <c r="F4247" s="4">
        <f ca="1">(CP*(D4247-K)&gt;0)*1</f>
        <v>0</v>
      </c>
      <c r="H4247" s="4">
        <v>4232</v>
      </c>
      <c r="I4247" s="3">
        <v>0.66769807551710103</v>
      </c>
      <c r="J4247" s="128">
        <v>1.3592882062797558E-3</v>
      </c>
      <c r="K4247" s="128"/>
      <c r="L4247" s="128">
        <v>4.0599999999999997E-2</v>
      </c>
      <c r="O4247" s="2"/>
    </row>
    <row r="4248" spans="2:15" x14ac:dyDescent="0.2">
      <c r="B4248" s="1">
        <f>B4247+1</f>
        <v>4233</v>
      </c>
      <c r="C4248" s="5">
        <f ca="1"/>
        <v>0.30486355621260586</v>
      </c>
      <c r="D4248" s="5">
        <f ca="1">S0*EXP((μ-0.5*σ*σ)*T+σ*SQRT(T)*$C4248)</f>
        <v>0.68478106475848322</v>
      </c>
      <c r="E4248" s="5">
        <f ca="1">MAX(0,CP*(D4248-K))</f>
        <v>0</v>
      </c>
      <c r="F4248" s="4">
        <f ca="1">(CP*(D4248-K)&gt;0)*1</f>
        <v>0</v>
      </c>
      <c r="H4248" s="4">
        <v>4233</v>
      </c>
      <c r="I4248" s="3">
        <v>0.66770436090687069</v>
      </c>
      <c r="J4248" s="128">
        <v>1.3050035705579515E-3</v>
      </c>
      <c r="K4248" s="128"/>
      <c r="L4248" s="128">
        <v>4.2999999999999997E-2</v>
      </c>
      <c r="O4248" s="2"/>
    </row>
    <row r="4249" spans="2:15" x14ac:dyDescent="0.2">
      <c r="B4249" s="1">
        <f>B4248+1</f>
        <v>4234</v>
      </c>
      <c r="C4249" s="5">
        <f ca="1"/>
        <v>0.2404431801355191</v>
      </c>
      <c r="D4249" s="5">
        <f ca="1">S0*EXP((μ-0.5*σ*σ)*T+σ*SQRT(T)*$C4249)</f>
        <v>0.68044577292165853</v>
      </c>
      <c r="E4249" s="5">
        <f ca="1">MAX(0,CP*(D4249-K))</f>
        <v>0</v>
      </c>
      <c r="F4249" s="4">
        <f ca="1">(CP*(D4249-K)&gt;0)*1</f>
        <v>0</v>
      </c>
      <c r="H4249" s="4">
        <v>4234</v>
      </c>
      <c r="I4249" s="3">
        <v>0.66773663035239472</v>
      </c>
      <c r="J4249" s="128">
        <v>1.3594912145258426E-3</v>
      </c>
      <c r="K4249" s="128"/>
      <c r="L4249" s="128">
        <v>4.24E-2</v>
      </c>
      <c r="O4249" s="2"/>
    </row>
    <row r="4250" spans="2:15" x14ac:dyDescent="0.2">
      <c r="B4250" s="1">
        <f>B4249+1</f>
        <v>4235</v>
      </c>
      <c r="C4250" s="5">
        <f ca="1"/>
        <v>0.40689383753923924</v>
      </c>
      <c r="D4250" s="5">
        <f ca="1">S0*EXP((μ-0.5*σ*σ)*T+σ*SQRT(T)*$C4250)</f>
        <v>0.69170397407021533</v>
      </c>
      <c r="E4250" s="5">
        <f ca="1">MAX(0,CP*(D4250-K))</f>
        <v>0</v>
      </c>
      <c r="F4250" s="4">
        <f ca="1">(CP*(D4250-K)&gt;0)*1</f>
        <v>0</v>
      </c>
      <c r="H4250" s="4">
        <v>4235</v>
      </c>
      <c r="I4250" s="3">
        <v>0.66765094606970965</v>
      </c>
      <c r="J4250" s="128">
        <v>1.3637249254536614E-3</v>
      </c>
      <c r="K4250" s="128"/>
      <c r="L4250" s="128">
        <v>0.04</v>
      </c>
      <c r="O4250" s="2"/>
    </row>
    <row r="4251" spans="2:15" x14ac:dyDescent="0.2">
      <c r="B4251" s="1">
        <f>B4250+1</f>
        <v>4236</v>
      </c>
      <c r="C4251" s="5">
        <f ca="1"/>
        <v>-1.0611491477476711</v>
      </c>
      <c r="D4251" s="5">
        <f ca="1">S0*EXP((μ-0.5*σ*σ)*T+σ*SQRT(T)*$C4251)</f>
        <v>0.59850054617070947</v>
      </c>
      <c r="E4251" s="5">
        <f ca="1">MAX(0,CP*(D4251-K))</f>
        <v>0</v>
      </c>
      <c r="F4251" s="4">
        <f ca="1">(CP*(D4251-K)&gt;0)*1</f>
        <v>0</v>
      </c>
      <c r="H4251" s="4">
        <v>4236</v>
      </c>
      <c r="I4251" s="3">
        <v>0.66764094736669299</v>
      </c>
      <c r="J4251" s="128">
        <v>1.2236871451062389E-3</v>
      </c>
      <c r="K4251" s="128"/>
      <c r="L4251" s="128">
        <v>3.56E-2</v>
      </c>
      <c r="O4251" s="2"/>
    </row>
    <row r="4252" spans="2:15" x14ac:dyDescent="0.2">
      <c r="B4252" s="1">
        <f>B4251+1</f>
        <v>4237</v>
      </c>
      <c r="C4252" s="5">
        <f ca="1"/>
        <v>0.47088465248733413</v>
      </c>
      <c r="D4252" s="5">
        <f ca="1">S0*EXP((μ-0.5*σ*σ)*T+σ*SQRT(T)*$C4252)</f>
        <v>0.6960815155290121</v>
      </c>
      <c r="E4252" s="5">
        <f ca="1">MAX(0,CP*(D4252-K))</f>
        <v>0</v>
      </c>
      <c r="F4252" s="4">
        <f ca="1">(CP*(D4252-K)&gt;0)*1</f>
        <v>0</v>
      </c>
      <c r="H4252" s="4">
        <v>4237</v>
      </c>
      <c r="I4252" s="3">
        <v>0.66770280584877117</v>
      </c>
      <c r="J4252" s="128">
        <v>1.2964036621602932E-3</v>
      </c>
      <c r="K4252" s="128"/>
      <c r="L4252" s="128">
        <v>4.2999999999999997E-2</v>
      </c>
      <c r="O4252" s="2"/>
    </row>
    <row r="4253" spans="2:15" x14ac:dyDescent="0.2">
      <c r="B4253" s="1">
        <f>B4252+1</f>
        <v>4238</v>
      </c>
      <c r="C4253" s="5">
        <f ca="1"/>
        <v>0.40199303168653105</v>
      </c>
      <c r="D4253" s="5">
        <f ca="1">S0*EXP((μ-0.5*σ*σ)*T+σ*SQRT(T)*$C4253)</f>
        <v>0.6913698524510864</v>
      </c>
      <c r="E4253" s="5">
        <f ca="1">MAX(0,CP*(D4253-K))</f>
        <v>0</v>
      </c>
      <c r="F4253" s="4">
        <f ca="1">(CP*(D4253-K)&gt;0)*1</f>
        <v>0</v>
      </c>
      <c r="H4253" s="4">
        <v>4238</v>
      </c>
      <c r="I4253" s="3">
        <v>0.66777595322353711</v>
      </c>
      <c r="J4253" s="128">
        <v>1.4129475183315534E-3</v>
      </c>
      <c r="K4253" s="128"/>
      <c r="L4253" s="128">
        <v>4.24E-2</v>
      </c>
      <c r="O4253" s="2"/>
    </row>
    <row r="4254" spans="2:15" x14ac:dyDescent="0.2">
      <c r="B4254" s="1">
        <f>B4253+1</f>
        <v>4239</v>
      </c>
      <c r="C4254" s="5">
        <f ca="1"/>
        <v>0.90579494923410886</v>
      </c>
      <c r="D4254" s="5">
        <f ca="1">S0*EXP((μ-0.5*σ*σ)*T+σ*SQRT(T)*$C4254)</f>
        <v>0.72657628374429239</v>
      </c>
      <c r="E4254" s="5">
        <f ca="1">MAX(0,CP*(D4254-K))</f>
        <v>0</v>
      </c>
      <c r="F4254" s="4">
        <f ca="1">(CP*(D4254-K)&gt;0)*1</f>
        <v>0</v>
      </c>
      <c r="H4254" s="4">
        <v>4239</v>
      </c>
      <c r="I4254" s="3">
        <v>0.66769510862893966</v>
      </c>
      <c r="J4254" s="128">
        <v>1.3921957811534505E-3</v>
      </c>
      <c r="K4254" s="128"/>
      <c r="L4254" s="128">
        <v>3.9399999999999998E-2</v>
      </c>
      <c r="O4254" s="2"/>
    </row>
    <row r="4255" spans="2:15" x14ac:dyDescent="0.2">
      <c r="B4255" s="1">
        <f>B4254+1</f>
        <v>4240</v>
      </c>
      <c r="C4255" s="5">
        <f ca="1"/>
        <v>1.6060587271717157</v>
      </c>
      <c r="D4255" s="5">
        <f ca="1">S0*EXP((μ-0.5*σ*σ)*T+σ*SQRT(T)*$C4255)</f>
        <v>0.77850912559639063</v>
      </c>
      <c r="E4255" s="5">
        <f ca="1">MAX(0,CP*(D4255-K))</f>
        <v>0</v>
      </c>
      <c r="F4255" s="4">
        <f ca="1">(CP*(D4255-K)&gt;0)*1</f>
        <v>0</v>
      </c>
      <c r="H4255" s="4">
        <v>4240</v>
      </c>
      <c r="I4255" s="3">
        <v>0.66777758908773133</v>
      </c>
      <c r="J4255" s="128">
        <v>1.5529251089779906E-3</v>
      </c>
      <c r="K4255" s="128"/>
      <c r="L4255" s="128">
        <v>4.4400000000000002E-2</v>
      </c>
      <c r="O4255" s="2"/>
    </row>
    <row r="4256" spans="2:15" x14ac:dyDescent="0.2">
      <c r="B4256" s="1">
        <f>B4255+1</f>
        <v>4241</v>
      </c>
      <c r="C4256" s="5">
        <f ca="1"/>
        <v>-1.9445287608585633</v>
      </c>
      <c r="D4256" s="5">
        <f ca="1">S0*EXP((μ-0.5*σ*σ)*T+σ*SQRT(T)*$C4256)</f>
        <v>0.54858227950827221</v>
      </c>
      <c r="E4256" s="5">
        <f ca="1">MAX(0,CP*(D4256-K))</f>
        <v>0</v>
      </c>
      <c r="F4256" s="4">
        <f ca="1">(CP*(D4256-K)&gt;0)*1</f>
        <v>0</v>
      </c>
      <c r="H4256" s="4">
        <v>4241</v>
      </c>
      <c r="I4256" s="3">
        <v>0.66759259966465712</v>
      </c>
      <c r="J4256" s="128">
        <v>1.26894074166804E-3</v>
      </c>
      <c r="K4256" s="128"/>
      <c r="L4256" s="128">
        <v>3.9800000000000002E-2</v>
      </c>
      <c r="O4256" s="2"/>
    </row>
    <row r="4257" spans="2:15" x14ac:dyDescent="0.2">
      <c r="B4257" s="1">
        <f>B4256+1</f>
        <v>4242</v>
      </c>
      <c r="C4257" s="5">
        <f ca="1"/>
        <v>-2.4267084377295274</v>
      </c>
      <c r="D4257" s="5">
        <f ca="1">S0*EXP((μ-0.5*σ*σ)*T+σ*SQRT(T)*$C4257)</f>
        <v>0.52311451727458425</v>
      </c>
      <c r="E4257" s="5">
        <f ca="1">MAX(0,CP*(D4257-K))</f>
        <v>0</v>
      </c>
      <c r="F4257" s="4">
        <f ca="1">(CP*(D4257-K)&gt;0)*1</f>
        <v>0</v>
      </c>
      <c r="H4257" s="4">
        <v>4242</v>
      </c>
      <c r="I4257" s="3">
        <v>0.66763352840567181</v>
      </c>
      <c r="J4257" s="128">
        <v>1.2936087182452653E-3</v>
      </c>
      <c r="K4257" s="128"/>
      <c r="L4257" s="128">
        <v>3.9399999999999998E-2</v>
      </c>
      <c r="O4257" s="2"/>
    </row>
    <row r="4258" spans="2:15" x14ac:dyDescent="0.2">
      <c r="B4258" s="1">
        <f>B4257+1</f>
        <v>4243</v>
      </c>
      <c r="C4258" s="5">
        <f ca="1"/>
        <v>-0.57446374547634316</v>
      </c>
      <c r="D4258" s="5">
        <f ca="1">S0*EXP((μ-0.5*σ*σ)*T+σ*SQRT(T)*$C4258)</f>
        <v>0.62791733141834194</v>
      </c>
      <c r="E4258" s="5">
        <f ca="1">MAX(0,CP*(D4258-K))</f>
        <v>0</v>
      </c>
      <c r="F4258" s="4">
        <f ca="1">(CP*(D4258-K)&gt;0)*1</f>
        <v>0</v>
      </c>
      <c r="H4258" s="4">
        <v>4243</v>
      </c>
      <c r="I4258" s="3">
        <v>0.66762402674321797</v>
      </c>
      <c r="J4258" s="128">
        <v>1.2170596926251108E-3</v>
      </c>
      <c r="K4258" s="128"/>
      <c r="L4258" s="128">
        <v>3.9399999999999998E-2</v>
      </c>
      <c r="O4258" s="2"/>
    </row>
    <row r="4259" spans="2:15" x14ac:dyDescent="0.2">
      <c r="B4259" s="1">
        <f>B4258+1</f>
        <v>4244</v>
      </c>
      <c r="C4259" s="5">
        <f ca="1"/>
        <v>0.6864289086347346</v>
      </c>
      <c r="D4259" s="5">
        <f ca="1">S0*EXP((μ-0.5*σ*σ)*T+σ*SQRT(T)*$C4259)</f>
        <v>0.71103150263168668</v>
      </c>
      <c r="E4259" s="5">
        <f ca="1">MAX(0,CP*(D4259-K))</f>
        <v>0</v>
      </c>
      <c r="F4259" s="4">
        <f ca="1">(CP*(D4259-K)&gt;0)*1</f>
        <v>0</v>
      </c>
      <c r="H4259" s="4">
        <v>4244</v>
      </c>
      <c r="I4259" s="3">
        <v>0.66774466639488939</v>
      </c>
      <c r="J4259" s="128">
        <v>1.5054904310946135E-3</v>
      </c>
      <c r="K4259" s="128"/>
      <c r="L4259" s="128">
        <v>4.2000000000000003E-2</v>
      </c>
      <c r="O4259" s="2"/>
    </row>
    <row r="4260" spans="2:15" x14ac:dyDescent="0.2">
      <c r="B4260" s="1">
        <f>B4259+1</f>
        <v>4245</v>
      </c>
      <c r="C4260" s="5">
        <f ca="1"/>
        <v>-2.3098802699714214</v>
      </c>
      <c r="D4260" s="5">
        <f ca="1">S0*EXP((μ-0.5*σ*σ)*T+σ*SQRT(T)*$C4260)</f>
        <v>0.52917447390930428</v>
      </c>
      <c r="E4260" s="5">
        <f ca="1">MAX(0,CP*(D4260-K))</f>
        <v>0</v>
      </c>
      <c r="F4260" s="4">
        <f ca="1">(CP*(D4260-K)&gt;0)*1</f>
        <v>0</v>
      </c>
      <c r="H4260" s="4">
        <v>4245</v>
      </c>
      <c r="I4260" s="3">
        <v>0.66790694669752815</v>
      </c>
      <c r="J4260" s="128">
        <v>1.5450593394068853E-3</v>
      </c>
      <c r="K4260" s="128"/>
      <c r="L4260" s="128">
        <v>4.4999999999999998E-2</v>
      </c>
      <c r="O4260" s="2"/>
    </row>
    <row r="4261" spans="2:15" x14ac:dyDescent="0.2">
      <c r="B4261" s="1">
        <f>B4260+1</f>
        <v>4246</v>
      </c>
      <c r="C4261" s="5">
        <f ca="1"/>
        <v>0.40410589535435304</v>
      </c>
      <c r="D4261" s="5">
        <f ca="1">S0*EXP((μ-0.5*σ*σ)*T+σ*SQRT(T)*$C4261)</f>
        <v>0.69151388109334555</v>
      </c>
      <c r="E4261" s="5">
        <f ca="1">MAX(0,CP*(D4261-K))</f>
        <v>0</v>
      </c>
      <c r="F4261" s="4">
        <f ca="1">(CP*(D4261-K)&gt;0)*1</f>
        <v>0</v>
      </c>
      <c r="H4261" s="4">
        <v>4246</v>
      </c>
      <c r="I4261" s="3">
        <v>0.66773702573577431</v>
      </c>
      <c r="J4261" s="128">
        <v>1.3514134264594941E-3</v>
      </c>
      <c r="K4261" s="128"/>
      <c r="L4261" s="128">
        <v>4.0399999999999998E-2</v>
      </c>
      <c r="O4261" s="2"/>
    </row>
    <row r="4262" spans="2:15" x14ac:dyDescent="0.2">
      <c r="B4262" s="1">
        <f>B4261+1</f>
        <v>4247</v>
      </c>
      <c r="C4262" s="5">
        <f ca="1"/>
        <v>-0.68592819422341034</v>
      </c>
      <c r="D4262" s="5">
        <f ca="1">S0*EXP((μ-0.5*σ*σ)*T+σ*SQRT(T)*$C4262)</f>
        <v>0.62105492368890369</v>
      </c>
      <c r="E4262" s="5">
        <f ca="1">MAX(0,CP*(D4262-K))</f>
        <v>0</v>
      </c>
      <c r="F4262" s="4">
        <f ca="1">(CP*(D4262-K)&gt;0)*1</f>
        <v>0</v>
      </c>
      <c r="H4262" s="4">
        <v>4247</v>
      </c>
      <c r="I4262" s="3">
        <v>0.66783169195445713</v>
      </c>
      <c r="J4262" s="128">
        <v>1.5000590262391426E-3</v>
      </c>
      <c r="K4262" s="128"/>
      <c r="L4262" s="128">
        <v>4.1399999999999999E-2</v>
      </c>
      <c r="O4262" s="2"/>
    </row>
    <row r="4263" spans="2:15" x14ac:dyDescent="0.2">
      <c r="B4263" s="1">
        <f>B4262+1</f>
        <v>4248</v>
      </c>
      <c r="C4263" s="5">
        <f ca="1"/>
        <v>-0.26089663067674845</v>
      </c>
      <c r="D4263" s="5">
        <f ca="1">S0*EXP((μ-0.5*σ*σ)*T+σ*SQRT(T)*$C4263)</f>
        <v>0.64763178924520093</v>
      </c>
      <c r="E4263" s="5">
        <f ca="1">MAX(0,CP*(D4263-K))</f>
        <v>0</v>
      </c>
      <c r="F4263" s="4">
        <f ca="1">(CP*(D4263-K)&gt;0)*1</f>
        <v>0</v>
      </c>
      <c r="H4263" s="4">
        <v>4248</v>
      </c>
      <c r="I4263" s="3">
        <v>0.66777388752718436</v>
      </c>
      <c r="J4263" s="128">
        <v>1.4437642842589358E-3</v>
      </c>
      <c r="K4263" s="128"/>
      <c r="L4263" s="128">
        <v>3.9399999999999998E-2</v>
      </c>
      <c r="O4263" s="2"/>
    </row>
    <row r="4264" spans="2:15" x14ac:dyDescent="0.2">
      <c r="B4264" s="1">
        <f>B4263+1</f>
        <v>4249</v>
      </c>
      <c r="C4264" s="5">
        <f ca="1"/>
        <v>0.84096596877045959</v>
      </c>
      <c r="D4264" s="5">
        <f ca="1">S0*EXP((μ-0.5*σ*σ)*T+σ*SQRT(T)*$C4264)</f>
        <v>0.72194730687422926</v>
      </c>
      <c r="E4264" s="5">
        <f ca="1">MAX(0,CP*(D4264-K))</f>
        <v>0</v>
      </c>
      <c r="F4264" s="4">
        <f ca="1">(CP*(D4264-K)&gt;0)*1</f>
        <v>0</v>
      </c>
      <c r="H4264" s="4">
        <v>4249</v>
      </c>
      <c r="I4264" s="3">
        <v>0.6676229721847412</v>
      </c>
      <c r="J4264" s="128">
        <v>1.2071051188349714E-3</v>
      </c>
      <c r="K4264" s="128"/>
      <c r="L4264" s="128">
        <v>4.1000000000000002E-2</v>
      </c>
      <c r="O4264" s="2"/>
    </row>
    <row r="4265" spans="2:15" x14ac:dyDescent="0.2">
      <c r="B4265" s="1">
        <f>B4264+1</f>
        <v>4250</v>
      </c>
      <c r="C4265" s="5">
        <f ca="1"/>
        <v>-0.40500269283658274</v>
      </c>
      <c r="D4265" s="5">
        <f ca="1">S0*EXP((μ-0.5*σ*σ)*T+σ*SQRT(T)*$C4265)</f>
        <v>0.63849590139317458</v>
      </c>
      <c r="E4265" s="5">
        <f ca="1">MAX(0,CP*(D4265-K))</f>
        <v>0</v>
      </c>
      <c r="F4265" s="4">
        <f ca="1">(CP*(D4265-K)&gt;0)*1</f>
        <v>0</v>
      </c>
      <c r="H4265" s="4">
        <v>4250</v>
      </c>
      <c r="I4265" s="3">
        <v>0.66773575952010311</v>
      </c>
      <c r="J4265" s="128">
        <v>1.2202884435948737E-3</v>
      </c>
      <c r="K4265" s="128"/>
      <c r="L4265" s="128">
        <v>4.1000000000000002E-2</v>
      </c>
      <c r="O4265" s="2"/>
    </row>
    <row r="4266" spans="2:15" x14ac:dyDescent="0.2">
      <c r="B4266" s="1">
        <f>B4265+1</f>
        <v>4251</v>
      </c>
      <c r="C4266" s="5">
        <f ca="1"/>
        <v>6.4829951052353813E-2</v>
      </c>
      <c r="D4266" s="5">
        <f ca="1">S0*EXP((μ-0.5*σ*σ)*T+σ*SQRT(T)*$C4266)</f>
        <v>0.66876643118033141</v>
      </c>
      <c r="E4266" s="5">
        <f ca="1">MAX(0,CP*(D4266-K))</f>
        <v>0</v>
      </c>
      <c r="F4266" s="4">
        <f ca="1">(CP*(D4266-K)&gt;0)*1</f>
        <v>0</v>
      </c>
      <c r="H4266" s="4">
        <v>4251</v>
      </c>
      <c r="I4266" s="3">
        <v>0.66772781809308845</v>
      </c>
      <c r="J4266" s="128">
        <v>1.2951225886879236E-3</v>
      </c>
      <c r="K4266" s="128"/>
      <c r="L4266" s="128">
        <v>4.4200000000000003E-2</v>
      </c>
      <c r="O4266" s="2"/>
    </row>
    <row r="4267" spans="2:15" x14ac:dyDescent="0.2">
      <c r="B4267" s="1">
        <f>B4266+1</f>
        <v>4252</v>
      </c>
      <c r="C4267" s="5">
        <f ca="1"/>
        <v>-0.43145730291921663</v>
      </c>
      <c r="D4267" s="5">
        <f ca="1">S0*EXP((μ-0.5*σ*σ)*T+σ*SQRT(T)*$C4267)</f>
        <v>0.63683281434245698</v>
      </c>
      <c r="E4267" s="5">
        <f ca="1">MAX(0,CP*(D4267-K))</f>
        <v>0</v>
      </c>
      <c r="F4267" s="4">
        <f ca="1">(CP*(D4267-K)&gt;0)*1</f>
        <v>0</v>
      </c>
      <c r="H4267" s="4">
        <v>4252</v>
      </c>
      <c r="I4267" s="3">
        <v>0.66782384291336616</v>
      </c>
      <c r="J4267" s="128">
        <v>1.3670613597981096E-3</v>
      </c>
      <c r="K4267" s="128"/>
      <c r="L4267" s="128">
        <v>4.3799999999999999E-2</v>
      </c>
      <c r="O4267" s="2"/>
    </row>
    <row r="4268" spans="2:15" x14ac:dyDescent="0.2">
      <c r="B4268" s="1">
        <f>B4267+1</f>
        <v>4253</v>
      </c>
      <c r="C4268" s="5">
        <f ca="1"/>
        <v>9.2059366982872759E-2</v>
      </c>
      <c r="D4268" s="5">
        <f ca="1">S0*EXP((μ-0.5*σ*σ)*T+σ*SQRT(T)*$C4268)</f>
        <v>0.6705641326338253</v>
      </c>
      <c r="E4268" s="5">
        <f ca="1">MAX(0,CP*(D4268-K))</f>
        <v>0</v>
      </c>
      <c r="F4268" s="4">
        <f ca="1">(CP*(D4268-K)&gt;0)*1</f>
        <v>0</v>
      </c>
      <c r="H4268" s="4">
        <v>4253</v>
      </c>
      <c r="I4268" s="3">
        <v>0.66771790022647337</v>
      </c>
      <c r="J4268" s="128">
        <v>1.3475678743188526E-3</v>
      </c>
      <c r="K4268" s="128"/>
      <c r="L4268" s="128">
        <v>4.02E-2</v>
      </c>
      <c r="O4268" s="2"/>
    </row>
    <row r="4269" spans="2:15" x14ac:dyDescent="0.2">
      <c r="B4269" s="1">
        <f>B4268+1</f>
        <v>4254</v>
      </c>
      <c r="C4269" s="5">
        <f ca="1"/>
        <v>0.69266334720762979</v>
      </c>
      <c r="D4269" s="5">
        <f ca="1">S0*EXP((μ-0.5*σ*σ)*T+σ*SQRT(T)*$C4269)</f>
        <v>0.71146866360807826</v>
      </c>
      <c r="E4269" s="5">
        <f ca="1">MAX(0,CP*(D4269-K))</f>
        <v>0</v>
      </c>
      <c r="F4269" s="4">
        <f ca="1">(CP*(D4269-K)&gt;0)*1</f>
        <v>0</v>
      </c>
      <c r="H4269" s="4">
        <v>4254</v>
      </c>
      <c r="I4269" s="3">
        <v>0.66763373843794183</v>
      </c>
      <c r="J4269" s="128">
        <v>1.2073343626627126E-3</v>
      </c>
      <c r="K4269" s="128"/>
      <c r="L4269" s="128">
        <v>3.9600000000000003E-2</v>
      </c>
      <c r="O4269" s="2"/>
    </row>
    <row r="4270" spans="2:15" x14ac:dyDescent="0.2">
      <c r="B4270" s="1">
        <f>B4269+1</f>
        <v>4255</v>
      </c>
      <c r="C4270" s="5">
        <f ca="1"/>
        <v>-0.25137377243816122</v>
      </c>
      <c r="D4270" s="5">
        <f ca="1">S0*EXP((μ-0.5*σ*σ)*T+σ*SQRT(T)*$C4270)</f>
        <v>0.64824009381522307</v>
      </c>
      <c r="E4270" s="5">
        <f ca="1">MAX(0,CP*(D4270-K))</f>
        <v>0</v>
      </c>
      <c r="F4270" s="4">
        <f ca="1">(CP*(D4270-K)&gt;0)*1</f>
        <v>0</v>
      </c>
      <c r="H4270" s="4">
        <v>4255</v>
      </c>
      <c r="I4270" s="3">
        <v>0.667633400905571</v>
      </c>
      <c r="J4270" s="128">
        <v>1.1539586109395633E-3</v>
      </c>
      <c r="K4270" s="128"/>
      <c r="L4270" s="128">
        <v>3.9E-2</v>
      </c>
      <c r="O4270" s="2"/>
    </row>
    <row r="4271" spans="2:15" x14ac:dyDescent="0.2">
      <c r="B4271" s="1">
        <f>B4270+1</f>
        <v>4256</v>
      </c>
      <c r="C4271" s="5">
        <f ca="1"/>
        <v>-0.3065874366459847</v>
      </c>
      <c r="D4271" s="5">
        <f ca="1">S0*EXP((μ-0.5*σ*σ)*T+σ*SQRT(T)*$C4271)</f>
        <v>0.6447210659871806</v>
      </c>
      <c r="E4271" s="5">
        <f ca="1">MAX(0,CP*(D4271-K))</f>
        <v>0</v>
      </c>
      <c r="F4271" s="4">
        <f ca="1">(CP*(D4271-K)&gt;0)*1</f>
        <v>0</v>
      </c>
      <c r="H4271" s="4">
        <v>4256</v>
      </c>
      <c r="I4271" s="3">
        <v>0.6676486320822228</v>
      </c>
      <c r="J4271" s="128">
        <v>1.225879064407052E-3</v>
      </c>
      <c r="K4271" s="128"/>
      <c r="L4271" s="128">
        <v>3.8600000000000002E-2</v>
      </c>
      <c r="O4271" s="2"/>
    </row>
    <row r="4272" spans="2:15" x14ac:dyDescent="0.2">
      <c r="B4272" s="1">
        <f>B4271+1</f>
        <v>4257</v>
      </c>
      <c r="C4272" s="5">
        <f ca="1"/>
        <v>-0.93306139187226467</v>
      </c>
      <c r="D4272" s="5">
        <f ca="1">S0*EXP((μ-0.5*σ*σ)*T+σ*SQRT(T)*$C4272)</f>
        <v>0.60610624065780838</v>
      </c>
      <c r="E4272" s="5">
        <f ca="1">MAX(0,CP*(D4272-K))</f>
        <v>0</v>
      </c>
      <c r="F4272" s="4">
        <f ca="1">(CP*(D4272-K)&gt;0)*1</f>
        <v>0</v>
      </c>
      <c r="H4272" s="4">
        <v>4257</v>
      </c>
      <c r="I4272" s="3">
        <v>0.66775223387240068</v>
      </c>
      <c r="J4272" s="128">
        <v>1.3333563782190051E-3</v>
      </c>
      <c r="K4272" s="128"/>
      <c r="L4272" s="128">
        <v>4.1200000000000001E-2</v>
      </c>
      <c r="O4272" s="2"/>
    </row>
    <row r="4273" spans="2:15" x14ac:dyDescent="0.2">
      <c r="B4273" s="1">
        <f>B4272+1</f>
        <v>4258</v>
      </c>
      <c r="C4273" s="5">
        <f ca="1"/>
        <v>0.24737771579473106</v>
      </c>
      <c r="D4273" s="5">
        <f ca="1">S0*EXP((μ-0.5*σ*σ)*T+σ*SQRT(T)*$C4273)</f>
        <v>0.68091112439125434</v>
      </c>
      <c r="E4273" s="5">
        <f ca="1">MAX(0,CP*(D4273-K))</f>
        <v>0</v>
      </c>
      <c r="F4273" s="4">
        <f ca="1">(CP*(D4273-K)&gt;0)*1</f>
        <v>0</v>
      </c>
      <c r="H4273" s="4">
        <v>4258</v>
      </c>
      <c r="I4273" s="3">
        <v>0.66764451886559195</v>
      </c>
      <c r="J4273" s="128">
        <v>1.3291138734369302E-3</v>
      </c>
      <c r="K4273" s="128"/>
      <c r="L4273" s="128">
        <v>3.8399999999999997E-2</v>
      </c>
      <c r="O4273" s="2"/>
    </row>
    <row r="4274" spans="2:15" x14ac:dyDescent="0.2">
      <c r="B4274" s="1">
        <f>B4273+1</f>
        <v>4259</v>
      </c>
      <c r="C4274" s="5">
        <f ca="1"/>
        <v>-0.57578466644861093</v>
      </c>
      <c r="D4274" s="5">
        <f ca="1">S0*EXP((μ-0.5*σ*σ)*T+σ*SQRT(T)*$C4274)</f>
        <v>0.6278355654191069</v>
      </c>
      <c r="E4274" s="5">
        <f ca="1">MAX(0,CP*(D4274-K))</f>
        <v>0</v>
      </c>
      <c r="F4274" s="4">
        <f ca="1">(CP*(D4274-K)&gt;0)*1</f>
        <v>0</v>
      </c>
      <c r="H4274" s="4">
        <v>4259</v>
      </c>
      <c r="I4274" s="3">
        <v>0.66771701338626255</v>
      </c>
      <c r="J4274" s="128">
        <v>1.2591709169952339E-3</v>
      </c>
      <c r="K4274" s="128"/>
      <c r="L4274" s="128">
        <v>4.2599999999999999E-2</v>
      </c>
      <c r="O4274" s="2"/>
    </row>
    <row r="4275" spans="2:15" x14ac:dyDescent="0.2">
      <c r="B4275" s="1">
        <f>B4274+1</f>
        <v>4260</v>
      </c>
      <c r="C4275" s="5">
        <f ca="1"/>
        <v>0.36709159734481855</v>
      </c>
      <c r="D4275" s="5">
        <f ca="1">S0*EXP((μ-0.5*σ*σ)*T+σ*SQRT(T)*$C4275)</f>
        <v>0.6889950445867199</v>
      </c>
      <c r="E4275" s="5">
        <f ca="1">MAX(0,CP*(D4275-K))</f>
        <v>0</v>
      </c>
      <c r="F4275" s="4">
        <f ca="1">(CP*(D4275-K)&gt;0)*1</f>
        <v>0</v>
      </c>
      <c r="H4275" s="4">
        <v>4260</v>
      </c>
      <c r="I4275" s="3">
        <v>0.66771530266266077</v>
      </c>
      <c r="J4275" s="128">
        <v>1.3776249374256799E-3</v>
      </c>
      <c r="K4275" s="128"/>
      <c r="L4275" s="128">
        <v>4.2000000000000003E-2</v>
      </c>
      <c r="O4275" s="2"/>
    </row>
    <row r="4276" spans="2:15" x14ac:dyDescent="0.2">
      <c r="B4276" s="1">
        <f>B4275+1</f>
        <v>4261</v>
      </c>
      <c r="C4276" s="5">
        <f ca="1"/>
        <v>-1.1160215996460767</v>
      </c>
      <c r="D4276" s="5">
        <f ca="1">S0*EXP((μ-0.5*σ*σ)*T+σ*SQRT(T)*$C4276)</f>
        <v>0.59527155796753339</v>
      </c>
      <c r="E4276" s="5">
        <f ca="1">MAX(0,CP*(D4276-K))</f>
        <v>0</v>
      </c>
      <c r="F4276" s="4">
        <f ca="1">(CP*(D4276-K)&gt;0)*1</f>
        <v>0</v>
      </c>
      <c r="H4276" s="4">
        <v>4261</v>
      </c>
      <c r="I4276" s="3">
        <v>0.66769501661015496</v>
      </c>
      <c r="J4276" s="128">
        <v>1.3084825211030469E-3</v>
      </c>
      <c r="K4276" s="128"/>
      <c r="L4276" s="128">
        <v>4.0800000000000003E-2</v>
      </c>
      <c r="O4276" s="2"/>
    </row>
    <row r="4277" spans="2:15" x14ac:dyDescent="0.2">
      <c r="B4277" s="1">
        <f>B4276+1</f>
        <v>4262</v>
      </c>
      <c r="C4277" s="5">
        <f ca="1"/>
        <v>0.59426117609452167</v>
      </c>
      <c r="D4277" s="5">
        <f ca="1">S0*EXP((μ-0.5*σ*σ)*T+σ*SQRT(T)*$C4277)</f>
        <v>0.70459992028883822</v>
      </c>
      <c r="E4277" s="5">
        <f ca="1">MAX(0,CP*(D4277-K))</f>
        <v>0</v>
      </c>
      <c r="F4277" s="4">
        <f ca="1">(CP*(D4277-K)&gt;0)*1</f>
        <v>0</v>
      </c>
      <c r="H4277" s="4">
        <v>4262</v>
      </c>
      <c r="I4277" s="3">
        <v>0.66777381798233559</v>
      </c>
      <c r="J4277" s="128">
        <v>1.414808672831779E-3</v>
      </c>
      <c r="K4277" s="128"/>
      <c r="L4277" s="128">
        <v>4.02E-2</v>
      </c>
      <c r="O4277" s="2"/>
    </row>
    <row r="4278" spans="2:15" x14ac:dyDescent="0.2">
      <c r="B4278" s="1">
        <f>B4277+1</f>
        <v>4263</v>
      </c>
      <c r="C4278" s="5">
        <f ca="1"/>
        <v>0.95137957503216408</v>
      </c>
      <c r="D4278" s="5">
        <f ca="1">S0*EXP((μ-0.5*σ*σ)*T+σ*SQRT(T)*$C4278)</f>
        <v>0.72984891876509284</v>
      </c>
      <c r="E4278" s="5">
        <f ca="1">MAX(0,CP*(D4278-K))</f>
        <v>0</v>
      </c>
      <c r="F4278" s="4">
        <f ca="1">(CP*(D4278-K)&gt;0)*1</f>
        <v>0</v>
      </c>
      <c r="H4278" s="4">
        <v>4263</v>
      </c>
      <c r="I4278" s="3">
        <v>0.66773379392887966</v>
      </c>
      <c r="J4278" s="128">
        <v>1.5308412008519351E-3</v>
      </c>
      <c r="K4278" s="128"/>
      <c r="L4278" s="128">
        <v>4.0599999999999997E-2</v>
      </c>
      <c r="O4278" s="2"/>
    </row>
    <row r="4279" spans="2:15" x14ac:dyDescent="0.2">
      <c r="B4279" s="1">
        <f>B4278+1</f>
        <v>4264</v>
      </c>
      <c r="C4279" s="5">
        <f ca="1"/>
        <v>1.4902575975374458E-2</v>
      </c>
      <c r="D4279" s="5">
        <f ca="1">S0*EXP((μ-0.5*σ*σ)*T+σ*SQRT(T)*$C4279)</f>
        <v>0.66548270819392052</v>
      </c>
      <c r="E4279" s="5">
        <f ca="1">MAX(0,CP*(D4279-K))</f>
        <v>0</v>
      </c>
      <c r="F4279" s="4">
        <f ca="1">(CP*(D4279-K)&gt;0)*1</f>
        <v>0</v>
      </c>
      <c r="H4279" s="4">
        <v>4264</v>
      </c>
      <c r="I4279" s="3">
        <v>0.66783927697215995</v>
      </c>
      <c r="J4279" s="128">
        <v>1.4837216138080069E-3</v>
      </c>
      <c r="K4279" s="128"/>
      <c r="L4279" s="128">
        <v>4.3200000000000002E-2</v>
      </c>
      <c r="O4279" s="2"/>
    </row>
    <row r="4280" spans="2:15" x14ac:dyDescent="0.2">
      <c r="B4280" s="1">
        <f>B4279+1</f>
        <v>4265</v>
      </c>
      <c r="C4280" s="5">
        <f ca="1"/>
        <v>0.21407663923345702</v>
      </c>
      <c r="D4280" s="5">
        <f ca="1">S0*EXP((μ-0.5*σ*σ)*T+σ*SQRT(T)*$C4280)</f>
        <v>0.67867931187190689</v>
      </c>
      <c r="E4280" s="5">
        <f ca="1">MAX(0,CP*(D4280-K))</f>
        <v>0</v>
      </c>
      <c r="F4280" s="4">
        <f ca="1">(CP*(D4280-K)&gt;0)*1</f>
        <v>0</v>
      </c>
      <c r="H4280" s="4">
        <v>4265</v>
      </c>
      <c r="I4280" s="3">
        <v>0.66786623270551804</v>
      </c>
      <c r="J4280" s="128">
        <v>1.465428631596308E-3</v>
      </c>
      <c r="K4280" s="128"/>
      <c r="L4280" s="128">
        <v>4.36E-2</v>
      </c>
      <c r="O4280" s="2"/>
    </row>
    <row r="4281" spans="2:15" x14ac:dyDescent="0.2">
      <c r="B4281" s="1">
        <f>B4280+1</f>
        <v>4266</v>
      </c>
      <c r="C4281" s="5">
        <f ca="1"/>
        <v>0.74680917848956796</v>
      </c>
      <c r="D4281" s="5">
        <f ca="1">S0*EXP((μ-0.5*σ*σ)*T+σ*SQRT(T)*$C4281)</f>
        <v>0.71527670966296741</v>
      </c>
      <c r="E4281" s="5">
        <f ca="1">MAX(0,CP*(D4281-K))</f>
        <v>0</v>
      </c>
      <c r="F4281" s="4">
        <f ca="1">(CP*(D4281-K)&gt;0)*1</f>
        <v>0</v>
      </c>
      <c r="H4281" s="4">
        <v>4266</v>
      </c>
      <c r="I4281" s="3">
        <v>0.66765253093969046</v>
      </c>
      <c r="J4281" s="128">
        <v>1.3367143363579163E-3</v>
      </c>
      <c r="K4281" s="128"/>
      <c r="L4281" s="128">
        <v>4.0800000000000003E-2</v>
      </c>
      <c r="O4281" s="2"/>
    </row>
    <row r="4282" spans="2:15" x14ac:dyDescent="0.2">
      <c r="B4282" s="1">
        <f>B4281+1</f>
        <v>4267</v>
      </c>
      <c r="C4282" s="5">
        <f ca="1"/>
        <v>-1.0218775619860427</v>
      </c>
      <c r="D4282" s="5">
        <f ca="1">S0*EXP((μ-0.5*σ*σ)*T+σ*SQRT(T)*$C4282)</f>
        <v>0.60082224406247109</v>
      </c>
      <c r="E4282" s="5">
        <f ca="1">MAX(0,CP*(D4282-K))</f>
        <v>0</v>
      </c>
      <c r="F4282" s="4">
        <f ca="1">(CP*(D4282-K)&gt;0)*1</f>
        <v>0</v>
      </c>
      <c r="H4282" s="4">
        <v>4267</v>
      </c>
      <c r="I4282" s="3">
        <v>0.66774701547926374</v>
      </c>
      <c r="J4282" s="128">
        <v>1.288935481415236E-3</v>
      </c>
      <c r="K4282" s="128"/>
      <c r="L4282" s="128">
        <v>4.2799999999999998E-2</v>
      </c>
      <c r="O4282" s="2"/>
    </row>
    <row r="4283" spans="2:15" x14ac:dyDescent="0.2">
      <c r="B4283" s="1">
        <f>B4282+1</f>
        <v>4268</v>
      </c>
      <c r="C4283" s="5">
        <f ca="1"/>
        <v>-0.43342042774274575</v>
      </c>
      <c r="D4283" s="5">
        <f ca="1">S0*EXP((μ-0.5*σ*σ)*T+σ*SQRT(T)*$C4283)</f>
        <v>0.63670957395849048</v>
      </c>
      <c r="E4283" s="5">
        <f ca="1">MAX(0,CP*(D4283-K))</f>
        <v>0</v>
      </c>
      <c r="F4283" s="4">
        <f ca="1">(CP*(D4283-K)&gt;0)*1</f>
        <v>0</v>
      </c>
      <c r="H4283" s="4">
        <v>4268</v>
      </c>
      <c r="I4283" s="3">
        <v>0.6677368211632313</v>
      </c>
      <c r="J4283" s="128">
        <v>1.3961538292076281E-3</v>
      </c>
      <c r="K4283" s="128"/>
      <c r="L4283" s="128">
        <v>4.3400000000000001E-2</v>
      </c>
      <c r="O4283" s="2"/>
    </row>
    <row r="4284" spans="2:15" x14ac:dyDescent="0.2">
      <c r="B4284" s="1">
        <f>B4283+1</f>
        <v>4269</v>
      </c>
      <c r="C4284" s="5">
        <f ca="1"/>
        <v>0.92731006342620614</v>
      </c>
      <c r="D4284" s="5">
        <f ca="1">S0*EXP((μ-0.5*σ*σ)*T+σ*SQRT(T)*$C4284)</f>
        <v>0.72811907536281695</v>
      </c>
      <c r="E4284" s="5">
        <f ca="1">MAX(0,CP*(D4284-K))</f>
        <v>0</v>
      </c>
      <c r="F4284" s="4">
        <f ca="1">(CP*(D4284-K)&gt;0)*1</f>
        <v>0</v>
      </c>
      <c r="H4284" s="4">
        <v>4269</v>
      </c>
      <c r="I4284" s="3">
        <v>0.66767533431212622</v>
      </c>
      <c r="J4284" s="128">
        <v>1.34743115539504E-3</v>
      </c>
      <c r="K4284" s="128"/>
      <c r="L4284" s="128">
        <v>4.1599999999999998E-2</v>
      </c>
      <c r="O4284" s="2"/>
    </row>
    <row r="4285" spans="2:15" x14ac:dyDescent="0.2">
      <c r="B4285" s="1">
        <f>B4284+1</f>
        <v>4270</v>
      </c>
      <c r="C4285" s="5">
        <f ca="1"/>
        <v>-0.14223475202717867</v>
      </c>
      <c r="D4285" s="5">
        <f ca="1">S0*EXP((μ-0.5*σ*σ)*T+σ*SQRT(T)*$C4285)</f>
        <v>0.65525264757210755</v>
      </c>
      <c r="E4285" s="5">
        <f ca="1">MAX(0,CP*(D4285-K))</f>
        <v>0</v>
      </c>
      <c r="F4285" s="4">
        <f ca="1">(CP*(D4285-K)&gt;0)*1</f>
        <v>0</v>
      </c>
      <c r="H4285" s="4">
        <v>4270</v>
      </c>
      <c r="I4285" s="3">
        <v>0.66776947999806258</v>
      </c>
      <c r="J4285" s="128">
        <v>1.4490362640660216E-3</v>
      </c>
      <c r="K4285" s="128"/>
      <c r="L4285" s="128">
        <v>4.4400000000000002E-2</v>
      </c>
      <c r="O4285" s="2"/>
    </row>
    <row r="4286" spans="2:15" x14ac:dyDescent="0.2">
      <c r="B4286" s="1">
        <f>B4285+1</f>
        <v>4271</v>
      </c>
      <c r="C4286" s="5">
        <f ca="1"/>
        <v>-5.8186803364092911E-2</v>
      </c>
      <c r="D4286" s="5">
        <f ca="1">S0*EXP((μ-0.5*σ*σ)*T+σ*SQRT(T)*$C4286)</f>
        <v>0.66070467665459076</v>
      </c>
      <c r="E4286" s="5">
        <f ca="1">MAX(0,CP*(D4286-K))</f>
        <v>0</v>
      </c>
      <c r="F4286" s="4">
        <f ca="1">(CP*(D4286-K)&gt;0)*1</f>
        <v>0</v>
      </c>
      <c r="H4286" s="4">
        <v>4271</v>
      </c>
      <c r="I4286" s="3">
        <v>0.66782073213960047</v>
      </c>
      <c r="J4286" s="128">
        <v>1.4718006363677871E-3</v>
      </c>
      <c r="K4286" s="128"/>
      <c r="L4286" s="128">
        <v>4.2000000000000003E-2</v>
      </c>
      <c r="O4286" s="2"/>
    </row>
    <row r="4287" spans="2:15" x14ac:dyDescent="0.2">
      <c r="B4287" s="1">
        <f>B4286+1</f>
        <v>4272</v>
      </c>
      <c r="C4287" s="5">
        <f ca="1"/>
        <v>-2.1455855549450451</v>
      </c>
      <c r="D4287" s="5">
        <f ca="1">S0*EXP((μ-0.5*σ*σ)*T+σ*SQRT(T)*$C4287)</f>
        <v>0.53781551696178842</v>
      </c>
      <c r="E4287" s="5">
        <f ca="1">MAX(0,CP*(D4287-K))</f>
        <v>0</v>
      </c>
      <c r="F4287" s="4">
        <f ca="1">(CP*(D4287-K)&gt;0)*1</f>
        <v>0</v>
      </c>
      <c r="H4287" s="4">
        <v>4272</v>
      </c>
      <c r="I4287" s="3">
        <v>0.66778027991990108</v>
      </c>
      <c r="J4287" s="128">
        <v>1.4423765754968323E-3</v>
      </c>
      <c r="K4287" s="128"/>
      <c r="L4287" s="128">
        <v>4.1000000000000002E-2</v>
      </c>
      <c r="O4287" s="2"/>
    </row>
    <row r="4288" spans="2:15" x14ac:dyDescent="0.2">
      <c r="B4288" s="1">
        <f>B4287+1</f>
        <v>4273</v>
      </c>
      <c r="C4288" s="5">
        <f ca="1"/>
        <v>-0.58733037353604989</v>
      </c>
      <c r="D4288" s="5">
        <f ca="1">S0*EXP((μ-0.5*σ*σ)*T+σ*SQRT(T)*$C4288)</f>
        <v>0.6271213305928296</v>
      </c>
      <c r="E4288" s="5">
        <f ca="1">MAX(0,CP*(D4288-K))</f>
        <v>0</v>
      </c>
      <c r="F4288" s="4">
        <f ca="1">(CP*(D4288-K)&gt;0)*1</f>
        <v>0</v>
      </c>
      <c r="H4288" s="4">
        <v>4273</v>
      </c>
      <c r="I4288" s="3">
        <v>0.66778901107166144</v>
      </c>
      <c r="J4288" s="128">
        <v>1.4579407393906247E-3</v>
      </c>
      <c r="K4288" s="128"/>
      <c r="L4288" s="128">
        <v>4.48E-2</v>
      </c>
      <c r="O4288" s="2"/>
    </row>
    <row r="4289" spans="2:15" x14ac:dyDescent="0.2">
      <c r="B4289" s="1">
        <f>B4288+1</f>
        <v>4274</v>
      </c>
      <c r="C4289" s="5">
        <f ca="1"/>
        <v>-3.4029216732319219</v>
      </c>
      <c r="D4289" s="5">
        <f ca="1">S0*EXP((μ-0.5*σ*σ)*T+σ*SQRT(T)*$C4289)</f>
        <v>0.4751155366747622</v>
      </c>
      <c r="E4289" s="5">
        <f ca="1">MAX(0,CP*(D4289-K))</f>
        <v>0</v>
      </c>
      <c r="F4289" s="4">
        <f ca="1">(CP*(D4289-K)&gt;0)*1</f>
        <v>0</v>
      </c>
      <c r="H4289" s="4">
        <v>4274</v>
      </c>
      <c r="I4289" s="3">
        <v>0.66758929936396882</v>
      </c>
      <c r="J4289" s="128">
        <v>1.1800661456803131E-3</v>
      </c>
      <c r="K4289" s="128"/>
      <c r="L4289" s="128">
        <v>3.9E-2</v>
      </c>
      <c r="O4289" s="2"/>
    </row>
    <row r="4290" spans="2:15" x14ac:dyDescent="0.2">
      <c r="B4290" s="1">
        <f>B4289+1</f>
        <v>4275</v>
      </c>
      <c r="C4290" s="5">
        <f ca="1"/>
        <v>0.44815512712096861</v>
      </c>
      <c r="D4290" s="5">
        <f ca="1">S0*EXP((μ-0.5*σ*σ)*T+σ*SQRT(T)*$C4290)</f>
        <v>0.69452345011937977</v>
      </c>
      <c r="E4290" s="5">
        <f ca="1">MAX(0,CP*(D4290-K))</f>
        <v>0</v>
      </c>
      <c r="F4290" s="4">
        <f ca="1">(CP*(D4290-K)&gt;0)*1</f>
        <v>0</v>
      </c>
      <c r="H4290" s="4">
        <v>4275</v>
      </c>
      <c r="I4290" s="3">
        <v>0.6677166908024802</v>
      </c>
      <c r="J4290" s="128">
        <v>1.3346986200310268E-3</v>
      </c>
      <c r="K4290" s="128"/>
      <c r="L4290" s="128">
        <v>3.9600000000000003E-2</v>
      </c>
      <c r="O4290" s="2"/>
    </row>
    <row r="4291" spans="2:15" x14ac:dyDescent="0.2">
      <c r="B4291" s="1">
        <f>B4290+1</f>
        <v>4276</v>
      </c>
      <c r="C4291" s="5">
        <f ca="1"/>
        <v>0.40578691950032125</v>
      </c>
      <c r="D4291" s="5">
        <f ca="1">S0*EXP((μ-0.5*σ*σ)*T+σ*SQRT(T)*$C4291)</f>
        <v>0.69162849374551982</v>
      </c>
      <c r="E4291" s="5">
        <f ca="1">MAX(0,CP*(D4291-K))</f>
        <v>0</v>
      </c>
      <c r="F4291" s="4">
        <f ca="1">(CP*(D4291-K)&gt;0)*1</f>
        <v>0</v>
      </c>
      <c r="H4291" s="4">
        <v>4276</v>
      </c>
      <c r="I4291" s="3">
        <v>0.66778625434841166</v>
      </c>
      <c r="J4291" s="128">
        <v>1.3686677534989671E-3</v>
      </c>
      <c r="K4291" s="128"/>
      <c r="L4291" s="128">
        <v>4.02E-2</v>
      </c>
      <c r="O4291" s="2"/>
    </row>
    <row r="4292" spans="2:15" x14ac:dyDescent="0.2">
      <c r="B4292" s="1">
        <f>B4291+1</f>
        <v>4277</v>
      </c>
      <c r="C4292" s="5">
        <f ca="1"/>
        <v>-0.5949219079515532</v>
      </c>
      <c r="D4292" s="5">
        <f ca="1">S0*EXP((μ-0.5*σ*σ)*T+σ*SQRT(T)*$C4292)</f>
        <v>0.62665214966556393</v>
      </c>
      <c r="E4292" s="5">
        <f ca="1">MAX(0,CP*(D4292-K))</f>
        <v>0</v>
      </c>
      <c r="F4292" s="4">
        <f ca="1">(CP*(D4292-K)&gt;0)*1</f>
        <v>0</v>
      </c>
      <c r="H4292" s="4">
        <v>4277</v>
      </c>
      <c r="I4292" s="3">
        <v>0.66787541512159254</v>
      </c>
      <c r="J4292" s="128">
        <v>1.4863397285470434E-3</v>
      </c>
      <c r="K4292" s="128"/>
      <c r="L4292" s="128">
        <v>4.4999999999999998E-2</v>
      </c>
      <c r="O4292" s="2"/>
    </row>
    <row r="4293" spans="2:15" x14ac:dyDescent="0.2">
      <c r="B4293" s="1">
        <f>B4292+1</f>
        <v>4278</v>
      </c>
      <c r="C4293" s="5">
        <f ca="1"/>
        <v>2.2972552630011629</v>
      </c>
      <c r="D4293" s="5">
        <f ca="1">S0*EXP((μ-0.5*σ*σ)*T+σ*SQRT(T)*$C4293)</f>
        <v>0.83340859390210298</v>
      </c>
      <c r="E4293" s="5">
        <f ca="1">MAX(0,CP*(D4293-K))</f>
        <v>4.5208593902102967E-2</v>
      </c>
      <c r="F4293" s="4">
        <f ca="1">(CP*(D4293-K)&gt;0)*1</f>
        <v>1</v>
      </c>
      <c r="H4293" s="4">
        <v>4278</v>
      </c>
      <c r="I4293" s="3">
        <v>0.66768244084789297</v>
      </c>
      <c r="J4293" s="128">
        <v>1.3493454754980524E-3</v>
      </c>
      <c r="K4293" s="128"/>
      <c r="L4293" s="128">
        <v>3.8800000000000001E-2</v>
      </c>
      <c r="O4293" s="2"/>
    </row>
    <row r="4294" spans="2:15" x14ac:dyDescent="0.2">
      <c r="B4294" s="1">
        <f>B4293+1</f>
        <v>4279</v>
      </c>
      <c r="C4294" s="5">
        <f ca="1"/>
        <v>1.0387837247164438</v>
      </c>
      <c r="D4294" s="5">
        <f ca="1">S0*EXP((μ-0.5*σ*σ)*T+σ*SQRT(T)*$C4294)</f>
        <v>0.73616516762769579</v>
      </c>
      <c r="E4294" s="5">
        <f ca="1">MAX(0,CP*(D4294-K))</f>
        <v>0</v>
      </c>
      <c r="F4294" s="4">
        <f ca="1">(CP*(D4294-K)&gt;0)*1</f>
        <v>0</v>
      </c>
      <c r="H4294" s="4">
        <v>4279</v>
      </c>
      <c r="I4294" s="3">
        <v>0.66775586764464101</v>
      </c>
      <c r="J4294" s="128">
        <v>1.3983316681190319E-3</v>
      </c>
      <c r="K4294" s="128"/>
      <c r="L4294" s="128">
        <v>4.3799999999999999E-2</v>
      </c>
      <c r="O4294" s="2"/>
    </row>
    <row r="4295" spans="2:15" x14ac:dyDescent="0.2">
      <c r="B4295" s="1">
        <f>B4294+1</f>
        <v>4280</v>
      </c>
      <c r="C4295" s="5">
        <f ca="1"/>
        <v>0.63515628101080357</v>
      </c>
      <c r="D4295" s="5">
        <f ca="1">S0*EXP((μ-0.5*σ*σ)*T+σ*SQRT(T)*$C4295)</f>
        <v>0.707446421765203</v>
      </c>
      <c r="E4295" s="5">
        <f ca="1">MAX(0,CP*(D4295-K))</f>
        <v>0</v>
      </c>
      <c r="F4295" s="4">
        <f ca="1">(CP*(D4295-K)&gt;0)*1</f>
        <v>0</v>
      </c>
      <c r="H4295" s="4">
        <v>4280</v>
      </c>
      <c r="I4295" s="3">
        <v>0.66772806619293135</v>
      </c>
      <c r="J4295" s="128">
        <v>1.3719718394404254E-3</v>
      </c>
      <c r="K4295" s="128"/>
      <c r="L4295" s="128">
        <v>4.0399999999999998E-2</v>
      </c>
      <c r="O4295" s="2"/>
    </row>
    <row r="4296" spans="2:15" x14ac:dyDescent="0.2">
      <c r="B4296" s="1">
        <f>B4295+1</f>
        <v>4281</v>
      </c>
      <c r="C4296" s="5">
        <f ca="1"/>
        <v>1.0042316591561873</v>
      </c>
      <c r="D4296" s="5">
        <f ca="1">S0*EXP((μ-0.5*σ*σ)*T+σ*SQRT(T)*$C4296)</f>
        <v>0.73366176029710684</v>
      </c>
      <c r="E4296" s="5">
        <f ca="1">MAX(0,CP*(D4296-K))</f>
        <v>0</v>
      </c>
      <c r="F4296" s="4">
        <f ca="1">(CP*(D4296-K)&gt;0)*1</f>
        <v>0</v>
      </c>
      <c r="H4296" s="4">
        <v>4281</v>
      </c>
      <c r="I4296" s="3">
        <v>0.66773739198591175</v>
      </c>
      <c r="J4296" s="128">
        <v>1.347228799882138E-3</v>
      </c>
      <c r="K4296" s="128"/>
      <c r="L4296" s="128">
        <v>4.1399999999999999E-2</v>
      </c>
      <c r="O4296" s="2"/>
    </row>
    <row r="4297" spans="2:15" x14ac:dyDescent="0.2">
      <c r="B4297" s="1">
        <f>B4296+1</f>
        <v>4282</v>
      </c>
      <c r="C4297" s="5">
        <f ca="1"/>
        <v>1.3786335868669146</v>
      </c>
      <c r="D4297" s="5">
        <f ca="1">S0*EXP((μ-0.5*σ*σ)*T+σ*SQRT(T)*$C4297)</f>
        <v>0.76124819208483507</v>
      </c>
      <c r="E4297" s="5">
        <f ca="1">MAX(0,CP*(D4297-K))</f>
        <v>0</v>
      </c>
      <c r="F4297" s="4">
        <f ca="1">(CP*(D4297-K)&gt;0)*1</f>
        <v>0</v>
      </c>
      <c r="H4297" s="4">
        <v>4282</v>
      </c>
      <c r="I4297" s="3">
        <v>0.66768816897736383</v>
      </c>
      <c r="J4297" s="128">
        <v>1.3095601320822208E-3</v>
      </c>
      <c r="K4297" s="128"/>
      <c r="L4297" s="128">
        <v>3.8399999999999997E-2</v>
      </c>
      <c r="O4297" s="2"/>
    </row>
    <row r="4298" spans="2:15" x14ac:dyDescent="0.2">
      <c r="B4298" s="1">
        <f>B4297+1</f>
        <v>4283</v>
      </c>
      <c r="C4298" s="5">
        <f ca="1"/>
        <v>0.90070866612185285</v>
      </c>
      <c r="D4298" s="5">
        <f ca="1">S0*EXP((μ-0.5*σ*σ)*T+σ*SQRT(T)*$C4298)</f>
        <v>0.72621203791638056</v>
      </c>
      <c r="E4298" s="5">
        <f ca="1">MAX(0,CP*(D4298-K))</f>
        <v>0</v>
      </c>
      <c r="F4298" s="4">
        <f ca="1">(CP*(D4298-K)&gt;0)*1</f>
        <v>0</v>
      </c>
      <c r="H4298" s="4">
        <v>4283</v>
      </c>
      <c r="I4298" s="3">
        <v>0.66785175231988447</v>
      </c>
      <c r="J4298" s="128">
        <v>1.5355224821235539E-3</v>
      </c>
      <c r="K4298" s="128"/>
      <c r="L4298" s="128">
        <v>4.4200000000000003E-2</v>
      </c>
      <c r="O4298" s="2"/>
    </row>
    <row r="4299" spans="2:15" x14ac:dyDescent="0.2">
      <c r="B4299" s="1">
        <f>B4298+1</f>
        <v>4284</v>
      </c>
      <c r="C4299" s="5">
        <f ca="1"/>
        <v>-0.90149455387344724</v>
      </c>
      <c r="D4299" s="5">
        <f ca="1">S0*EXP((μ-0.5*σ*σ)*T+σ*SQRT(T)*$C4299)</f>
        <v>0.60799543882559293</v>
      </c>
      <c r="E4299" s="5">
        <f ca="1">MAX(0,CP*(D4299-K))</f>
        <v>0</v>
      </c>
      <c r="F4299" s="4">
        <f ca="1">(CP*(D4299-K)&gt;0)*1</f>
        <v>0</v>
      </c>
      <c r="H4299" s="4">
        <v>4284</v>
      </c>
      <c r="I4299" s="3">
        <v>0.66772940890712662</v>
      </c>
      <c r="J4299" s="128">
        <v>1.2137871254416287E-3</v>
      </c>
      <c r="K4299" s="128"/>
      <c r="L4299" s="128">
        <v>4.02E-2</v>
      </c>
      <c r="O4299" s="2"/>
    </row>
    <row r="4300" spans="2:15" x14ac:dyDescent="0.2">
      <c r="B4300" s="1">
        <f>B4299+1</f>
        <v>4285</v>
      </c>
      <c r="C4300" s="5">
        <f ca="1"/>
        <v>-1.94461958178455</v>
      </c>
      <c r="D4300" s="5">
        <f ca="1">S0*EXP((μ-0.5*σ*σ)*T+σ*SQRT(T)*$C4300)</f>
        <v>0.54857736763134446</v>
      </c>
      <c r="E4300" s="5">
        <f ca="1">MAX(0,CP*(D4300-K))</f>
        <v>0</v>
      </c>
      <c r="F4300" s="4">
        <f ca="1">(CP*(D4300-K)&gt;0)*1</f>
        <v>0</v>
      </c>
      <c r="H4300" s="4">
        <v>4285</v>
      </c>
      <c r="I4300" s="3">
        <v>0.66778650065317857</v>
      </c>
      <c r="J4300" s="128">
        <v>1.4859728670571525E-3</v>
      </c>
      <c r="K4300" s="128"/>
      <c r="L4300" s="128">
        <v>4.2200000000000001E-2</v>
      </c>
      <c r="O4300" s="2"/>
    </row>
    <row r="4301" spans="2:15" x14ac:dyDescent="0.2">
      <c r="B4301" s="1">
        <f>B4300+1</f>
        <v>4286</v>
      </c>
      <c r="C4301" s="5">
        <f ca="1"/>
        <v>-0.64554614082613948</v>
      </c>
      <c r="D4301" s="5">
        <f ca="1">S0*EXP((μ-0.5*σ*σ)*T+σ*SQRT(T)*$C4301)</f>
        <v>0.62353237377934068</v>
      </c>
      <c r="E4301" s="5">
        <f ca="1">MAX(0,CP*(D4301-K))</f>
        <v>0</v>
      </c>
      <c r="F4301" s="4">
        <f ca="1">(CP*(D4301-K)&gt;0)*1</f>
        <v>0</v>
      </c>
      <c r="H4301" s="4">
        <v>4286</v>
      </c>
      <c r="I4301" s="3">
        <v>0.66777889294768489</v>
      </c>
      <c r="J4301" s="128">
        <v>1.4169146232015509E-3</v>
      </c>
      <c r="K4301" s="128"/>
      <c r="L4301" s="128">
        <v>0.04</v>
      </c>
      <c r="O4301" s="2"/>
    </row>
    <row r="4302" spans="2:15" x14ac:dyDescent="0.2">
      <c r="B4302" s="1">
        <f>B4301+1</f>
        <v>4287</v>
      </c>
      <c r="C4302" s="5">
        <f ca="1"/>
        <v>0.5657332287589012</v>
      </c>
      <c r="D4302" s="5">
        <f ca="1">S0*EXP((μ-0.5*σ*σ)*T+σ*SQRT(T)*$C4302)</f>
        <v>0.7026210184535352</v>
      </c>
      <c r="E4302" s="5">
        <f ca="1">MAX(0,CP*(D4302-K))</f>
        <v>0</v>
      </c>
      <c r="F4302" s="4">
        <f ca="1">(CP*(D4302-K)&gt;0)*1</f>
        <v>0</v>
      </c>
      <c r="H4302" s="4">
        <v>4287</v>
      </c>
      <c r="I4302" s="3">
        <v>0.66770454405438429</v>
      </c>
      <c r="J4302" s="128">
        <v>1.2278964805914753E-3</v>
      </c>
      <c r="K4302" s="128"/>
      <c r="L4302" s="128">
        <v>4.0599999999999997E-2</v>
      </c>
      <c r="O4302" s="2"/>
    </row>
    <row r="4303" spans="2:15" x14ac:dyDescent="0.2">
      <c r="B4303" s="1">
        <f>B4302+1</f>
        <v>4288</v>
      </c>
      <c r="C4303" s="5">
        <f ca="1"/>
        <v>1.1941085135223601</v>
      </c>
      <c r="D4303" s="5">
        <f ca="1">S0*EXP((μ-0.5*σ*σ)*T+σ*SQRT(T)*$C4303)</f>
        <v>0.74752487627331998</v>
      </c>
      <c r="E4303" s="5">
        <f ca="1">MAX(0,CP*(D4303-K))</f>
        <v>0</v>
      </c>
      <c r="F4303" s="4">
        <f ca="1">(CP*(D4303-K)&gt;0)*1</f>
        <v>0</v>
      </c>
      <c r="H4303" s="4">
        <v>4288</v>
      </c>
      <c r="I4303" s="3">
        <v>0.66764329850277049</v>
      </c>
      <c r="J4303" s="128">
        <v>1.271632698282733E-3</v>
      </c>
      <c r="K4303" s="128"/>
      <c r="L4303" s="128">
        <v>4.1399999999999999E-2</v>
      </c>
      <c r="O4303" s="2"/>
    </row>
    <row r="4304" spans="2:15" x14ac:dyDescent="0.2">
      <c r="B4304" s="1">
        <f>B4303+1</f>
        <v>4289</v>
      </c>
      <c r="C4304" s="5">
        <f ca="1"/>
        <v>0.52468261642762226</v>
      </c>
      <c r="D4304" s="5">
        <f ca="1">S0*EXP((μ-0.5*σ*σ)*T+σ*SQRT(T)*$C4304)</f>
        <v>0.69978320409039618</v>
      </c>
      <c r="E4304" s="5">
        <f ca="1">MAX(0,CP*(D4304-K))</f>
        <v>0</v>
      </c>
      <c r="F4304" s="4">
        <f ca="1">(CP*(D4304-K)&gt;0)*1</f>
        <v>0</v>
      </c>
      <c r="H4304" s="4">
        <v>4289</v>
      </c>
      <c r="I4304" s="3">
        <v>0.66763513187988188</v>
      </c>
      <c r="J4304" s="128">
        <v>1.2363796849726321E-3</v>
      </c>
      <c r="K4304" s="128"/>
      <c r="L4304" s="128">
        <v>3.8199999999999998E-2</v>
      </c>
      <c r="O4304" s="2"/>
    </row>
    <row r="4305" spans="2:15" x14ac:dyDescent="0.2">
      <c r="B4305" s="1">
        <f>B4304+1</f>
        <v>4290</v>
      </c>
      <c r="C4305" s="5">
        <f ca="1"/>
        <v>-0.73433104981046493</v>
      </c>
      <c r="D4305" s="5">
        <f ca="1">S0*EXP((μ-0.5*σ*σ)*T+σ*SQRT(T)*$C4305)</f>
        <v>0.61809836218560055</v>
      </c>
      <c r="E4305" s="5">
        <f ca="1">MAX(0,CP*(D4305-K))</f>
        <v>0</v>
      </c>
      <c r="F4305" s="4">
        <f ca="1">(CP*(D4305-K)&gt;0)*1</f>
        <v>0</v>
      </c>
      <c r="H4305" s="4">
        <v>4290</v>
      </c>
      <c r="I4305" s="3">
        <v>0.66777306160382632</v>
      </c>
      <c r="J4305" s="128">
        <v>1.3796790815662765E-3</v>
      </c>
      <c r="K4305" s="128"/>
      <c r="L4305" s="128">
        <v>4.2599999999999999E-2</v>
      </c>
      <c r="O4305" s="2"/>
    </row>
    <row r="4306" spans="2:15" x14ac:dyDescent="0.2">
      <c r="B4306" s="1">
        <f>B4305+1</f>
        <v>4291</v>
      </c>
      <c r="C4306" s="5">
        <f ca="1"/>
        <v>-0.92925238316564529</v>
      </c>
      <c r="D4306" s="5">
        <f ca="1">S0*EXP((μ-0.5*σ*σ)*T+σ*SQRT(T)*$C4306)</f>
        <v>0.6063338887354971</v>
      </c>
      <c r="E4306" s="5">
        <f ca="1">MAX(0,CP*(D4306-K))</f>
        <v>0</v>
      </c>
      <c r="F4306" s="4">
        <f ca="1">(CP*(D4306-K)&gt;0)*1</f>
        <v>0</v>
      </c>
      <c r="H4306" s="4">
        <v>4291</v>
      </c>
      <c r="I4306" s="3">
        <v>0.66785266263006138</v>
      </c>
      <c r="J4306" s="128">
        <v>1.4449405234400064E-3</v>
      </c>
      <c r="K4306" s="128"/>
      <c r="L4306" s="128">
        <v>4.5600000000000002E-2</v>
      </c>
      <c r="O4306" s="2"/>
    </row>
    <row r="4307" spans="2:15" x14ac:dyDescent="0.2">
      <c r="B4307" s="1">
        <f>B4306+1</f>
        <v>4292</v>
      </c>
      <c r="C4307" s="5">
        <f ca="1"/>
        <v>1.5651650091833651</v>
      </c>
      <c r="D4307" s="5">
        <f ca="1">S0*EXP((μ-0.5*σ*σ)*T+σ*SQRT(T)*$C4307)</f>
        <v>0.77537680023064326</v>
      </c>
      <c r="E4307" s="5">
        <f ca="1">MAX(0,CP*(D4307-K))</f>
        <v>0</v>
      </c>
      <c r="F4307" s="4">
        <f ca="1">(CP*(D4307-K)&gt;0)*1</f>
        <v>0</v>
      </c>
      <c r="H4307" s="4">
        <v>4292</v>
      </c>
      <c r="I4307" s="3">
        <v>0.66778839539620272</v>
      </c>
      <c r="J4307" s="128">
        <v>1.4941675346660035E-3</v>
      </c>
      <c r="K4307" s="128"/>
      <c r="L4307" s="128">
        <v>4.3799999999999999E-2</v>
      </c>
      <c r="O4307" s="2"/>
    </row>
    <row r="4308" spans="2:15" x14ac:dyDescent="0.2">
      <c r="B4308" s="1">
        <f>B4307+1</f>
        <v>4293</v>
      </c>
      <c r="C4308" s="5">
        <f ca="1"/>
        <v>1.1532004786409298</v>
      </c>
      <c r="D4308" s="5">
        <f ca="1">S0*EXP((μ-0.5*σ*σ)*T+σ*SQRT(T)*$C4308)</f>
        <v>0.74451616493171302</v>
      </c>
      <c r="E4308" s="5">
        <f ca="1">MAX(0,CP*(D4308-K))</f>
        <v>0</v>
      </c>
      <c r="F4308" s="4">
        <f ca="1">(CP*(D4308-K)&gt;0)*1</f>
        <v>0</v>
      </c>
      <c r="H4308" s="4">
        <v>4293</v>
      </c>
      <c r="I4308" s="3">
        <v>0.66782791860318225</v>
      </c>
      <c r="J4308" s="128">
        <v>1.3244505469008274E-3</v>
      </c>
      <c r="K4308" s="128"/>
      <c r="L4308" s="128">
        <v>3.9399999999999998E-2</v>
      </c>
      <c r="O4308" s="2"/>
    </row>
    <row r="4309" spans="2:15" x14ac:dyDescent="0.2">
      <c r="B4309" s="1">
        <f>B4308+1</f>
        <v>4294</v>
      </c>
      <c r="C4309" s="5">
        <f ca="1"/>
        <v>1.966503536286643</v>
      </c>
      <c r="D4309" s="5">
        <f ca="1">S0*EXP((μ-0.5*σ*σ)*T+σ*SQRT(T)*$C4309)</f>
        <v>0.80667112307691091</v>
      </c>
      <c r="E4309" s="5">
        <f ca="1">MAX(0,CP*(D4309-K))</f>
        <v>1.84711230769109E-2</v>
      </c>
      <c r="F4309" s="4">
        <f ca="1">(CP*(D4309-K)&gt;0)*1</f>
        <v>1</v>
      </c>
      <c r="H4309" s="4">
        <v>4294</v>
      </c>
      <c r="I4309" s="3">
        <v>0.66759633007075736</v>
      </c>
      <c r="J4309" s="128">
        <v>1.2629437305256622E-3</v>
      </c>
      <c r="K4309" s="128"/>
      <c r="L4309" s="128">
        <v>3.9E-2</v>
      </c>
      <c r="O4309" s="2"/>
    </row>
    <row r="4310" spans="2:15" x14ac:dyDescent="0.2">
      <c r="B4310" s="1">
        <f>B4309+1</f>
        <v>4295</v>
      </c>
      <c r="C4310" s="5">
        <f ca="1"/>
        <v>0.72042659667846021</v>
      </c>
      <c r="D4310" s="5">
        <f ca="1">S0*EXP((μ-0.5*σ*σ)*T+σ*SQRT(T)*$C4310)</f>
        <v>0.71341869805745728</v>
      </c>
      <c r="E4310" s="5">
        <f ca="1">MAX(0,CP*(D4310-K))</f>
        <v>0</v>
      </c>
      <c r="F4310" s="4">
        <f ca="1">(CP*(D4310-K)&gt;0)*1</f>
        <v>0</v>
      </c>
      <c r="H4310" s="4">
        <v>4295</v>
      </c>
      <c r="I4310" s="3">
        <v>0.66781776422241468</v>
      </c>
      <c r="J4310" s="128">
        <v>1.4343089359784298E-3</v>
      </c>
      <c r="K4310" s="128"/>
      <c r="L4310" s="128">
        <v>4.2799999999999998E-2</v>
      </c>
      <c r="O4310" s="2"/>
    </row>
    <row r="4311" spans="2:15" x14ac:dyDescent="0.2">
      <c r="B4311" s="1">
        <f>B4310+1</f>
        <v>4296</v>
      </c>
      <c r="C4311" s="5">
        <f ca="1"/>
        <v>-0.25783780354997299</v>
      </c>
      <c r="D4311" s="5">
        <f ca="1">S0*EXP((μ-0.5*σ*σ)*T+σ*SQRT(T)*$C4311)</f>
        <v>0.64782711985085861</v>
      </c>
      <c r="E4311" s="5">
        <f ca="1">MAX(0,CP*(D4311-K))</f>
        <v>0</v>
      </c>
      <c r="F4311" s="4">
        <f ca="1">(CP*(D4311-K)&gt;0)*1</f>
        <v>0</v>
      </c>
      <c r="H4311" s="4">
        <v>4296</v>
      </c>
      <c r="I4311" s="3">
        <v>0.66788688211611313</v>
      </c>
      <c r="J4311" s="128">
        <v>1.5663175744069417E-3</v>
      </c>
      <c r="K4311" s="128"/>
      <c r="L4311" s="128">
        <v>4.1599999999999998E-2</v>
      </c>
      <c r="O4311" s="2"/>
    </row>
    <row r="4312" spans="2:15" x14ac:dyDescent="0.2">
      <c r="B4312" s="1">
        <f>B4311+1</f>
        <v>4297</v>
      </c>
      <c r="C4312" s="5">
        <f ca="1"/>
        <v>1.2337416703829447</v>
      </c>
      <c r="D4312" s="5">
        <f ca="1">S0*EXP((μ-0.5*σ*σ)*T+σ*SQRT(T)*$C4312)</f>
        <v>0.7504514183946126</v>
      </c>
      <c r="E4312" s="5">
        <f ca="1">MAX(0,CP*(D4312-K))</f>
        <v>0</v>
      </c>
      <c r="F4312" s="4">
        <f ca="1">(CP*(D4312-K)&gt;0)*1</f>
        <v>0</v>
      </c>
      <c r="H4312" s="4">
        <v>4297</v>
      </c>
      <c r="I4312" s="3">
        <v>0.66774230011965841</v>
      </c>
      <c r="J4312" s="128">
        <v>1.3314092639214812E-3</v>
      </c>
      <c r="K4312" s="128"/>
      <c r="L4312" s="128">
        <v>4.02E-2</v>
      </c>
      <c r="O4312" s="2"/>
    </row>
    <row r="4313" spans="2:15" x14ac:dyDescent="0.2">
      <c r="B4313" s="1">
        <f>B4312+1</f>
        <v>4298</v>
      </c>
      <c r="C4313" s="5">
        <f ca="1"/>
        <v>0.22063436557219443</v>
      </c>
      <c r="D4313" s="5">
        <f ca="1">S0*EXP((μ-0.5*σ*σ)*T+σ*SQRT(T)*$C4313)</f>
        <v>0.67911822646022313</v>
      </c>
      <c r="E4313" s="5">
        <f ca="1">MAX(0,CP*(D4313-K))</f>
        <v>0</v>
      </c>
      <c r="F4313" s="4">
        <f ca="1">(CP*(D4313-K)&gt;0)*1</f>
        <v>0</v>
      </c>
      <c r="H4313" s="4">
        <v>4298</v>
      </c>
      <c r="I4313" s="3">
        <v>0.66785092516706235</v>
      </c>
      <c r="J4313" s="128">
        <v>1.4261376781702149E-3</v>
      </c>
      <c r="K4313" s="128"/>
      <c r="L4313" s="128">
        <v>4.3200000000000002E-2</v>
      </c>
      <c r="O4313" s="2"/>
    </row>
    <row r="4314" spans="2:15" x14ac:dyDescent="0.2">
      <c r="B4314" s="1">
        <f>B4313+1</f>
        <v>4299</v>
      </c>
      <c r="C4314" s="5">
        <f ca="1"/>
        <v>0.19740986627588733</v>
      </c>
      <c r="D4314" s="5">
        <f ca="1">S0*EXP((μ-0.5*σ*σ)*T+σ*SQRT(T)*$C4314)</f>
        <v>0.67756506583699805</v>
      </c>
      <c r="E4314" s="5">
        <f ca="1">MAX(0,CP*(D4314-K))</f>
        <v>0</v>
      </c>
      <c r="F4314" s="4">
        <f ca="1">(CP*(D4314-K)&gt;0)*1</f>
        <v>0</v>
      </c>
      <c r="H4314" s="4">
        <v>4299</v>
      </c>
      <c r="I4314" s="3">
        <v>0.66769349751486473</v>
      </c>
      <c r="J4314" s="128">
        <v>1.1968778772795208E-3</v>
      </c>
      <c r="K4314" s="128"/>
      <c r="L4314" s="128">
        <v>3.8600000000000002E-2</v>
      </c>
      <c r="O4314" s="2"/>
    </row>
    <row r="4315" spans="2:15" x14ac:dyDescent="0.2">
      <c r="B4315" s="1">
        <f>B4314+1</f>
        <v>4300</v>
      </c>
      <c r="C4315" s="5">
        <f ca="1"/>
        <v>0.35280112860562196</v>
      </c>
      <c r="D4315" s="5">
        <f ca="1">S0*EXP((μ-0.5*σ*σ)*T+σ*SQRT(T)*$C4315)</f>
        <v>0.6880250297013949</v>
      </c>
      <c r="E4315" s="5">
        <f ca="1">MAX(0,CP*(D4315-K))</f>
        <v>0</v>
      </c>
      <c r="F4315" s="4">
        <f ca="1">(CP*(D4315-K)&gt;0)*1</f>
        <v>0</v>
      </c>
      <c r="H4315" s="4">
        <v>4300</v>
      </c>
      <c r="I4315" s="3">
        <v>0.66774987257727114</v>
      </c>
      <c r="J4315" s="128">
        <v>1.440544843854426E-3</v>
      </c>
      <c r="K4315" s="128"/>
      <c r="L4315" s="128">
        <v>4.24E-2</v>
      </c>
      <c r="O4315" s="2"/>
    </row>
    <row r="4316" spans="2:15" x14ac:dyDescent="0.2">
      <c r="B4316" s="1">
        <f>B4315+1</f>
        <v>4301</v>
      </c>
      <c r="C4316" s="5">
        <f ca="1"/>
        <v>-0.69036480276152079</v>
      </c>
      <c r="D4316" s="5">
        <f ca="1">S0*EXP((μ-0.5*σ*σ)*T+σ*SQRT(T)*$C4316)</f>
        <v>0.62078333738483471</v>
      </c>
      <c r="E4316" s="5">
        <f ca="1">MAX(0,CP*(D4316-K))</f>
        <v>0</v>
      </c>
      <c r="F4316" s="4">
        <f ca="1">(CP*(D4316-K)&gt;0)*1</f>
        <v>0</v>
      </c>
      <c r="H4316" s="4">
        <v>4301</v>
      </c>
      <c r="I4316" s="3">
        <v>0.6676481937928852</v>
      </c>
      <c r="J4316" s="128">
        <v>1.2891550488712709E-3</v>
      </c>
      <c r="K4316" s="128"/>
      <c r="L4316" s="128">
        <v>4.1000000000000002E-2</v>
      </c>
      <c r="O4316" s="2"/>
    </row>
    <row r="4317" spans="2:15" x14ac:dyDescent="0.2">
      <c r="B4317" s="1">
        <f>B4316+1</f>
        <v>4302</v>
      </c>
      <c r="C4317" s="5">
        <f ca="1"/>
        <v>-0.36576340690813686</v>
      </c>
      <c r="D4317" s="5">
        <f ca="1">S0*EXP((μ-0.5*σ*σ)*T+σ*SQRT(T)*$C4317)</f>
        <v>0.64097070782027388</v>
      </c>
      <c r="E4317" s="5">
        <f ca="1">MAX(0,CP*(D4317-K))</f>
        <v>0</v>
      </c>
      <c r="F4317" s="4">
        <f ca="1">(CP*(D4317-K)&gt;0)*1</f>
        <v>0</v>
      </c>
      <c r="H4317" s="4">
        <v>4302</v>
      </c>
      <c r="I4317" s="3">
        <v>0.66773966260626882</v>
      </c>
      <c r="J4317" s="128">
        <v>1.3472333193828765E-3</v>
      </c>
      <c r="K4317" s="128"/>
      <c r="L4317" s="128">
        <v>4.2799999999999998E-2</v>
      </c>
      <c r="O4317" s="2"/>
    </row>
    <row r="4318" spans="2:15" x14ac:dyDescent="0.2">
      <c r="B4318" s="1">
        <f>B4317+1</f>
        <v>4303</v>
      </c>
      <c r="C4318" s="5">
        <f ca="1"/>
        <v>0.30473812259666894</v>
      </c>
      <c r="D4318" s="5">
        <f ca="1">S0*EXP((μ-0.5*σ*σ)*T+σ*SQRT(T)*$C4318)</f>
        <v>0.6847725966830065</v>
      </c>
      <c r="E4318" s="5">
        <f ca="1">MAX(0,CP*(D4318-K))</f>
        <v>0</v>
      </c>
      <c r="F4318" s="4">
        <f ca="1">(CP*(D4318-K)&gt;0)*1</f>
        <v>0</v>
      </c>
      <c r="H4318" s="4">
        <v>4303</v>
      </c>
      <c r="I4318" s="3">
        <v>0.66783553601316414</v>
      </c>
      <c r="J4318" s="128">
        <v>1.43432988062123E-3</v>
      </c>
      <c r="K4318" s="128"/>
      <c r="L4318" s="128">
        <v>4.3799999999999999E-2</v>
      </c>
      <c r="O4318" s="2"/>
    </row>
    <row r="4319" spans="2:15" x14ac:dyDescent="0.2">
      <c r="B4319" s="1">
        <f>B4318+1</f>
        <v>4304</v>
      </c>
      <c r="C4319" s="5">
        <f ca="1"/>
        <v>-1.5829091157308348</v>
      </c>
      <c r="D4319" s="5">
        <f ca="1">S0*EXP((μ-0.5*σ*σ)*T+σ*SQRT(T)*$C4319)</f>
        <v>0.56849268306342626</v>
      </c>
      <c r="E4319" s="5">
        <f ca="1">MAX(0,CP*(D4319-K))</f>
        <v>0</v>
      </c>
      <c r="F4319" s="4">
        <f ca="1">(CP*(D4319-K)&gt;0)*1</f>
        <v>0</v>
      </c>
      <c r="H4319" s="4">
        <v>4304</v>
      </c>
      <c r="I4319" s="3">
        <v>0.66780200173971627</v>
      </c>
      <c r="J4319" s="128">
        <v>1.4940375753753682E-3</v>
      </c>
      <c r="K4319" s="128"/>
      <c r="L4319" s="128">
        <v>4.48E-2</v>
      </c>
      <c r="O4319" s="2"/>
    </row>
    <row r="4320" spans="2:15" x14ac:dyDescent="0.2">
      <c r="B4320" s="1">
        <f>B4319+1</f>
        <v>4305</v>
      </c>
      <c r="C4320" s="5">
        <f ca="1"/>
        <v>1.403456285011603</v>
      </c>
      <c r="D4320" s="5">
        <f ca="1">S0*EXP((μ-0.5*σ*σ)*T+σ*SQRT(T)*$C4320)</f>
        <v>0.76311340534157823</v>
      </c>
      <c r="E4320" s="5">
        <f ca="1">MAX(0,CP*(D4320-K))</f>
        <v>0</v>
      </c>
      <c r="F4320" s="4">
        <f ca="1">(CP*(D4320-K)&gt;0)*1</f>
        <v>0</v>
      </c>
      <c r="H4320" s="4">
        <v>4305</v>
      </c>
      <c r="I4320" s="3">
        <v>0.66780963360793089</v>
      </c>
      <c r="J4320" s="128">
        <v>1.5296281063067881E-3</v>
      </c>
      <c r="K4320" s="128"/>
      <c r="L4320" s="128">
        <v>4.5600000000000002E-2</v>
      </c>
      <c r="O4320" s="2"/>
    </row>
    <row r="4321" spans="2:15" x14ac:dyDescent="0.2">
      <c r="B4321" s="1">
        <f>B4320+1</f>
        <v>4306</v>
      </c>
      <c r="C4321" s="5">
        <f ca="1"/>
        <v>-0.85830517977440923</v>
      </c>
      <c r="D4321" s="5">
        <f ca="1">S0*EXP((μ-0.5*σ*σ)*T+σ*SQRT(T)*$C4321)</f>
        <v>0.61058976082323935</v>
      </c>
      <c r="E4321" s="5">
        <f ca="1">MAX(0,CP*(D4321-K))</f>
        <v>0</v>
      </c>
      <c r="F4321" s="4">
        <f ca="1">(CP*(D4321-K)&gt;0)*1</f>
        <v>0</v>
      </c>
      <c r="H4321" s="4">
        <v>4306</v>
      </c>
      <c r="I4321" s="3">
        <v>0.66761711822801695</v>
      </c>
      <c r="J4321" s="128">
        <v>1.152975426011329E-3</v>
      </c>
      <c r="K4321" s="128"/>
      <c r="L4321" s="128">
        <v>3.9199999999999999E-2</v>
      </c>
      <c r="O4321" s="2"/>
    </row>
    <row r="4322" spans="2:15" x14ac:dyDescent="0.2">
      <c r="B4322" s="1">
        <f>B4321+1</f>
        <v>4307</v>
      </c>
      <c r="C4322" s="5">
        <f ca="1"/>
        <v>0.50908684199986276</v>
      </c>
      <c r="D4322" s="5">
        <f ca="1">S0*EXP((μ-0.5*σ*σ)*T+σ*SQRT(T)*$C4322)</f>
        <v>0.69870808060559375</v>
      </c>
      <c r="E4322" s="5">
        <f ca="1">MAX(0,CP*(D4322-K))</f>
        <v>0</v>
      </c>
      <c r="F4322" s="4">
        <f ca="1">(CP*(D4322-K)&gt;0)*1</f>
        <v>0</v>
      </c>
      <c r="H4322" s="4">
        <v>4307</v>
      </c>
      <c r="I4322" s="3">
        <v>0.66778792234929751</v>
      </c>
      <c r="J4322" s="128">
        <v>1.3039194618728492E-3</v>
      </c>
      <c r="K4322" s="128"/>
      <c r="L4322" s="128">
        <v>4.5600000000000002E-2</v>
      </c>
      <c r="O4322" s="2"/>
    </row>
    <row r="4323" spans="2:15" x14ac:dyDescent="0.2">
      <c r="B4323" s="1">
        <f>B4322+1</f>
        <v>4308</v>
      </c>
      <c r="C4323" s="5">
        <f ca="1"/>
        <v>-3.5039477525483628E-2</v>
      </c>
      <c r="D4323" s="5">
        <f ca="1">S0*EXP((μ-0.5*σ*σ)*T+σ*SQRT(T)*$C4323)</f>
        <v>0.66221415038271458</v>
      </c>
      <c r="E4323" s="5">
        <f ca="1">MAX(0,CP*(D4323-K))</f>
        <v>0</v>
      </c>
      <c r="F4323" s="4">
        <f ca="1">(CP*(D4323-K)&gt;0)*1</f>
        <v>0</v>
      </c>
      <c r="H4323" s="4">
        <v>4308</v>
      </c>
      <c r="I4323" s="3">
        <v>0.66779068148963283</v>
      </c>
      <c r="J4323" s="128">
        <v>1.3261861959259367E-3</v>
      </c>
      <c r="K4323" s="128"/>
      <c r="L4323" s="128">
        <v>4.2599999999999999E-2</v>
      </c>
      <c r="O4323" s="2"/>
    </row>
    <row r="4324" spans="2:15" x14ac:dyDescent="0.2">
      <c r="B4324" s="1">
        <f>B4323+1</f>
        <v>4309</v>
      </c>
      <c r="C4324" s="5">
        <f ca="1"/>
        <v>-1.0062978436620389</v>
      </c>
      <c r="D4324" s="5">
        <f ca="1">S0*EXP((μ-0.5*σ*σ)*T+σ*SQRT(T)*$C4324)</f>
        <v>0.60174579509536852</v>
      </c>
      <c r="E4324" s="5">
        <f ca="1">MAX(0,CP*(D4324-K))</f>
        <v>0</v>
      </c>
      <c r="F4324" s="4">
        <f ca="1">(CP*(D4324-K)&gt;0)*1</f>
        <v>0</v>
      </c>
      <c r="H4324" s="4">
        <v>4309</v>
      </c>
      <c r="I4324" s="3">
        <v>0.66784871070467666</v>
      </c>
      <c r="J4324" s="128">
        <v>1.6077231879545839E-3</v>
      </c>
      <c r="K4324" s="128"/>
      <c r="L4324" s="128">
        <v>4.5600000000000002E-2</v>
      </c>
      <c r="O4324" s="2"/>
    </row>
    <row r="4325" spans="2:15" x14ac:dyDescent="0.2">
      <c r="B4325" s="1">
        <f>B4324+1</f>
        <v>4310</v>
      </c>
      <c r="C4325" s="5">
        <f ca="1"/>
        <v>2.2263331150446799</v>
      </c>
      <c r="D4325" s="5">
        <f ca="1">S0*EXP((μ-0.5*σ*σ)*T+σ*SQRT(T)*$C4325)</f>
        <v>0.82760169642086145</v>
      </c>
      <c r="E4325" s="5">
        <f ca="1">MAX(0,CP*(D4325-K))</f>
        <v>3.9401696420861443E-2</v>
      </c>
      <c r="F4325" s="4">
        <f ca="1">(CP*(D4325-K)&gt;0)*1</f>
        <v>1</v>
      </c>
      <c r="H4325" s="4">
        <v>4310</v>
      </c>
      <c r="I4325" s="3">
        <v>0.66756210317585585</v>
      </c>
      <c r="J4325" s="128">
        <v>1.2221156736676939E-3</v>
      </c>
      <c r="K4325" s="128"/>
      <c r="L4325" s="128">
        <v>4.0800000000000003E-2</v>
      </c>
      <c r="O4325" s="2"/>
    </row>
    <row r="4326" spans="2:15" x14ac:dyDescent="0.2">
      <c r="B4326" s="1">
        <f>B4325+1</f>
        <v>4311</v>
      </c>
      <c r="C4326" s="5">
        <f ca="1"/>
        <v>-0.58027259339883086</v>
      </c>
      <c r="D4326" s="5">
        <f ca="1">S0*EXP((μ-0.5*σ*σ)*T+σ*SQRT(T)*$C4326)</f>
        <v>0.62755783890718986</v>
      </c>
      <c r="E4326" s="5">
        <f ca="1">MAX(0,CP*(D4326-K))</f>
        <v>0</v>
      </c>
      <c r="F4326" s="4">
        <f ca="1">(CP*(D4326-K)&gt;0)*1</f>
        <v>0</v>
      </c>
      <c r="H4326" s="4">
        <v>4311</v>
      </c>
      <c r="I4326" s="3">
        <v>0.66760763921602906</v>
      </c>
      <c r="J4326" s="128">
        <v>1.1882536384601264E-3</v>
      </c>
      <c r="K4326" s="128"/>
      <c r="L4326" s="128">
        <v>3.9199999999999999E-2</v>
      </c>
      <c r="O4326" s="2"/>
    </row>
    <row r="4327" spans="2:15" x14ac:dyDescent="0.2">
      <c r="B4327" s="1">
        <f>B4326+1</f>
        <v>4312</v>
      </c>
      <c r="C4327" s="5">
        <f ca="1"/>
        <v>-0.23790446410300836</v>
      </c>
      <c r="D4327" s="5">
        <f ca="1">S0*EXP((μ-0.5*σ*σ)*T+σ*SQRT(T)*$C4327)</f>
        <v>0.64910146687935677</v>
      </c>
      <c r="E4327" s="5">
        <f ca="1">MAX(0,CP*(D4327-K))</f>
        <v>0</v>
      </c>
      <c r="F4327" s="4">
        <f ca="1">(CP*(D4327-K)&gt;0)*1</f>
        <v>0</v>
      </c>
      <c r="H4327" s="4">
        <v>4312</v>
      </c>
      <c r="I4327" s="3">
        <v>0.66778902244724991</v>
      </c>
      <c r="J4327" s="128">
        <v>1.4937985350806416E-3</v>
      </c>
      <c r="K4327" s="128"/>
      <c r="L4327" s="128">
        <v>4.1599999999999998E-2</v>
      </c>
      <c r="O4327" s="2"/>
    </row>
    <row r="4328" spans="2:15" x14ac:dyDescent="0.2">
      <c r="B4328" s="1">
        <f>B4327+1</f>
        <v>4313</v>
      </c>
      <c r="C4328" s="5">
        <f ca="1"/>
        <v>0.50564363976791848</v>
      </c>
      <c r="D4328" s="5">
        <f ca="1">S0*EXP((μ-0.5*σ*σ)*T+σ*SQRT(T)*$C4328)</f>
        <v>0.69847093979083508</v>
      </c>
      <c r="E4328" s="5">
        <f ca="1">MAX(0,CP*(D4328-K))</f>
        <v>0</v>
      </c>
      <c r="F4328" s="4">
        <f ca="1">(CP*(D4328-K)&gt;0)*1</f>
        <v>0</v>
      </c>
      <c r="H4328" s="4">
        <v>4313</v>
      </c>
      <c r="I4328" s="3">
        <v>0.66768858369738426</v>
      </c>
      <c r="J4328" s="128">
        <v>1.4287855202458318E-3</v>
      </c>
      <c r="K4328" s="128"/>
      <c r="L4328" s="128">
        <v>4.1200000000000001E-2</v>
      </c>
      <c r="O4328" s="2"/>
    </row>
    <row r="4329" spans="2:15" x14ac:dyDescent="0.2">
      <c r="B4329" s="1">
        <f>B4328+1</f>
        <v>4314</v>
      </c>
      <c r="C4329" s="5">
        <f ca="1"/>
        <v>0.65407545175258508</v>
      </c>
      <c r="D4329" s="5">
        <f ca="1">S0*EXP((μ-0.5*σ*σ)*T+σ*SQRT(T)*$C4329)</f>
        <v>0.70876717735063754</v>
      </c>
      <c r="E4329" s="5">
        <f ca="1">MAX(0,CP*(D4329-K))</f>
        <v>0</v>
      </c>
      <c r="F4329" s="4">
        <f ca="1">(CP*(D4329-K)&gt;0)*1</f>
        <v>0</v>
      </c>
      <c r="H4329" s="4">
        <v>4314</v>
      </c>
      <c r="I4329" s="3">
        <v>0.66763492117829015</v>
      </c>
      <c r="J4329" s="128">
        <v>1.3513737265008795E-3</v>
      </c>
      <c r="K4329" s="128"/>
      <c r="L4329" s="128">
        <v>4.02E-2</v>
      </c>
      <c r="O4329" s="2"/>
    </row>
    <row r="4330" spans="2:15" x14ac:dyDescent="0.2">
      <c r="B4330" s="1">
        <f>B4329+1</f>
        <v>4315</v>
      </c>
      <c r="C4330" s="5">
        <f ca="1"/>
        <v>1.0470380268931299</v>
      </c>
      <c r="D4330" s="5">
        <f ca="1">S0*EXP((μ-0.5*σ*σ)*T+σ*SQRT(T)*$C4330)</f>
        <v>0.73676448113896142</v>
      </c>
      <c r="E4330" s="5">
        <f ca="1">MAX(0,CP*(D4330-K))</f>
        <v>0</v>
      </c>
      <c r="F4330" s="4">
        <f ca="1">(CP*(D4330-K)&gt;0)*1</f>
        <v>0</v>
      </c>
      <c r="H4330" s="4">
        <v>4315</v>
      </c>
      <c r="I4330" s="3">
        <v>0.66780289343013388</v>
      </c>
      <c r="J4330" s="128">
        <v>1.4057978117836478E-3</v>
      </c>
      <c r="K4330" s="128"/>
      <c r="L4330" s="128">
        <v>4.2799999999999998E-2</v>
      </c>
      <c r="O4330" s="2"/>
    </row>
    <row r="4331" spans="2:15" x14ac:dyDescent="0.2">
      <c r="B4331" s="1">
        <f>B4330+1</f>
        <v>4316</v>
      </c>
      <c r="C4331" s="5">
        <f ca="1"/>
        <v>0.22738664323545896</v>
      </c>
      <c r="D4331" s="5">
        <f ca="1">S0*EXP((μ-0.5*σ*σ)*T+σ*SQRT(T)*$C4331)</f>
        <v>0.67957045915858694</v>
      </c>
      <c r="E4331" s="5">
        <f ca="1">MAX(0,CP*(D4331-K))</f>
        <v>0</v>
      </c>
      <c r="F4331" s="4">
        <f ca="1">(CP*(D4331-K)&gt;0)*1</f>
        <v>0</v>
      </c>
      <c r="H4331" s="4">
        <v>4316</v>
      </c>
      <c r="I4331" s="3">
        <v>0.66774437685927646</v>
      </c>
      <c r="J4331" s="128">
        <v>1.2883500396695126E-3</v>
      </c>
      <c r="K4331" s="128"/>
      <c r="L4331" s="128">
        <v>4.0599999999999997E-2</v>
      </c>
      <c r="O4331" s="2"/>
    </row>
    <row r="4332" spans="2:15" x14ac:dyDescent="0.2">
      <c r="B4332" s="1">
        <f>B4331+1</f>
        <v>4317</v>
      </c>
      <c r="C4332" s="5">
        <f ca="1"/>
        <v>-0.89369020443750868</v>
      </c>
      <c r="D4332" s="5">
        <f ca="1">S0*EXP((μ-0.5*σ*σ)*T+σ*SQRT(T)*$C4332)</f>
        <v>0.6084634172538167</v>
      </c>
      <c r="E4332" s="5">
        <f ca="1">MAX(0,CP*(D4332-K))</f>
        <v>0</v>
      </c>
      <c r="F4332" s="4">
        <f ca="1">(CP*(D4332-K)&gt;0)*1</f>
        <v>0</v>
      </c>
      <c r="H4332" s="4">
        <v>4317</v>
      </c>
      <c r="I4332" s="3">
        <v>0.66779996351438142</v>
      </c>
      <c r="J4332" s="128">
        <v>1.3773382160119348E-3</v>
      </c>
      <c r="K4332" s="128"/>
      <c r="L4332" s="128">
        <v>4.3400000000000001E-2</v>
      </c>
      <c r="O4332" s="2"/>
    </row>
    <row r="4333" spans="2:15" x14ac:dyDescent="0.2">
      <c r="B4333" s="1">
        <f>B4332+1</f>
        <v>4318</v>
      </c>
      <c r="C4333" s="5">
        <f ca="1"/>
        <v>-1.1724257583363589</v>
      </c>
      <c r="D4333" s="5">
        <f ca="1">S0*EXP((μ-0.5*σ*σ)*T+σ*SQRT(T)*$C4333)</f>
        <v>0.59197059206486891</v>
      </c>
      <c r="E4333" s="5">
        <f ca="1">MAX(0,CP*(D4333-K))</f>
        <v>0</v>
      </c>
      <c r="F4333" s="4">
        <f ca="1">(CP*(D4333-K)&gt;0)*1</f>
        <v>0</v>
      </c>
      <c r="H4333" s="4">
        <v>4318</v>
      </c>
      <c r="I4333" s="3">
        <v>0.66783679582830902</v>
      </c>
      <c r="J4333" s="128">
        <v>1.3935394998015821E-3</v>
      </c>
      <c r="K4333" s="128"/>
      <c r="L4333" s="128">
        <v>4.48E-2</v>
      </c>
      <c r="O4333" s="2"/>
    </row>
    <row r="4334" spans="2:15" x14ac:dyDescent="0.2">
      <c r="B4334" s="1">
        <f>B4333+1</f>
        <v>4319</v>
      </c>
      <c r="C4334" s="5">
        <f ca="1"/>
        <v>5.2612123562087762E-2</v>
      </c>
      <c r="D4334" s="5">
        <f ca="1">S0*EXP((μ-0.5*σ*σ)*T+σ*SQRT(T)*$C4334)</f>
        <v>0.66796137045186998</v>
      </c>
      <c r="E4334" s="5">
        <f ca="1">MAX(0,CP*(D4334-K))</f>
        <v>0</v>
      </c>
      <c r="F4334" s="4">
        <f ca="1">(CP*(D4334-K)&gt;0)*1</f>
        <v>0</v>
      </c>
      <c r="H4334" s="4">
        <v>4319</v>
      </c>
      <c r="I4334" s="3">
        <v>0.66774130100607931</v>
      </c>
      <c r="J4334" s="128">
        <v>1.3615345703279847E-3</v>
      </c>
      <c r="K4334" s="128"/>
      <c r="L4334" s="128">
        <v>0.04</v>
      </c>
      <c r="O4334" s="2"/>
    </row>
    <row r="4335" spans="2:15" x14ac:dyDescent="0.2">
      <c r="B4335" s="1">
        <f>B4334+1</f>
        <v>4320</v>
      </c>
      <c r="C4335" s="5">
        <f ca="1"/>
        <v>-0.21026917607995582</v>
      </c>
      <c r="D4335" s="5">
        <f ca="1">S0*EXP((μ-0.5*σ*σ)*T+σ*SQRT(T)*$C4335)</f>
        <v>0.65087235064612847</v>
      </c>
      <c r="E4335" s="5">
        <f ca="1">MAX(0,CP*(D4335-K))</f>
        <v>0</v>
      </c>
      <c r="F4335" s="4">
        <f ca="1">(CP*(D4335-K)&gt;0)*1</f>
        <v>0</v>
      </c>
      <c r="H4335" s="4">
        <v>4320</v>
      </c>
      <c r="I4335" s="3">
        <v>0.66770295772178201</v>
      </c>
      <c r="J4335" s="128">
        <v>1.267539801160439E-3</v>
      </c>
      <c r="K4335" s="128"/>
      <c r="L4335" s="128">
        <v>3.9E-2</v>
      </c>
      <c r="O4335" s="2"/>
    </row>
    <row r="4336" spans="2:15" x14ac:dyDescent="0.2">
      <c r="B4336" s="1">
        <f>B4335+1</f>
        <v>4321</v>
      </c>
      <c r="C4336" s="5">
        <f ca="1"/>
        <v>-1.3535961221705051</v>
      </c>
      <c r="D4336" s="5">
        <f ca="1">S0*EXP((μ-0.5*σ*σ)*T+σ*SQRT(T)*$C4336)</f>
        <v>0.58149119520445391</v>
      </c>
      <c r="E4336" s="5">
        <f ca="1">MAX(0,CP*(D4336-K))</f>
        <v>0</v>
      </c>
      <c r="F4336" s="4">
        <f ca="1">(CP*(D4336-K)&gt;0)*1</f>
        <v>0</v>
      </c>
      <c r="H4336" s="4">
        <v>4321</v>
      </c>
      <c r="I4336" s="3">
        <v>0.66776618509109653</v>
      </c>
      <c r="J4336" s="128">
        <v>1.4105183489934274E-3</v>
      </c>
      <c r="K4336" s="128"/>
      <c r="L4336" s="128">
        <v>4.3400000000000001E-2</v>
      </c>
      <c r="O4336" s="2"/>
    </row>
    <row r="4337" spans="2:15" x14ac:dyDescent="0.2">
      <c r="B4337" s="1">
        <f>B4336+1</f>
        <v>4322</v>
      </c>
      <c r="C4337" s="5">
        <f ca="1"/>
        <v>-0.38391934217791385</v>
      </c>
      <c r="D4337" s="5">
        <f ca="1">S0*EXP((μ-0.5*σ*σ)*T+σ*SQRT(T)*$C4337)</f>
        <v>0.63982442995859412</v>
      </c>
      <c r="E4337" s="5">
        <f ca="1">MAX(0,CP*(D4337-K))</f>
        <v>0</v>
      </c>
      <c r="F4337" s="4">
        <f ca="1">(CP*(D4337-K)&gt;0)*1</f>
        <v>0</v>
      </c>
      <c r="H4337" s="4">
        <v>4322</v>
      </c>
      <c r="I4337" s="3">
        <v>0.66772024153592524</v>
      </c>
      <c r="J4337" s="128">
        <v>1.3001614796734429E-3</v>
      </c>
      <c r="K4337" s="128"/>
      <c r="L4337" s="128">
        <v>4.2200000000000001E-2</v>
      </c>
      <c r="O4337" s="2"/>
    </row>
    <row r="4338" spans="2:15" x14ac:dyDescent="0.2">
      <c r="B4338" s="1">
        <f>B4337+1</f>
        <v>4323</v>
      </c>
      <c r="C4338" s="5">
        <f ca="1"/>
        <v>1.3044795941030436</v>
      </c>
      <c r="D4338" s="5">
        <f ca="1">S0*EXP((μ-0.5*σ*σ)*T+σ*SQRT(T)*$C4338)</f>
        <v>0.75570326277737021</v>
      </c>
      <c r="E4338" s="5">
        <f ca="1">MAX(0,CP*(D4338-K))</f>
        <v>0</v>
      </c>
      <c r="F4338" s="4">
        <f ca="1">(CP*(D4338-K)&gt;0)*1</f>
        <v>0</v>
      </c>
      <c r="H4338" s="4">
        <v>4323</v>
      </c>
      <c r="I4338" s="3">
        <v>0.66783430245542208</v>
      </c>
      <c r="J4338" s="128">
        <v>1.5087749179126511E-3</v>
      </c>
      <c r="K4338" s="128"/>
      <c r="L4338" s="128">
        <v>4.2799999999999998E-2</v>
      </c>
      <c r="O4338" s="2"/>
    </row>
    <row r="4339" spans="2:15" x14ac:dyDescent="0.2">
      <c r="B4339" s="1">
        <f>B4338+1</f>
        <v>4324</v>
      </c>
      <c r="C4339" s="5">
        <f ca="1"/>
        <v>-0.18569748508786052</v>
      </c>
      <c r="D4339" s="5">
        <f ca="1">S0*EXP((μ-0.5*σ*σ)*T+σ*SQRT(T)*$C4339)</f>
        <v>0.65245097473438007</v>
      </c>
      <c r="E4339" s="5">
        <f ca="1">MAX(0,CP*(D4339-K))</f>
        <v>0</v>
      </c>
      <c r="F4339" s="4">
        <f ca="1">(CP*(D4339-K)&gt;0)*1</f>
        <v>0</v>
      </c>
      <c r="H4339" s="4">
        <v>4324</v>
      </c>
      <c r="I4339" s="3">
        <v>0.66760592934891161</v>
      </c>
      <c r="J4339" s="128">
        <v>1.1144572573490608E-3</v>
      </c>
      <c r="K4339" s="128"/>
      <c r="L4339" s="128">
        <v>3.8600000000000002E-2</v>
      </c>
      <c r="O4339" s="2"/>
    </row>
    <row r="4340" spans="2:15" x14ac:dyDescent="0.2">
      <c r="B4340" s="1">
        <f>B4339+1</f>
        <v>4325</v>
      </c>
      <c r="C4340" s="5">
        <f ca="1"/>
        <v>0.18758003072364376</v>
      </c>
      <c r="D4340" s="5">
        <f ca="1">S0*EXP((μ-0.5*σ*σ)*T+σ*SQRT(T)*$C4340)</f>
        <v>0.67690875653564764</v>
      </c>
      <c r="E4340" s="5">
        <f ca="1">MAX(0,CP*(D4340-K))</f>
        <v>0</v>
      </c>
      <c r="F4340" s="4">
        <f ca="1">(CP*(D4340-K)&gt;0)*1</f>
        <v>0</v>
      </c>
      <c r="H4340" s="4">
        <v>4325</v>
      </c>
      <c r="I4340" s="3">
        <v>0.66775076421915358</v>
      </c>
      <c r="J4340" s="128">
        <v>1.4260176113480827E-3</v>
      </c>
      <c r="K4340" s="128"/>
      <c r="L4340" s="128">
        <v>4.0800000000000003E-2</v>
      </c>
      <c r="O4340" s="2"/>
    </row>
    <row r="4341" spans="2:15" x14ac:dyDescent="0.2">
      <c r="B4341" s="1">
        <f>B4340+1</f>
        <v>4326</v>
      </c>
      <c r="C4341" s="5">
        <f ca="1"/>
        <v>1.7987655505994655</v>
      </c>
      <c r="D4341" s="5">
        <f ca="1">S0*EXP((μ-0.5*σ*σ)*T+σ*SQRT(T)*$C4341)</f>
        <v>0.79344100656923378</v>
      </c>
      <c r="E4341" s="5">
        <f ca="1">MAX(0,CP*(D4341-K))</f>
        <v>5.2410065692337637E-3</v>
      </c>
      <c r="F4341" s="4">
        <f ca="1">(CP*(D4341-K)&gt;0)*1</f>
        <v>1</v>
      </c>
      <c r="H4341" s="4">
        <v>4326</v>
      </c>
      <c r="I4341" s="3">
        <v>0.66760426863149835</v>
      </c>
      <c r="J4341" s="128">
        <v>1.3464821759141155E-3</v>
      </c>
      <c r="K4341" s="128"/>
      <c r="L4341" s="128">
        <v>4.1000000000000002E-2</v>
      </c>
      <c r="O4341" s="2"/>
    </row>
    <row r="4342" spans="2:15" x14ac:dyDescent="0.2">
      <c r="B4342" s="1">
        <f>B4341+1</f>
        <v>4327</v>
      </c>
      <c r="C4342" s="5">
        <f ca="1"/>
        <v>-0.16230873727264691</v>
      </c>
      <c r="D4342" s="5">
        <f ca="1">S0*EXP((μ-0.5*σ*σ)*T+σ*SQRT(T)*$C4342)</f>
        <v>0.65395715647546293</v>
      </c>
      <c r="E4342" s="5">
        <f ca="1">MAX(0,CP*(D4342-K))</f>
        <v>0</v>
      </c>
      <c r="F4342" s="4">
        <f ca="1">(CP*(D4342-K)&gt;0)*1</f>
        <v>0</v>
      </c>
      <c r="H4342" s="4">
        <v>4327</v>
      </c>
      <c r="I4342" s="3">
        <v>0.66764429466155173</v>
      </c>
      <c r="J4342" s="128">
        <v>1.2777796527012376E-3</v>
      </c>
      <c r="K4342" s="128"/>
      <c r="L4342" s="128">
        <v>3.8399999999999997E-2</v>
      </c>
      <c r="O4342" s="2"/>
    </row>
    <row r="4343" spans="2:15" x14ac:dyDescent="0.2">
      <c r="B4343" s="1">
        <f>B4342+1</f>
        <v>4328</v>
      </c>
      <c r="C4343" s="5">
        <f ca="1"/>
        <v>-0.28084939462619762</v>
      </c>
      <c r="D4343" s="5">
        <f ca="1">S0*EXP((μ-0.5*σ*σ)*T+σ*SQRT(T)*$C4343)</f>
        <v>0.6463590897711341</v>
      </c>
      <c r="E4343" s="5">
        <f ca="1">MAX(0,CP*(D4343-K))</f>
        <v>0</v>
      </c>
      <c r="F4343" s="4">
        <f ca="1">(CP*(D4343-K)&gt;0)*1</f>
        <v>0</v>
      </c>
      <c r="H4343" s="4">
        <v>4328</v>
      </c>
      <c r="I4343" s="3">
        <v>0.66776307659276279</v>
      </c>
      <c r="J4343" s="128">
        <v>1.4825006160792613E-3</v>
      </c>
      <c r="K4343" s="128"/>
      <c r="L4343" s="128">
        <v>4.5400000000000003E-2</v>
      </c>
      <c r="O4343" s="2"/>
    </row>
    <row r="4344" spans="2:15" x14ac:dyDescent="0.2">
      <c r="B4344" s="1">
        <f>B4343+1</f>
        <v>4329</v>
      </c>
      <c r="C4344" s="5">
        <f ca="1"/>
        <v>-0.155050591911467</v>
      </c>
      <c r="D4344" s="5">
        <f ca="1">S0*EXP((μ-0.5*σ*σ)*T+σ*SQRT(T)*$C4344)</f>
        <v>0.65442527095055658</v>
      </c>
      <c r="E4344" s="5">
        <f ca="1">MAX(0,CP*(D4344-K))</f>
        <v>0</v>
      </c>
      <c r="F4344" s="4">
        <f ca="1">(CP*(D4344-K)&gt;0)*1</f>
        <v>0</v>
      </c>
      <c r="H4344" s="4">
        <v>4329</v>
      </c>
      <c r="I4344" s="3">
        <v>0.66783567577580971</v>
      </c>
      <c r="J4344" s="128">
        <v>1.5313271872963395E-3</v>
      </c>
      <c r="K4344" s="128"/>
      <c r="L4344" s="128">
        <v>4.2000000000000003E-2</v>
      </c>
      <c r="O4344" s="2"/>
    </row>
    <row r="4345" spans="2:15" x14ac:dyDescent="0.2">
      <c r="B4345" s="1">
        <f>B4344+1</f>
        <v>4330</v>
      </c>
      <c r="C4345" s="5">
        <f ca="1"/>
        <v>-0.98663509386131287</v>
      </c>
      <c r="D4345" s="5">
        <f ca="1">S0*EXP((μ-0.5*σ*σ)*T+σ*SQRT(T)*$C4345)</f>
        <v>0.60291341111772778</v>
      </c>
      <c r="E4345" s="5">
        <f ca="1">MAX(0,CP*(D4345-K))</f>
        <v>0</v>
      </c>
      <c r="F4345" s="4">
        <f ca="1">(CP*(D4345-K)&gt;0)*1</f>
        <v>0</v>
      </c>
      <c r="H4345" s="4">
        <v>4330</v>
      </c>
      <c r="I4345" s="3">
        <v>0.66795734676981267</v>
      </c>
      <c r="J4345" s="128">
        <v>1.5256250968136466E-3</v>
      </c>
      <c r="K4345" s="128"/>
      <c r="L4345" s="128">
        <v>4.1599999999999998E-2</v>
      </c>
      <c r="O4345" s="2"/>
    </row>
    <row r="4346" spans="2:15" x14ac:dyDescent="0.2">
      <c r="B4346" s="1">
        <f>B4345+1</f>
        <v>4331</v>
      </c>
      <c r="C4346" s="5">
        <f ca="1"/>
        <v>0.5093025649807289</v>
      </c>
      <c r="D4346" s="5">
        <f ca="1">S0*EXP((μ-0.5*σ*σ)*T+σ*SQRT(T)*$C4346)</f>
        <v>0.69872294059560269</v>
      </c>
      <c r="E4346" s="5">
        <f ca="1">MAX(0,CP*(D4346-K))</f>
        <v>0</v>
      </c>
      <c r="F4346" s="4">
        <f ca="1">(CP*(D4346-K)&gt;0)*1</f>
        <v>0</v>
      </c>
      <c r="H4346" s="4">
        <v>4331</v>
      </c>
      <c r="I4346" s="3">
        <v>0.66754004499592534</v>
      </c>
      <c r="J4346" s="128">
        <v>1.1757475560227511E-3</v>
      </c>
      <c r="K4346" s="128"/>
      <c r="L4346" s="128">
        <v>3.9600000000000003E-2</v>
      </c>
      <c r="O4346" s="2"/>
    </row>
    <row r="4347" spans="2:15" x14ac:dyDescent="0.2">
      <c r="B4347" s="1">
        <f>B4346+1</f>
        <v>4332</v>
      </c>
      <c r="C4347" s="5">
        <f ca="1"/>
        <v>0.82764750569278789</v>
      </c>
      <c r="D4347" s="5">
        <f ca="1">S0*EXP((μ-0.5*σ*σ)*T+σ*SQRT(T)*$C4347)</f>
        <v>0.72099998788734387</v>
      </c>
      <c r="E4347" s="5">
        <f ca="1">MAX(0,CP*(D4347-K))</f>
        <v>0</v>
      </c>
      <c r="F4347" s="4">
        <f ca="1">(CP*(D4347-K)&gt;0)*1</f>
        <v>0</v>
      </c>
      <c r="H4347" s="4">
        <v>4332</v>
      </c>
      <c r="I4347" s="3">
        <v>0.66764926860253349</v>
      </c>
      <c r="J4347" s="128">
        <v>1.2710880995869698E-3</v>
      </c>
      <c r="K4347" s="128"/>
      <c r="L4347" s="128">
        <v>3.7600000000000001E-2</v>
      </c>
      <c r="O4347" s="2"/>
    </row>
    <row r="4348" spans="2:15" x14ac:dyDescent="0.2">
      <c r="B4348" s="1">
        <f>B4347+1</f>
        <v>4333</v>
      </c>
      <c r="C4348" s="5">
        <f ca="1"/>
        <v>-0.40818794977413281</v>
      </c>
      <c r="D4348" s="5">
        <f ca="1">S0*EXP((μ-0.5*σ*σ)*T+σ*SQRT(T)*$C4348)</f>
        <v>0.63829542828840102</v>
      </c>
      <c r="E4348" s="5">
        <f ca="1">MAX(0,CP*(D4348-K))</f>
        <v>0</v>
      </c>
      <c r="F4348" s="4">
        <f ca="1">(CP*(D4348-K)&gt;0)*1</f>
        <v>0</v>
      </c>
      <c r="H4348" s="4">
        <v>4333</v>
      </c>
      <c r="I4348" s="3">
        <v>0.66761182057985036</v>
      </c>
      <c r="J4348" s="128">
        <v>1.1557001378134548E-3</v>
      </c>
      <c r="K4348" s="128"/>
      <c r="L4348" s="128">
        <v>3.8800000000000001E-2</v>
      </c>
      <c r="O4348" s="2"/>
    </row>
    <row r="4349" spans="2:15" x14ac:dyDescent="0.2">
      <c r="B4349" s="1">
        <f>B4348+1</f>
        <v>4334</v>
      </c>
      <c r="C4349" s="5">
        <f ca="1"/>
        <v>0.23026979836057826</v>
      </c>
      <c r="D4349" s="5">
        <f ca="1">S0*EXP((μ-0.5*σ*σ)*T+σ*SQRT(T)*$C4349)</f>
        <v>0.67976364973854431</v>
      </c>
      <c r="E4349" s="5">
        <f ca="1">MAX(0,CP*(D4349-K))</f>
        <v>0</v>
      </c>
      <c r="F4349" s="4">
        <f ca="1">(CP*(D4349-K)&gt;0)*1</f>
        <v>0</v>
      </c>
      <c r="H4349" s="4">
        <v>4334</v>
      </c>
      <c r="I4349" s="3">
        <v>0.66778300964755277</v>
      </c>
      <c r="J4349" s="128">
        <v>1.4928076400218516E-3</v>
      </c>
      <c r="K4349" s="128"/>
      <c r="L4349" s="128">
        <v>4.5600000000000002E-2</v>
      </c>
      <c r="O4349" s="2"/>
    </row>
    <row r="4350" spans="2:15" x14ac:dyDescent="0.2">
      <c r="B4350" s="1">
        <f>B4349+1</f>
        <v>4335</v>
      </c>
      <c r="C4350" s="5">
        <f ca="1"/>
        <v>-1.9285659177371917</v>
      </c>
      <c r="D4350" s="5">
        <f ca="1">S0*EXP((μ-0.5*σ*σ)*T+σ*SQRT(T)*$C4350)</f>
        <v>0.54944628304088183</v>
      </c>
      <c r="E4350" s="5">
        <f ca="1">MAX(0,CP*(D4350-K))</f>
        <v>0</v>
      </c>
      <c r="F4350" s="4">
        <f ca="1">(CP*(D4350-K)&gt;0)*1</f>
        <v>0</v>
      </c>
      <c r="H4350" s="4">
        <v>4335</v>
      </c>
      <c r="I4350" s="3">
        <v>0.66790245493354883</v>
      </c>
      <c r="J4350" s="128">
        <v>1.6162765699424722E-3</v>
      </c>
      <c r="K4350" s="128"/>
      <c r="L4350" s="128">
        <v>4.4600000000000001E-2</v>
      </c>
      <c r="O4350" s="2"/>
    </row>
    <row r="4351" spans="2:15" x14ac:dyDescent="0.2">
      <c r="B4351" s="1">
        <f>B4350+1</f>
        <v>4336</v>
      </c>
      <c r="C4351" s="5">
        <f ca="1"/>
        <v>1.6554799378275545E-2</v>
      </c>
      <c r="D4351" s="5">
        <f ca="1">S0*EXP((μ-0.5*σ*σ)*T+σ*SQRT(T)*$C4351)</f>
        <v>0.6655911165194961</v>
      </c>
      <c r="E4351" s="5">
        <f ca="1">MAX(0,CP*(D4351-K))</f>
        <v>0</v>
      </c>
      <c r="F4351" s="4">
        <f ca="1">(CP*(D4351-K)&gt;0)*1</f>
        <v>0</v>
      </c>
      <c r="H4351" s="4">
        <v>4336</v>
      </c>
      <c r="I4351" s="3">
        <v>0.66769118013350148</v>
      </c>
      <c r="J4351" s="128">
        <v>1.4275842366025138E-3</v>
      </c>
      <c r="K4351" s="128"/>
      <c r="L4351" s="128">
        <v>4.2000000000000003E-2</v>
      </c>
      <c r="O4351" s="2"/>
    </row>
    <row r="4352" spans="2:15" x14ac:dyDescent="0.2">
      <c r="B4352" s="1">
        <f>B4351+1</f>
        <v>4337</v>
      </c>
      <c r="C4352" s="5">
        <f ca="1"/>
        <v>-1.3821808520190861</v>
      </c>
      <c r="D4352" s="5">
        <f ca="1">S0*EXP((μ-0.5*σ*σ)*T+σ*SQRT(T)*$C4352)</f>
        <v>0.57985480392027167</v>
      </c>
      <c r="E4352" s="5">
        <f ca="1">MAX(0,CP*(D4352-K))</f>
        <v>0</v>
      </c>
      <c r="F4352" s="4">
        <f ca="1">(CP*(D4352-K)&gt;0)*1</f>
        <v>0</v>
      </c>
      <c r="H4352" s="4">
        <v>4337</v>
      </c>
      <c r="I4352" s="3">
        <v>0.66769311572903434</v>
      </c>
      <c r="J4352" s="128">
        <v>1.3773160368744089E-3</v>
      </c>
      <c r="K4352" s="128"/>
      <c r="L4352" s="128">
        <v>0.04</v>
      </c>
      <c r="O4352" s="2"/>
    </row>
    <row r="4353" spans="2:15" x14ac:dyDescent="0.2">
      <c r="B4353" s="1">
        <f>B4352+1</f>
        <v>4338</v>
      </c>
      <c r="C4353" s="5">
        <f ca="1"/>
        <v>0.91550123917446125</v>
      </c>
      <c r="D4353" s="5">
        <f ca="1">S0*EXP((μ-0.5*σ*σ)*T+σ*SQRT(T)*$C4353)</f>
        <v>0.72727189084628008</v>
      </c>
      <c r="E4353" s="5">
        <f ca="1">MAX(0,CP*(D4353-K))</f>
        <v>0</v>
      </c>
      <c r="F4353" s="4">
        <f ca="1">(CP*(D4353-K)&gt;0)*1</f>
        <v>0</v>
      </c>
      <c r="H4353" s="4">
        <v>4338</v>
      </c>
      <c r="I4353" s="3">
        <v>0.66784003047821405</v>
      </c>
      <c r="J4353" s="128">
        <v>1.4846933525877368E-3</v>
      </c>
      <c r="K4353" s="128"/>
      <c r="L4353" s="128">
        <v>4.48E-2</v>
      </c>
      <c r="O4353" s="2"/>
    </row>
    <row r="4354" spans="2:15" x14ac:dyDescent="0.2">
      <c r="B4354" s="1">
        <f>B4353+1</f>
        <v>4339</v>
      </c>
      <c r="C4354" s="5">
        <f ca="1"/>
        <v>0.48691306254698702</v>
      </c>
      <c r="D4354" s="5">
        <f ca="1">S0*EXP((μ-0.5*σ*σ)*T+σ*SQRT(T)*$C4354)</f>
        <v>0.69718233333986723</v>
      </c>
      <c r="E4354" s="5">
        <f ca="1">MAX(0,CP*(D4354-K))</f>
        <v>0</v>
      </c>
      <c r="F4354" s="4">
        <f ca="1">(CP*(D4354-K)&gt;0)*1</f>
        <v>0</v>
      </c>
      <c r="H4354" s="4">
        <v>4339</v>
      </c>
      <c r="I4354" s="3">
        <v>0.66760279030162195</v>
      </c>
      <c r="J4354" s="128">
        <v>1.2276500045477153E-3</v>
      </c>
      <c r="K4354" s="128"/>
      <c r="L4354" s="128">
        <v>0.04</v>
      </c>
      <c r="O4354" s="2"/>
    </row>
    <row r="4355" spans="2:15" x14ac:dyDescent="0.2">
      <c r="B4355" s="1">
        <f>B4354+1</f>
        <v>4340</v>
      </c>
      <c r="C4355" s="5">
        <f ca="1"/>
        <v>-0.13516278382727498</v>
      </c>
      <c r="D4355" s="5">
        <f ca="1">S0*EXP((μ-0.5*σ*σ)*T+σ*SQRT(T)*$C4355)</f>
        <v>0.65570965389583158</v>
      </c>
      <c r="E4355" s="5">
        <f ca="1">MAX(0,CP*(D4355-K))</f>
        <v>0</v>
      </c>
      <c r="F4355" s="4">
        <f ca="1">(CP*(D4355-K)&gt;0)*1</f>
        <v>0</v>
      </c>
      <c r="H4355" s="4">
        <v>4340</v>
      </c>
      <c r="I4355" s="3">
        <v>0.66785570194741517</v>
      </c>
      <c r="J4355" s="128">
        <v>1.599872289260426E-3</v>
      </c>
      <c r="K4355" s="128"/>
      <c r="L4355" s="128">
        <v>4.2200000000000001E-2</v>
      </c>
      <c r="O4355" s="2"/>
    </row>
    <row r="4356" spans="2:15" x14ac:dyDescent="0.2">
      <c r="B4356" s="1">
        <f>B4355+1</f>
        <v>4341</v>
      </c>
      <c r="C4356" s="5">
        <f ca="1"/>
        <v>0.1141824073948407</v>
      </c>
      <c r="D4356" s="5">
        <f ca="1">S0*EXP((μ-0.5*σ*σ)*T+σ*SQRT(T)*$C4356)</f>
        <v>0.67202826570129437</v>
      </c>
      <c r="E4356" s="5">
        <f ca="1">MAX(0,CP*(D4356-K))</f>
        <v>0</v>
      </c>
      <c r="F4356" s="4">
        <f ca="1">(CP*(D4356-K)&gt;0)*1</f>
        <v>0</v>
      </c>
      <c r="H4356" s="4">
        <v>4341</v>
      </c>
      <c r="I4356" s="3">
        <v>0.66774622364818503</v>
      </c>
      <c r="J4356" s="128">
        <v>1.3363700141274895E-3</v>
      </c>
      <c r="K4356" s="128"/>
      <c r="L4356" s="128">
        <v>3.9199999999999999E-2</v>
      </c>
      <c r="O4356" s="2"/>
    </row>
    <row r="4357" spans="2:15" x14ac:dyDescent="0.2">
      <c r="B4357" s="1">
        <f>B4356+1</f>
        <v>4342</v>
      </c>
      <c r="C4357" s="5">
        <f ca="1"/>
        <v>-9.9090771639588723E-2</v>
      </c>
      <c r="D4357" s="5">
        <f ca="1">S0*EXP((μ-0.5*σ*σ)*T+σ*SQRT(T)*$C4357)</f>
        <v>0.65804567157763405</v>
      </c>
      <c r="E4357" s="5">
        <f ca="1">MAX(0,CP*(D4357-K))</f>
        <v>0</v>
      </c>
      <c r="F4357" s="4">
        <f ca="1">(CP*(D4357-K)&gt;0)*1</f>
        <v>0</v>
      </c>
      <c r="H4357" s="4">
        <v>4342</v>
      </c>
      <c r="I4357" s="3">
        <v>0.66776825218757796</v>
      </c>
      <c r="J4357" s="128">
        <v>1.3190720712005896E-3</v>
      </c>
      <c r="K4357" s="128"/>
      <c r="L4357" s="128">
        <v>4.3799999999999999E-2</v>
      </c>
      <c r="O4357" s="2"/>
    </row>
    <row r="4358" spans="2:15" x14ac:dyDescent="0.2">
      <c r="B4358" s="1">
        <f>B4357+1</f>
        <v>4343</v>
      </c>
      <c r="C4358" s="5">
        <f ca="1"/>
        <v>3.1965121951505511</v>
      </c>
      <c r="D4358" s="5">
        <f ca="1">S0*EXP((μ-0.5*σ*σ)*T+σ*SQRT(T)*$C4358)</f>
        <v>0.91066900194645806</v>
      </c>
      <c r="E4358" s="5">
        <f ca="1">MAX(0,CP*(D4358-K))</f>
        <v>0.12246900194645804</v>
      </c>
      <c r="F4358" s="4">
        <f ca="1">(CP*(D4358-K)&gt;0)*1</f>
        <v>1</v>
      </c>
      <c r="H4358" s="4">
        <v>4343</v>
      </c>
      <c r="I4358" s="3">
        <v>0.66760068585828247</v>
      </c>
      <c r="J4358" s="128">
        <v>1.2648700349728594E-3</v>
      </c>
      <c r="K4358" s="128"/>
      <c r="L4358" s="128">
        <v>3.8399999999999997E-2</v>
      </c>
      <c r="O4358" s="2"/>
    </row>
    <row r="4359" spans="2:15" x14ac:dyDescent="0.2">
      <c r="B4359" s="1">
        <f>B4358+1</f>
        <v>4344</v>
      </c>
      <c r="C4359" s="5">
        <f ca="1"/>
        <v>-0.58678648420086232</v>
      </c>
      <c r="D4359" s="5">
        <f ca="1">S0*EXP((μ-0.5*σ*σ)*T+σ*SQRT(T)*$C4359)</f>
        <v>0.62715495816242295</v>
      </c>
      <c r="E4359" s="5">
        <f ca="1">MAX(0,CP*(D4359-K))</f>
        <v>0</v>
      </c>
      <c r="F4359" s="4">
        <f ca="1">(CP*(D4359-K)&gt;0)*1</f>
        <v>0</v>
      </c>
      <c r="H4359" s="4">
        <v>4344</v>
      </c>
      <c r="I4359" s="3">
        <v>0.66794347401557241</v>
      </c>
      <c r="J4359" s="128">
        <v>1.5936550453485643E-3</v>
      </c>
      <c r="K4359" s="128"/>
      <c r="L4359" s="128">
        <v>4.6800000000000001E-2</v>
      </c>
      <c r="O4359" s="2"/>
    </row>
    <row r="4360" spans="2:15" x14ac:dyDescent="0.2">
      <c r="B4360" s="1">
        <f>B4359+1</f>
        <v>4345</v>
      </c>
      <c r="C4360" s="5">
        <f ca="1"/>
        <v>-1.668267232172765</v>
      </c>
      <c r="D4360" s="5">
        <f ca="1">S0*EXP((μ-0.5*σ*σ)*T+σ*SQRT(T)*$C4360)</f>
        <v>0.56372875320860383</v>
      </c>
      <c r="E4360" s="5">
        <f ca="1">MAX(0,CP*(D4360-K))</f>
        <v>0</v>
      </c>
      <c r="F4360" s="4">
        <f ca="1">(CP*(D4360-K)&gt;0)*1</f>
        <v>0</v>
      </c>
      <c r="H4360" s="4">
        <v>4345</v>
      </c>
      <c r="I4360" s="3">
        <v>0.66790089158094823</v>
      </c>
      <c r="J4360" s="128">
        <v>1.697017160842562E-3</v>
      </c>
      <c r="K4360" s="128"/>
      <c r="L4360" s="128">
        <v>4.6199999999999998E-2</v>
      </c>
      <c r="O4360" s="2"/>
    </row>
    <row r="4361" spans="2:15" x14ac:dyDescent="0.2">
      <c r="B4361" s="1">
        <f>B4360+1</f>
        <v>4346</v>
      </c>
      <c r="C4361" s="5">
        <f ca="1"/>
        <v>-0.18685058221944498</v>
      </c>
      <c r="D4361" s="5">
        <f ca="1">S0*EXP((μ-0.5*σ*σ)*T+σ*SQRT(T)*$C4361)</f>
        <v>0.65237680771749296</v>
      </c>
      <c r="E4361" s="5">
        <f ca="1">MAX(0,CP*(D4361-K))</f>
        <v>0</v>
      </c>
      <c r="F4361" s="4">
        <f ca="1">(CP*(D4361-K)&gt;0)*1</f>
        <v>0</v>
      </c>
      <c r="H4361" s="4">
        <v>4346</v>
      </c>
      <c r="I4361" s="3">
        <v>0.6678597294744022</v>
      </c>
      <c r="J4361" s="128">
        <v>1.5066759134616334E-3</v>
      </c>
      <c r="K4361" s="128"/>
      <c r="L4361" s="128">
        <v>4.3200000000000002E-2</v>
      </c>
      <c r="O4361" s="2"/>
    </row>
    <row r="4362" spans="2:15" x14ac:dyDescent="0.2">
      <c r="B4362" s="1">
        <f>B4361+1</f>
        <v>4347</v>
      </c>
      <c r="C4362" s="5">
        <f ca="1"/>
        <v>-0.61947065548914659</v>
      </c>
      <c r="D4362" s="5">
        <f ca="1">S0*EXP((μ-0.5*σ*σ)*T+σ*SQRT(T)*$C4362)</f>
        <v>0.62513736060387481</v>
      </c>
      <c r="E4362" s="5">
        <f ca="1">MAX(0,CP*(D4362-K))</f>
        <v>0</v>
      </c>
      <c r="F4362" s="4">
        <f ca="1">(CP*(D4362-K)&gt;0)*1</f>
        <v>0</v>
      </c>
      <c r="H4362" s="4">
        <v>4347</v>
      </c>
      <c r="I4362" s="3">
        <v>0.6677015198529993</v>
      </c>
      <c r="J4362" s="128">
        <v>1.3051089311207334E-3</v>
      </c>
      <c r="K4362" s="128"/>
      <c r="L4362" s="128">
        <v>3.7600000000000001E-2</v>
      </c>
      <c r="O4362" s="2"/>
    </row>
    <row r="4363" spans="2:15" x14ac:dyDescent="0.2">
      <c r="B4363" s="1">
        <f>B4362+1</f>
        <v>4348</v>
      </c>
      <c r="C4363" s="5">
        <f ca="1"/>
        <v>-0.81382061974901199</v>
      </c>
      <c r="D4363" s="5">
        <f ca="1">S0*EXP((μ-0.5*σ*σ)*T+σ*SQRT(T)*$C4363)</f>
        <v>0.6132734561545109</v>
      </c>
      <c r="E4363" s="5">
        <f ca="1">MAX(0,CP*(D4363-K))</f>
        <v>0</v>
      </c>
      <c r="F4363" s="4">
        <f ca="1">(CP*(D4363-K)&gt;0)*1</f>
        <v>0</v>
      </c>
      <c r="H4363" s="4">
        <v>4348</v>
      </c>
      <c r="I4363" s="3">
        <v>0.66764601797287038</v>
      </c>
      <c r="J4363" s="128">
        <v>1.1512625655594098E-3</v>
      </c>
      <c r="K4363" s="128"/>
      <c r="L4363" s="128">
        <v>3.7999999999999999E-2</v>
      </c>
      <c r="O4363" s="2"/>
    </row>
    <row r="4364" spans="2:15" x14ac:dyDescent="0.2">
      <c r="B4364" s="1">
        <f>B4363+1</f>
        <v>4349</v>
      </c>
      <c r="C4364" s="5">
        <f ca="1"/>
        <v>-0.49029899211897177</v>
      </c>
      <c r="D4364" s="5">
        <f ca="1">S0*EXP((μ-0.5*σ*σ)*T+σ*SQRT(T)*$C4364)</f>
        <v>0.63314920800121099</v>
      </c>
      <c r="E4364" s="5">
        <f ca="1">MAX(0,CP*(D4364-K))</f>
        <v>0</v>
      </c>
      <c r="F4364" s="4">
        <f ca="1">(CP*(D4364-K)&gt;0)*1</f>
        <v>0</v>
      </c>
      <c r="H4364" s="4">
        <v>4349</v>
      </c>
      <c r="I4364" s="3">
        <v>0.66784693059847555</v>
      </c>
      <c r="J4364" s="128">
        <v>1.3821293433883962E-3</v>
      </c>
      <c r="K4364" s="128"/>
      <c r="L4364" s="128">
        <v>4.3200000000000002E-2</v>
      </c>
      <c r="O4364" s="2"/>
    </row>
    <row r="4365" spans="2:15" x14ac:dyDescent="0.2">
      <c r="B4365" s="1">
        <f>B4364+1</f>
        <v>4350</v>
      </c>
      <c r="C4365" s="5">
        <f ca="1"/>
        <v>-0.87046099054079218</v>
      </c>
      <c r="D4365" s="5">
        <f ca="1">S0*EXP((μ-0.5*σ*σ)*T+σ*SQRT(T)*$C4365)</f>
        <v>0.60985846185141468</v>
      </c>
      <c r="E4365" s="5">
        <f ca="1">MAX(0,CP*(D4365-K))</f>
        <v>0</v>
      </c>
      <c r="F4365" s="4">
        <f ca="1">(CP*(D4365-K)&gt;0)*1</f>
        <v>0</v>
      </c>
      <c r="H4365" s="4">
        <v>4350</v>
      </c>
      <c r="I4365" s="3">
        <v>0.6678643135864899</v>
      </c>
      <c r="J4365" s="128">
        <v>1.4874037468549754E-3</v>
      </c>
      <c r="K4365" s="128"/>
      <c r="L4365" s="128">
        <v>4.3799999999999999E-2</v>
      </c>
      <c r="O4365" s="2"/>
    </row>
    <row r="4366" spans="2:15" x14ac:dyDescent="0.2">
      <c r="B4366" s="1">
        <f>B4365+1</f>
        <v>4351</v>
      </c>
      <c r="C4366" s="5">
        <f ca="1"/>
        <v>1.1118387476368621</v>
      </c>
      <c r="D4366" s="5">
        <f ca="1">S0*EXP((μ-0.5*σ*σ)*T+σ*SQRT(T)*$C4366)</f>
        <v>0.74148639684275086</v>
      </c>
      <c r="E4366" s="5">
        <f ca="1">MAX(0,CP*(D4366-K))</f>
        <v>0</v>
      </c>
      <c r="F4366" s="4">
        <f ca="1">(CP*(D4366-K)&gt;0)*1</f>
        <v>0</v>
      </c>
      <c r="H4366" s="4">
        <v>4351</v>
      </c>
      <c r="I4366" s="3">
        <v>0.66768183751600896</v>
      </c>
      <c r="J4366" s="128">
        <v>1.2242557738002633E-3</v>
      </c>
      <c r="K4366" s="128"/>
      <c r="L4366" s="128">
        <v>4.02E-2</v>
      </c>
      <c r="O4366" s="2"/>
    </row>
    <row r="4367" spans="2:15" x14ac:dyDescent="0.2">
      <c r="B4367" s="1">
        <f>B4366+1</f>
        <v>4352</v>
      </c>
      <c r="C4367" s="5">
        <f ca="1"/>
        <v>-2.3395098493891653</v>
      </c>
      <c r="D4367" s="5">
        <f ca="1">S0*EXP((μ-0.5*σ*σ)*T+σ*SQRT(T)*$C4367)</f>
        <v>0.5276309550558882</v>
      </c>
      <c r="E4367" s="5">
        <f ca="1">MAX(0,CP*(D4367-K))</f>
        <v>0</v>
      </c>
      <c r="F4367" s="4">
        <f ca="1">(CP*(D4367-K)&gt;0)*1</f>
        <v>0</v>
      </c>
      <c r="H4367" s="4">
        <v>4352</v>
      </c>
      <c r="I4367" s="3">
        <v>0.66783527239938834</v>
      </c>
      <c r="J4367" s="128">
        <v>1.5600148753378319E-3</v>
      </c>
      <c r="K4367" s="128"/>
      <c r="L4367" s="128">
        <v>4.4600000000000001E-2</v>
      </c>
      <c r="O4367" s="2"/>
    </row>
    <row r="4368" spans="2:15" x14ac:dyDescent="0.2">
      <c r="B4368" s="1">
        <f>B4367+1</f>
        <v>4353</v>
      </c>
      <c r="C4368" s="5">
        <f ca="1"/>
        <v>1.5197009842767326</v>
      </c>
      <c r="D4368" s="5">
        <f ca="1">S0*EXP((μ-0.5*σ*σ)*T+σ*SQRT(T)*$C4368)</f>
        <v>0.77190919640169808</v>
      </c>
      <c r="E4368" s="5">
        <f ca="1">MAX(0,CP*(D4368-K))</f>
        <v>0</v>
      </c>
      <c r="F4368" s="4">
        <f ca="1">(CP*(D4368-K)&gt;0)*1</f>
        <v>0</v>
      </c>
      <c r="H4368" s="4">
        <v>4353</v>
      </c>
      <c r="I4368" s="3">
        <v>0.6676743627659486</v>
      </c>
      <c r="J4368" s="128">
        <v>1.1721462524737643E-3</v>
      </c>
      <c r="K4368" s="128"/>
      <c r="L4368" s="128">
        <v>3.7999999999999999E-2</v>
      </c>
      <c r="O4368" s="2"/>
    </row>
    <row r="4369" spans="2:15" x14ac:dyDescent="0.2">
      <c r="B4369" s="1">
        <f>B4368+1</f>
        <v>4354</v>
      </c>
      <c r="C4369" s="5">
        <f ca="1"/>
        <v>-0.78300119192494233</v>
      </c>
      <c r="D4369" s="5">
        <f ca="1">S0*EXP((μ-0.5*σ*σ)*T+σ*SQRT(T)*$C4369)</f>
        <v>0.61513966571204082</v>
      </c>
      <c r="E4369" s="5">
        <f ca="1">MAX(0,CP*(D4369-K))</f>
        <v>0</v>
      </c>
      <c r="F4369" s="4">
        <f ca="1">(CP*(D4369-K)&gt;0)*1</f>
        <v>0</v>
      </c>
      <c r="H4369" s="4">
        <v>4354</v>
      </c>
      <c r="I4369" s="3">
        <v>0.66768894870735063</v>
      </c>
      <c r="J4369" s="128">
        <v>1.2895819333224377E-3</v>
      </c>
      <c r="K4369" s="128"/>
      <c r="L4369" s="128">
        <v>4.4400000000000002E-2</v>
      </c>
      <c r="O4369" s="2"/>
    </row>
    <row r="4370" spans="2:15" x14ac:dyDescent="0.2">
      <c r="B4370" s="1">
        <f>B4369+1</f>
        <v>4355</v>
      </c>
      <c r="C4370" s="5">
        <f ca="1"/>
        <v>0.12708695567785153</v>
      </c>
      <c r="D4370" s="5">
        <f ca="1">S0*EXP((μ-0.5*σ*σ)*T+σ*SQRT(T)*$C4370)</f>
        <v>0.67288378213673994</v>
      </c>
      <c r="E4370" s="5">
        <f ca="1">MAX(0,CP*(D4370-K))</f>
        <v>0</v>
      </c>
      <c r="F4370" s="4">
        <f ca="1">(CP*(D4370-K)&gt;0)*1</f>
        <v>0</v>
      </c>
      <c r="H4370" s="4">
        <v>4355</v>
      </c>
      <c r="I4370" s="3">
        <v>0.66764468435821422</v>
      </c>
      <c r="J4370" s="128">
        <v>1.2438630073910637E-3</v>
      </c>
      <c r="K4370" s="128"/>
      <c r="L4370" s="128">
        <v>4.1799999999999997E-2</v>
      </c>
      <c r="O4370" s="2"/>
    </row>
    <row r="4371" spans="2:15" x14ac:dyDescent="0.2">
      <c r="B4371" s="1">
        <f>B4370+1</f>
        <v>4356</v>
      </c>
      <c r="C4371" s="5">
        <f ca="1"/>
        <v>0.37742077423289211</v>
      </c>
      <c r="D4371" s="5">
        <f ca="1">S0*EXP((μ-0.5*σ*σ)*T+σ*SQRT(T)*$C4371)</f>
        <v>0.68969702449070713</v>
      </c>
      <c r="E4371" s="5">
        <f ca="1">MAX(0,CP*(D4371-K))</f>
        <v>0</v>
      </c>
      <c r="F4371" s="4">
        <f ca="1">(CP*(D4371-K)&gt;0)*1</f>
        <v>0</v>
      </c>
      <c r="H4371" s="4">
        <v>4356</v>
      </c>
      <c r="I4371" s="3">
        <v>0.66777228773810282</v>
      </c>
      <c r="J4371" s="128">
        <v>1.2764540424310524E-3</v>
      </c>
      <c r="K4371" s="128"/>
      <c r="L4371" s="128">
        <v>4.1799999999999997E-2</v>
      </c>
      <c r="O4371" s="2"/>
    </row>
    <row r="4372" spans="2:15" x14ac:dyDescent="0.2">
      <c r="B4372" s="1">
        <f>B4371+1</f>
        <v>4357</v>
      </c>
      <c r="C4372" s="5">
        <f ca="1"/>
        <v>-1.1411454514229413</v>
      </c>
      <c r="D4372" s="5">
        <f ca="1">S0*EXP((μ-0.5*σ*σ)*T+σ*SQRT(T)*$C4372)</f>
        <v>0.59379895613956035</v>
      </c>
      <c r="E4372" s="5">
        <f ca="1">MAX(0,CP*(D4372-K))</f>
        <v>0</v>
      </c>
      <c r="F4372" s="4">
        <f ca="1">(CP*(D4372-K)&gt;0)*1</f>
        <v>0</v>
      </c>
      <c r="H4372" s="4">
        <v>4357</v>
      </c>
      <c r="I4372" s="3">
        <v>0.66768365233872251</v>
      </c>
      <c r="J4372" s="128">
        <v>1.3103068817850643E-3</v>
      </c>
      <c r="K4372" s="128"/>
      <c r="L4372" s="128">
        <v>4.2599999999999999E-2</v>
      </c>
      <c r="O4372" s="2"/>
    </row>
    <row r="4373" spans="2:15" x14ac:dyDescent="0.2">
      <c r="B4373" s="1">
        <f>B4372+1</f>
        <v>4358</v>
      </c>
      <c r="C4373" s="5">
        <f ca="1"/>
        <v>0.10964244967168967</v>
      </c>
      <c r="D4373" s="5">
        <f ca="1">S0*EXP((μ-0.5*σ*σ)*T+σ*SQRT(T)*$C4373)</f>
        <v>0.67172754461506856</v>
      </c>
      <c r="E4373" s="5">
        <f ca="1">MAX(0,CP*(D4373-K))</f>
        <v>0</v>
      </c>
      <c r="F4373" s="4">
        <f ca="1">(CP*(D4373-K)&gt;0)*1</f>
        <v>0</v>
      </c>
      <c r="H4373" s="4">
        <v>4358</v>
      </c>
      <c r="I4373" s="3">
        <v>0.66765451392622333</v>
      </c>
      <c r="J4373" s="128">
        <v>1.2519908206512142E-3</v>
      </c>
      <c r="K4373" s="128"/>
      <c r="L4373" s="128">
        <v>3.9600000000000003E-2</v>
      </c>
      <c r="O4373" s="2"/>
    </row>
    <row r="4374" spans="2:15" x14ac:dyDescent="0.2">
      <c r="B4374" s="1">
        <f>B4373+1</f>
        <v>4359</v>
      </c>
      <c r="C4374" s="5">
        <f ca="1"/>
        <v>0.88922973046349907</v>
      </c>
      <c r="D4374" s="5">
        <f ca="1">S0*EXP((μ-0.5*σ*σ)*T+σ*SQRT(T)*$C4374)</f>
        <v>0.72539066369610783</v>
      </c>
      <c r="E4374" s="5">
        <f ca="1">MAX(0,CP*(D4374-K))</f>
        <v>0</v>
      </c>
      <c r="F4374" s="4">
        <f ca="1">(CP*(D4374-K)&gt;0)*1</f>
        <v>0</v>
      </c>
      <c r="H4374" s="4">
        <v>4359</v>
      </c>
      <c r="I4374" s="3">
        <v>0.66776679957907659</v>
      </c>
      <c r="J4374" s="128">
        <v>1.3268566901271576E-3</v>
      </c>
      <c r="K4374" s="128"/>
      <c r="L4374" s="128">
        <v>3.7999999999999999E-2</v>
      </c>
      <c r="O4374" s="2"/>
    </row>
    <row r="4375" spans="2:15" x14ac:dyDescent="0.2">
      <c r="B4375" s="1">
        <f>B4374+1</f>
        <v>4360</v>
      </c>
      <c r="C4375" s="5">
        <f ca="1"/>
        <v>5.9027429789762879E-2</v>
      </c>
      <c r="D4375" s="5">
        <f ca="1">S0*EXP((μ-0.5*σ*σ)*T+σ*SQRT(T)*$C4375)</f>
        <v>0.66838396881009177</v>
      </c>
      <c r="E4375" s="5">
        <f ca="1">MAX(0,CP*(D4375-K))</f>
        <v>0</v>
      </c>
      <c r="F4375" s="4">
        <f ca="1">(CP*(D4375-K)&gt;0)*1</f>
        <v>0</v>
      </c>
      <c r="H4375" s="4">
        <v>4360</v>
      </c>
      <c r="I4375" s="3">
        <v>0.66786155803542258</v>
      </c>
      <c r="J4375" s="128">
        <v>1.4612582181678054E-3</v>
      </c>
      <c r="K4375" s="128"/>
      <c r="L4375" s="128">
        <v>4.58E-2</v>
      </c>
      <c r="O4375" s="2"/>
    </row>
    <row r="4376" spans="2:15" x14ac:dyDescent="0.2">
      <c r="B4376" s="1">
        <f>B4375+1</f>
        <v>4361</v>
      </c>
      <c r="C4376" s="5">
        <f ca="1"/>
        <v>-0.14197888416679963</v>
      </c>
      <c r="D4376" s="5">
        <f ca="1">S0*EXP((μ-0.5*σ*σ)*T+σ*SQRT(T)*$C4376)</f>
        <v>0.65526917676774921</v>
      </c>
      <c r="E4376" s="5">
        <f ca="1">MAX(0,CP*(D4376-K))</f>
        <v>0</v>
      </c>
      <c r="F4376" s="4">
        <f ca="1">(CP*(D4376-K)&gt;0)*1</f>
        <v>0</v>
      </c>
      <c r="H4376" s="4">
        <v>4361</v>
      </c>
      <c r="I4376" s="3">
        <v>0.66763107470362582</v>
      </c>
      <c r="J4376" s="128">
        <v>1.3357314947646888E-3</v>
      </c>
      <c r="K4376" s="128"/>
      <c r="L4376" s="128">
        <v>4.02E-2</v>
      </c>
      <c r="O4376" s="2"/>
    </row>
    <row r="4377" spans="2:15" x14ac:dyDescent="0.2">
      <c r="B4377" s="1">
        <f>B4376+1</f>
        <v>4362</v>
      </c>
      <c r="C4377" s="5">
        <f ca="1"/>
        <v>-0.34445558240427115</v>
      </c>
      <c r="D4377" s="5">
        <f ca="1">S0*EXP((μ-0.5*σ*σ)*T+σ*SQRT(T)*$C4377)</f>
        <v>0.64231860030618482</v>
      </c>
      <c r="E4377" s="5">
        <f ca="1">MAX(0,CP*(D4377-K))</f>
        <v>0</v>
      </c>
      <c r="F4377" s="4">
        <f ca="1">(CP*(D4377-K)&gt;0)*1</f>
        <v>0</v>
      </c>
      <c r="H4377" s="4">
        <v>4362</v>
      </c>
      <c r="I4377" s="3">
        <v>0.66776415479695261</v>
      </c>
      <c r="J4377" s="128">
        <v>1.343383440675267E-3</v>
      </c>
      <c r="K4377" s="128"/>
      <c r="L4377" s="128">
        <v>4.1599999999999998E-2</v>
      </c>
      <c r="O4377" s="2"/>
    </row>
    <row r="4378" spans="2:15" x14ac:dyDescent="0.2">
      <c r="B4378" s="1">
        <f>B4377+1</f>
        <v>4363</v>
      </c>
      <c r="C4378" s="5">
        <f ca="1"/>
        <v>2.2478033324256153</v>
      </c>
      <c r="D4378" s="5">
        <f ca="1">S0*EXP((μ-0.5*σ*σ)*T+σ*SQRT(T)*$C4378)</f>
        <v>0.82935533160255859</v>
      </c>
      <c r="E4378" s="5">
        <f ca="1">MAX(0,CP*(D4378-K))</f>
        <v>4.1155331602558576E-2</v>
      </c>
      <c r="F4378" s="4">
        <f ca="1">(CP*(D4378-K)&gt;0)*1</f>
        <v>1</v>
      </c>
      <c r="H4378" s="4">
        <v>4363</v>
      </c>
      <c r="I4378" s="3">
        <v>0.66777329934598928</v>
      </c>
      <c r="J4378" s="128">
        <v>1.4648529074072719E-3</v>
      </c>
      <c r="K4378" s="128"/>
      <c r="L4378" s="128">
        <v>4.1799999999999997E-2</v>
      </c>
      <c r="O4378" s="2"/>
    </row>
    <row r="4379" spans="2:15" x14ac:dyDescent="0.2">
      <c r="B4379" s="1">
        <f>B4378+1</f>
        <v>4364</v>
      </c>
      <c r="C4379" s="5">
        <f ca="1"/>
        <v>-0.23177697794086771</v>
      </c>
      <c r="D4379" s="5">
        <f ca="1">S0*EXP((μ-0.5*σ*σ)*T+σ*SQRT(T)*$C4379)</f>
        <v>0.64949370322502165</v>
      </c>
      <c r="E4379" s="5">
        <f ca="1">MAX(0,CP*(D4379-K))</f>
        <v>0</v>
      </c>
      <c r="F4379" s="4">
        <f ca="1">(CP*(D4379-K)&gt;0)*1</f>
        <v>0</v>
      </c>
      <c r="H4379" s="4">
        <v>4364</v>
      </c>
      <c r="I4379" s="3">
        <v>0.66786677039094589</v>
      </c>
      <c r="J4379" s="128">
        <v>1.5423182322044798E-3</v>
      </c>
      <c r="K4379" s="128"/>
      <c r="L4379" s="128">
        <v>4.4200000000000003E-2</v>
      </c>
      <c r="O4379" s="2"/>
    </row>
    <row r="4380" spans="2:15" x14ac:dyDescent="0.2">
      <c r="B4380" s="1">
        <f>B4379+1</f>
        <v>4365</v>
      </c>
      <c r="C4380" s="5">
        <f ca="1"/>
        <v>1.2046960850380097</v>
      </c>
      <c r="D4380" s="5">
        <f ca="1">S0*EXP((μ-0.5*σ*σ)*T+σ*SQRT(T)*$C4380)</f>
        <v>0.74830555151360667</v>
      </c>
      <c r="E4380" s="5">
        <f ca="1">MAX(0,CP*(D4380-K))</f>
        <v>0</v>
      </c>
      <c r="F4380" s="4">
        <f ca="1">(CP*(D4380-K)&gt;0)*1</f>
        <v>0</v>
      </c>
      <c r="H4380" s="4">
        <v>4365</v>
      </c>
      <c r="I4380" s="3">
        <v>0.66768742577559637</v>
      </c>
      <c r="J4380" s="128">
        <v>1.425416942815023E-3</v>
      </c>
      <c r="K4380" s="128"/>
      <c r="L4380" s="128">
        <v>4.1599999999999998E-2</v>
      </c>
      <c r="O4380" s="2"/>
    </row>
    <row r="4381" spans="2:15" x14ac:dyDescent="0.2">
      <c r="B4381" s="1">
        <f>B4380+1</f>
        <v>4366</v>
      </c>
      <c r="C4381" s="5">
        <f ca="1"/>
        <v>-0.5021694656931196</v>
      </c>
      <c r="D4381" s="5">
        <f ca="1">S0*EXP((μ-0.5*σ*σ)*T+σ*SQRT(T)*$C4381)</f>
        <v>0.6324086795722943</v>
      </c>
      <c r="E4381" s="5">
        <f ca="1">MAX(0,CP*(D4381-K))</f>
        <v>0</v>
      </c>
      <c r="F4381" s="4">
        <f ca="1">(CP*(D4381-K)&gt;0)*1</f>
        <v>0</v>
      </c>
      <c r="H4381" s="4">
        <v>4366</v>
      </c>
      <c r="I4381" s="3">
        <v>0.66770972734699574</v>
      </c>
      <c r="J4381" s="128">
        <v>1.3512328389521536E-3</v>
      </c>
      <c r="K4381" s="128"/>
      <c r="L4381" s="128">
        <v>4.1799999999999997E-2</v>
      </c>
      <c r="O4381" s="2"/>
    </row>
    <row r="4382" spans="2:15" x14ac:dyDescent="0.2">
      <c r="B4382" s="1">
        <f>B4381+1</f>
        <v>4367</v>
      </c>
      <c r="C4382" s="5">
        <f ca="1"/>
        <v>1.4100701794230981</v>
      </c>
      <c r="D4382" s="5">
        <f ca="1">S0*EXP((μ-0.5*σ*σ)*T+σ*SQRT(T)*$C4382)</f>
        <v>0.76361115349607211</v>
      </c>
      <c r="E4382" s="5">
        <f ca="1">MAX(0,CP*(D4382-K))</f>
        <v>0</v>
      </c>
      <c r="F4382" s="4">
        <f ca="1">(CP*(D4382-K)&gt;0)*1</f>
        <v>0</v>
      </c>
      <c r="H4382" s="4">
        <v>4367</v>
      </c>
      <c r="I4382" s="3">
        <v>0.66770292438980872</v>
      </c>
      <c r="J4382" s="128">
        <v>1.296562932718275E-3</v>
      </c>
      <c r="K4382" s="128"/>
      <c r="L4382" s="128">
        <v>3.8800000000000001E-2</v>
      </c>
      <c r="O4382" s="2"/>
    </row>
    <row r="4383" spans="2:15" x14ac:dyDescent="0.2">
      <c r="B4383" s="1">
        <f>B4382+1</f>
        <v>4368</v>
      </c>
      <c r="C4383" s="5">
        <f ca="1"/>
        <v>-0.2633707792772953</v>
      </c>
      <c r="D4383" s="5">
        <f ca="1">S0*EXP((μ-0.5*σ*σ)*T+σ*SQRT(T)*$C4383)</f>
        <v>0.64747383813110004</v>
      </c>
      <c r="E4383" s="5">
        <f ca="1">MAX(0,CP*(D4383-K))</f>
        <v>0</v>
      </c>
      <c r="F4383" s="4">
        <f ca="1">(CP*(D4383-K)&gt;0)*1</f>
        <v>0</v>
      </c>
      <c r="H4383" s="4">
        <v>4368</v>
      </c>
      <c r="I4383" s="3">
        <v>0.66788222739214431</v>
      </c>
      <c r="J4383" s="128">
        <v>1.6860261269682287E-3</v>
      </c>
      <c r="K4383" s="128"/>
      <c r="L4383" s="128">
        <v>4.7199999999999999E-2</v>
      </c>
      <c r="O4383" s="2"/>
    </row>
    <row r="4384" spans="2:15" x14ac:dyDescent="0.2">
      <c r="B4384" s="1">
        <f>B4383+1</f>
        <v>4369</v>
      </c>
      <c r="C4384" s="5">
        <f ca="1"/>
        <v>-1.731227812754188</v>
      </c>
      <c r="D4384" s="5">
        <f ca="1">S0*EXP((μ-0.5*σ*σ)*T+σ*SQRT(T)*$C4384)</f>
        <v>0.56024045609412865</v>
      </c>
      <c r="E4384" s="5">
        <f ca="1">MAX(0,CP*(D4384-K))</f>
        <v>0</v>
      </c>
      <c r="F4384" s="4">
        <f ca="1">(CP*(D4384-K)&gt;0)*1</f>
        <v>0</v>
      </c>
      <c r="H4384" s="4">
        <v>4369</v>
      </c>
      <c r="I4384" s="3">
        <v>0.66771330927624417</v>
      </c>
      <c r="J4384" s="128">
        <v>1.3954041304520019E-3</v>
      </c>
      <c r="K4384" s="128"/>
      <c r="L4384" s="128">
        <v>4.1799999999999997E-2</v>
      </c>
      <c r="O4384" s="2"/>
    </row>
    <row r="4385" spans="2:15" x14ac:dyDescent="0.2">
      <c r="B4385" s="1">
        <f>B4384+1</f>
        <v>4370</v>
      </c>
      <c r="C4385" s="5">
        <f ca="1"/>
        <v>1.3821157949124128</v>
      </c>
      <c r="D4385" s="5">
        <f ca="1">S0*EXP((μ-0.5*σ*σ)*T+σ*SQRT(T)*$C4385)</f>
        <v>0.76150957503690919</v>
      </c>
      <c r="E4385" s="5">
        <f ca="1">MAX(0,CP*(D4385-K))</f>
        <v>0</v>
      </c>
      <c r="F4385" s="4">
        <f ca="1">(CP*(D4385-K)&gt;0)*1</f>
        <v>0</v>
      </c>
      <c r="H4385" s="4">
        <v>4370</v>
      </c>
      <c r="I4385" s="3">
        <v>0.66786392323122423</v>
      </c>
      <c r="J4385" s="128">
        <v>1.5506944384679432E-3</v>
      </c>
      <c r="K4385" s="128"/>
      <c r="L4385" s="128">
        <v>4.4600000000000001E-2</v>
      </c>
      <c r="O4385" s="2"/>
    </row>
    <row r="4386" spans="2:15" x14ac:dyDescent="0.2">
      <c r="B4386" s="1">
        <f>B4385+1</f>
        <v>4371</v>
      </c>
      <c r="C4386" s="5">
        <f ca="1"/>
        <v>-0.98583090800160156</v>
      </c>
      <c r="D4386" s="5">
        <f ca="1">S0*EXP((μ-0.5*σ*σ)*T+σ*SQRT(T)*$C4386)</f>
        <v>0.60296121358507437</v>
      </c>
      <c r="E4386" s="5">
        <f ca="1">MAX(0,CP*(D4386-K))</f>
        <v>0</v>
      </c>
      <c r="F4386" s="4">
        <f ca="1">(CP*(D4386-K)&gt;0)*1</f>
        <v>0</v>
      </c>
      <c r="H4386" s="4">
        <v>4371</v>
      </c>
      <c r="I4386" s="3">
        <v>0.66776852722675362</v>
      </c>
      <c r="J4386" s="128">
        <v>1.4161491942637642E-3</v>
      </c>
      <c r="K4386" s="128"/>
      <c r="L4386" s="128">
        <v>4.0800000000000003E-2</v>
      </c>
      <c r="O4386" s="2"/>
    </row>
    <row r="4387" spans="2:15" x14ac:dyDescent="0.2">
      <c r="B4387" s="1">
        <f>B4386+1</f>
        <v>4372</v>
      </c>
      <c r="C4387" s="5">
        <f ca="1"/>
        <v>-0.55922724273292412</v>
      </c>
      <c r="D4387" s="5">
        <f ca="1">S0*EXP((μ-0.5*σ*σ)*T+σ*SQRT(T)*$C4387)</f>
        <v>0.6288612525503553</v>
      </c>
      <c r="E4387" s="5">
        <f ca="1">MAX(0,CP*(D4387-K))</f>
        <v>0</v>
      </c>
      <c r="F4387" s="4">
        <f ca="1">(CP*(D4387-K)&gt;0)*1</f>
        <v>0</v>
      </c>
      <c r="H4387" s="4">
        <v>4372</v>
      </c>
      <c r="I4387" s="3">
        <v>0.66779382441197799</v>
      </c>
      <c r="J4387" s="128">
        <v>1.4779203956359658E-3</v>
      </c>
      <c r="K4387" s="128"/>
      <c r="L4387" s="128">
        <v>4.6800000000000001E-2</v>
      </c>
      <c r="O4387" s="2"/>
    </row>
    <row r="4388" spans="2:15" x14ac:dyDescent="0.2">
      <c r="B4388" s="1">
        <f>B4387+1</f>
        <v>4373</v>
      </c>
      <c r="C4388" s="5">
        <f ca="1"/>
        <v>0.86353492373573471</v>
      </c>
      <c r="D4388" s="5">
        <f ca="1">S0*EXP((μ-0.5*σ*σ)*T+σ*SQRT(T)*$C4388)</f>
        <v>0.72355543969945302</v>
      </c>
      <c r="E4388" s="5">
        <f ca="1">MAX(0,CP*(D4388-K))</f>
        <v>0</v>
      </c>
      <c r="F4388" s="4">
        <f ca="1">(CP*(D4388-K)&gt;0)*1</f>
        <v>0</v>
      </c>
      <c r="H4388" s="4">
        <v>4373</v>
      </c>
      <c r="I4388" s="3">
        <v>0.66766380114566981</v>
      </c>
      <c r="J4388" s="128">
        <v>1.2140444998027648E-3</v>
      </c>
      <c r="K4388" s="128"/>
      <c r="L4388" s="128">
        <v>3.8800000000000001E-2</v>
      </c>
      <c r="O4388" s="2"/>
    </row>
    <row r="4389" spans="2:15" x14ac:dyDescent="0.2">
      <c r="B4389" s="1">
        <f>B4388+1</f>
        <v>4374</v>
      </c>
      <c r="C4389" s="5">
        <f ca="1"/>
        <v>-0.46028372422867697</v>
      </c>
      <c r="D4389" s="5">
        <f ca="1">S0*EXP((μ-0.5*σ*σ)*T+σ*SQRT(T)*$C4389)</f>
        <v>0.63502555318819898</v>
      </c>
      <c r="E4389" s="5">
        <f ca="1">MAX(0,CP*(D4389-K))</f>
        <v>0</v>
      </c>
      <c r="F4389" s="4">
        <f ca="1">(CP*(D4389-K)&gt;0)*1</f>
        <v>0</v>
      </c>
      <c r="H4389" s="4">
        <v>4374</v>
      </c>
      <c r="I4389" s="3">
        <v>0.66781298657738064</v>
      </c>
      <c r="J4389" s="128">
        <v>1.5504403072633503E-3</v>
      </c>
      <c r="K4389" s="128"/>
      <c r="L4389" s="128">
        <v>4.0399999999999998E-2</v>
      </c>
      <c r="O4389" s="2"/>
    </row>
    <row r="4390" spans="2:15" x14ac:dyDescent="0.2">
      <c r="B4390" s="1">
        <f>B4389+1</f>
        <v>4375</v>
      </c>
      <c r="C4390" s="5">
        <f ca="1"/>
        <v>-0.10921846545638782</v>
      </c>
      <c r="D4390" s="5">
        <f ca="1">S0*EXP((μ-0.5*σ*σ)*T+σ*SQRT(T)*$C4390)</f>
        <v>0.65738896476005482</v>
      </c>
      <c r="E4390" s="5">
        <f ca="1">MAX(0,CP*(D4390-K))</f>
        <v>0</v>
      </c>
      <c r="F4390" s="4">
        <f ca="1">(CP*(D4390-K)&gt;0)*1</f>
        <v>0</v>
      </c>
      <c r="H4390" s="4">
        <v>4375</v>
      </c>
      <c r="I4390" s="3">
        <v>0.66771522208425471</v>
      </c>
      <c r="J4390" s="128">
        <v>1.3061342577458681E-3</v>
      </c>
      <c r="K4390" s="128"/>
      <c r="L4390" s="128">
        <v>4.0399999999999998E-2</v>
      </c>
      <c r="O4390" s="2"/>
    </row>
    <row r="4391" spans="2:15" x14ac:dyDescent="0.2">
      <c r="B4391" s="1">
        <f>B4390+1</f>
        <v>4376</v>
      </c>
      <c r="C4391" s="5">
        <f ca="1"/>
        <v>-0.46536472082423996</v>
      </c>
      <c r="D4391" s="5">
        <f ca="1">S0*EXP((μ-0.5*σ*σ)*T+σ*SQRT(T)*$C4391)</f>
        <v>0.63470753419631742</v>
      </c>
      <c r="E4391" s="5">
        <f ca="1">MAX(0,CP*(D4391-K))</f>
        <v>0</v>
      </c>
      <c r="F4391" s="4">
        <f ca="1">(CP*(D4391-K)&gt;0)*1</f>
        <v>0</v>
      </c>
      <c r="H4391" s="4">
        <v>4376</v>
      </c>
      <c r="I4391" s="3">
        <v>0.66797746246370349</v>
      </c>
      <c r="J4391" s="128">
        <v>1.5483058743629564E-3</v>
      </c>
      <c r="K4391" s="128"/>
      <c r="L4391" s="128">
        <v>4.6600000000000003E-2</v>
      </c>
      <c r="O4391" s="2"/>
    </row>
    <row r="4392" spans="2:15" x14ac:dyDescent="0.2">
      <c r="B4392" s="1">
        <f>B4391+1</f>
        <v>4377</v>
      </c>
      <c r="C4392" s="5">
        <f ca="1"/>
        <v>0.10317559949703599</v>
      </c>
      <c r="D4392" s="5">
        <f ca="1">S0*EXP((μ-0.5*σ*σ)*T+σ*SQRT(T)*$C4392)</f>
        <v>0.67129942094275508</v>
      </c>
      <c r="E4392" s="5">
        <f ca="1">MAX(0,CP*(D4392-K))</f>
        <v>0</v>
      </c>
      <c r="F4392" s="4">
        <f ca="1">(CP*(D4392-K)&gt;0)*1</f>
        <v>0</v>
      </c>
      <c r="H4392" s="4">
        <v>4377</v>
      </c>
      <c r="I4392" s="3">
        <v>0.66776678665190237</v>
      </c>
      <c r="J4392" s="128">
        <v>1.4594089687546298E-3</v>
      </c>
      <c r="K4392" s="128"/>
      <c r="L4392" s="128">
        <v>4.5400000000000003E-2</v>
      </c>
      <c r="O4392" s="2"/>
    </row>
    <row r="4393" spans="2:15" x14ac:dyDescent="0.2">
      <c r="B4393" s="1">
        <f>B4392+1</f>
        <v>4378</v>
      </c>
      <c r="C4393" s="5">
        <f ca="1"/>
        <v>-0.57002259108638997</v>
      </c>
      <c r="D4393" s="5">
        <f ca="1">S0*EXP((μ-0.5*σ*σ)*T+σ*SQRT(T)*$C4393)</f>
        <v>0.62819232030432226</v>
      </c>
      <c r="E4393" s="5">
        <f ca="1">MAX(0,CP*(D4393-K))</f>
        <v>0</v>
      </c>
      <c r="F4393" s="4">
        <f ca="1">(CP*(D4393-K)&gt;0)*1</f>
        <v>0</v>
      </c>
      <c r="H4393" s="4">
        <v>4378</v>
      </c>
      <c r="I4393" s="3">
        <v>0.66761924442542309</v>
      </c>
      <c r="J4393" s="128">
        <v>1.4290229332574135E-3</v>
      </c>
      <c r="K4393" s="128"/>
      <c r="L4393" s="128">
        <v>0.04</v>
      </c>
      <c r="O4393" s="2"/>
    </row>
    <row r="4394" spans="2:15" x14ac:dyDescent="0.2">
      <c r="B4394" s="1">
        <f>B4393+1</f>
        <v>4379</v>
      </c>
      <c r="C4394" s="5">
        <f ca="1"/>
        <v>2.0115566866430128</v>
      </c>
      <c r="D4394" s="5">
        <f ca="1">S0*EXP((μ-0.5*σ*σ)*T+σ*SQRT(T)*$C4394)</f>
        <v>0.81026206391729039</v>
      </c>
      <c r="E4394" s="5">
        <f ca="1">MAX(0,CP*(D4394-K))</f>
        <v>2.2062063917290375E-2</v>
      </c>
      <c r="F4394" s="4">
        <f ca="1">(CP*(D4394-K)&gt;0)*1</f>
        <v>1</v>
      </c>
      <c r="H4394" s="4">
        <v>4379</v>
      </c>
      <c r="I4394" s="3">
        <v>0.66765882669760435</v>
      </c>
      <c r="J4394" s="128">
        <v>1.2591668455580881E-3</v>
      </c>
      <c r="K4394" s="128"/>
      <c r="L4394" s="128">
        <v>3.7999999999999999E-2</v>
      </c>
      <c r="O4394" s="2"/>
    </row>
    <row r="4395" spans="2:15" x14ac:dyDescent="0.2">
      <c r="B4395" s="1">
        <f>B4394+1</f>
        <v>4380</v>
      </c>
      <c r="C4395" s="5">
        <f ca="1"/>
        <v>-1.0961244977956222</v>
      </c>
      <c r="D4395" s="5">
        <f ca="1">S0*EXP((μ-0.5*σ*σ)*T+σ*SQRT(T)*$C4395)</f>
        <v>0.59644039160845796</v>
      </c>
      <c r="E4395" s="5">
        <f ca="1">MAX(0,CP*(D4395-K))</f>
        <v>0</v>
      </c>
      <c r="F4395" s="4">
        <f ca="1">(CP*(D4395-K)&gt;0)*1</f>
        <v>0</v>
      </c>
      <c r="H4395" s="4">
        <v>4380</v>
      </c>
      <c r="I4395" s="3">
        <v>0.66784613079565602</v>
      </c>
      <c r="J4395" s="128">
        <v>1.5168191898310833E-3</v>
      </c>
      <c r="K4395" s="128"/>
      <c r="L4395" s="128">
        <v>4.3999999999999997E-2</v>
      </c>
      <c r="O4395" s="2"/>
    </row>
    <row r="4396" spans="2:15" x14ac:dyDescent="0.2">
      <c r="B4396" s="1">
        <f>B4395+1</f>
        <v>4381</v>
      </c>
      <c r="C4396" s="5">
        <f ca="1"/>
        <v>-1.3501202863534403</v>
      </c>
      <c r="D4396" s="5">
        <f ca="1">S0*EXP((μ-0.5*σ*σ)*T+σ*SQRT(T)*$C4396)</f>
        <v>0.58169049118077754</v>
      </c>
      <c r="E4396" s="5">
        <f ca="1">MAX(0,CP*(D4396-K))</f>
        <v>0</v>
      </c>
      <c r="F4396" s="4">
        <f ca="1">(CP*(D4396-K)&gt;0)*1</f>
        <v>0</v>
      </c>
      <c r="H4396" s="4">
        <v>4381</v>
      </c>
      <c r="I4396" s="3">
        <v>0.66777776118698462</v>
      </c>
      <c r="J4396" s="128">
        <v>1.3725929526815332E-3</v>
      </c>
      <c r="K4396" s="128"/>
      <c r="L4396" s="128">
        <v>4.5999999999999999E-2</v>
      </c>
      <c r="O4396" s="2"/>
    </row>
    <row r="4397" spans="2:15" x14ac:dyDescent="0.2">
      <c r="B4397" s="1">
        <f>B4396+1</f>
        <v>4382</v>
      </c>
      <c r="C4397" s="5">
        <f ca="1"/>
        <v>0.49145503694042808</v>
      </c>
      <c r="D4397" s="5">
        <f ca="1">S0*EXP((μ-0.5*σ*σ)*T+σ*SQRT(T)*$C4397)</f>
        <v>0.6974945887802112</v>
      </c>
      <c r="E4397" s="5">
        <f ca="1">MAX(0,CP*(D4397-K))</f>
        <v>0</v>
      </c>
      <c r="F4397" s="4">
        <f ca="1">(CP*(D4397-K)&gt;0)*1</f>
        <v>0</v>
      </c>
      <c r="H4397" s="4">
        <v>4382</v>
      </c>
      <c r="I4397" s="3">
        <v>0.66783272403871852</v>
      </c>
      <c r="J4397" s="128">
        <v>1.4580464334698294E-3</v>
      </c>
      <c r="K4397" s="128"/>
      <c r="L4397" s="128">
        <v>4.2999999999999997E-2</v>
      </c>
      <c r="O4397" s="2"/>
    </row>
    <row r="4398" spans="2:15" x14ac:dyDescent="0.2">
      <c r="B4398" s="1">
        <f>B4397+1</f>
        <v>4383</v>
      </c>
      <c r="C4398" s="5">
        <f ca="1"/>
        <v>8.8447887954457377E-2</v>
      </c>
      <c r="D4398" s="5">
        <f ca="1">S0*EXP((μ-0.5*σ*σ)*T+σ*SQRT(T)*$C4398)</f>
        <v>0.67032542306648923</v>
      </c>
      <c r="E4398" s="5">
        <f ca="1">MAX(0,CP*(D4398-K))</f>
        <v>0</v>
      </c>
      <c r="F4398" s="4">
        <f ca="1">(CP*(D4398-K)&gt;0)*1</f>
        <v>0</v>
      </c>
      <c r="H4398" s="4">
        <v>4383</v>
      </c>
      <c r="I4398" s="3">
        <v>0.66791756010667636</v>
      </c>
      <c r="J4398" s="128">
        <v>1.5006980351201145E-3</v>
      </c>
      <c r="K4398" s="128"/>
      <c r="L4398" s="128">
        <v>4.6399999999999997E-2</v>
      </c>
      <c r="O4398" s="2"/>
    </row>
    <row r="4399" spans="2:15" x14ac:dyDescent="0.2">
      <c r="B4399" s="1">
        <f>B4398+1</f>
        <v>4384</v>
      </c>
      <c r="C4399" s="5">
        <f ca="1"/>
        <v>-0.22424042860439378</v>
      </c>
      <c r="D4399" s="5">
        <f ca="1">S0*EXP((μ-0.5*σ*σ)*T+σ*SQRT(T)*$C4399)</f>
        <v>0.64997646243117102</v>
      </c>
      <c r="E4399" s="5">
        <f ca="1">MAX(0,CP*(D4399-K))</f>
        <v>0</v>
      </c>
      <c r="F4399" s="4">
        <f ca="1">(CP*(D4399-K)&gt;0)*1</f>
        <v>0</v>
      </c>
      <c r="H4399" s="4">
        <v>4384</v>
      </c>
      <c r="I4399" s="3">
        <v>0.66784830018264074</v>
      </c>
      <c r="J4399" s="128">
        <v>1.4492159744643783E-3</v>
      </c>
      <c r="K4399" s="128"/>
      <c r="L4399" s="128">
        <v>4.3200000000000002E-2</v>
      </c>
      <c r="O4399" s="2"/>
    </row>
    <row r="4400" spans="2:15" x14ac:dyDescent="0.2">
      <c r="B4400" s="1">
        <f>B4399+1</f>
        <v>4385</v>
      </c>
      <c r="C4400" s="5">
        <f ca="1"/>
        <v>1.4971466528460697</v>
      </c>
      <c r="D4400" s="5">
        <f ca="1">S0*EXP((μ-0.5*σ*σ)*T+σ*SQRT(T)*$C4400)</f>
        <v>0.77019470567666759</v>
      </c>
      <c r="E4400" s="5">
        <f ca="1">MAX(0,CP*(D4400-K))</f>
        <v>0</v>
      </c>
      <c r="F4400" s="4">
        <f ca="1">(CP*(D4400-K)&gt;0)*1</f>
        <v>0</v>
      </c>
      <c r="H4400" s="4">
        <v>4385</v>
      </c>
      <c r="I4400" s="3">
        <v>0.66787340961704444</v>
      </c>
      <c r="J4400" s="128">
        <v>1.493002210271978E-3</v>
      </c>
      <c r="K4400" s="128"/>
      <c r="L4400" s="128">
        <v>4.6399999999999997E-2</v>
      </c>
      <c r="O4400" s="2"/>
    </row>
    <row r="4401" spans="2:15" x14ac:dyDescent="0.2">
      <c r="B4401" s="1">
        <f>B4400+1</f>
        <v>4386</v>
      </c>
      <c r="C4401" s="5">
        <f ca="1"/>
        <v>2.213112938896777</v>
      </c>
      <c r="D4401" s="5">
        <f ca="1">S0*EXP((μ-0.5*σ*σ)*T+σ*SQRT(T)*$C4401)</f>
        <v>0.82652374957071828</v>
      </c>
      <c r="E4401" s="5">
        <f ca="1">MAX(0,CP*(D4401-K))</f>
        <v>3.8323749570718268E-2</v>
      </c>
      <c r="F4401" s="4">
        <f ca="1">(CP*(D4401-K)&gt;0)*1</f>
        <v>1</v>
      </c>
      <c r="H4401" s="4">
        <v>4386</v>
      </c>
      <c r="I4401" s="3">
        <v>0.66781148315299288</v>
      </c>
      <c r="J4401" s="128">
        <v>1.4995084131754436E-3</v>
      </c>
      <c r="K4401" s="128"/>
      <c r="L4401" s="128">
        <v>4.5199999999999997E-2</v>
      </c>
      <c r="O4401" s="2"/>
    </row>
    <row r="4402" spans="2:15" x14ac:dyDescent="0.2">
      <c r="B4402" s="1">
        <f>B4401+1</f>
        <v>4387</v>
      </c>
      <c r="C4402" s="5">
        <f ca="1"/>
        <v>1.0332625623546525</v>
      </c>
      <c r="D4402" s="5">
        <f ca="1">S0*EXP((μ-0.5*σ*σ)*T+σ*SQRT(T)*$C4402)</f>
        <v>0.73576456913385468</v>
      </c>
      <c r="E4402" s="5">
        <f ca="1">MAX(0,CP*(D4402-K))</f>
        <v>0</v>
      </c>
      <c r="F4402" s="4">
        <f ca="1">(CP*(D4402-K)&gt;0)*1</f>
        <v>0</v>
      </c>
      <c r="H4402" s="4">
        <v>4387</v>
      </c>
      <c r="I4402" s="3">
        <v>0.6678461844790099</v>
      </c>
      <c r="J4402" s="128">
        <v>1.4596303501461562E-3</v>
      </c>
      <c r="K4402" s="128"/>
      <c r="L4402" s="128">
        <v>4.5999999999999999E-2</v>
      </c>
      <c r="O4402" s="2"/>
    </row>
    <row r="4403" spans="2:15" x14ac:dyDescent="0.2">
      <c r="B4403" s="1">
        <f>B4402+1</f>
        <v>4388</v>
      </c>
      <c r="C4403" s="5">
        <f ca="1"/>
        <v>0.28579606924964068</v>
      </c>
      <c r="D4403" s="5">
        <f ca="1">S0*EXP((μ-0.5*σ*σ)*T+σ*SQRT(T)*$C4403)</f>
        <v>0.68349501198942764</v>
      </c>
      <c r="E4403" s="5">
        <f ca="1">MAX(0,CP*(D4403-K))</f>
        <v>0</v>
      </c>
      <c r="F4403" s="4">
        <f ca="1">(CP*(D4403-K)&gt;0)*1</f>
        <v>0</v>
      </c>
      <c r="H4403" s="4">
        <v>4388</v>
      </c>
      <c r="I4403" s="3">
        <v>0.66772993011161674</v>
      </c>
      <c r="J4403" s="128">
        <v>1.3198308080202127E-3</v>
      </c>
      <c r="K4403" s="128"/>
      <c r="L4403" s="128">
        <v>3.9199999999999999E-2</v>
      </c>
      <c r="O4403" s="2"/>
    </row>
    <row r="4404" spans="2:15" x14ac:dyDescent="0.2">
      <c r="B4404" s="1">
        <f>B4403+1</f>
        <v>4389</v>
      </c>
      <c r="C4404" s="5">
        <f ca="1"/>
        <v>0.43542262573448226</v>
      </c>
      <c r="D4404" s="5">
        <f ca="1">S0*EXP((μ-0.5*σ*σ)*T+σ*SQRT(T)*$C4404)</f>
        <v>0.6936521860227608</v>
      </c>
      <c r="E4404" s="5">
        <f ca="1">MAX(0,CP*(D4404-K))</f>
        <v>0</v>
      </c>
      <c r="F4404" s="4">
        <f ca="1">(CP*(D4404-K)&gt;0)*1</f>
        <v>0</v>
      </c>
      <c r="H4404" s="4">
        <v>4389</v>
      </c>
      <c r="I4404" s="3">
        <v>0.66793312578422614</v>
      </c>
      <c r="J4404" s="128">
        <v>1.662069080826057E-3</v>
      </c>
      <c r="K4404" s="128"/>
      <c r="L4404" s="128">
        <v>5.04E-2</v>
      </c>
      <c r="O4404" s="2"/>
    </row>
    <row r="4405" spans="2:15" x14ac:dyDescent="0.2">
      <c r="B4405" s="1">
        <f>B4404+1</f>
        <v>4390</v>
      </c>
      <c r="C4405" s="5">
        <f ca="1"/>
        <v>-0.11133389198453636</v>
      </c>
      <c r="D4405" s="5">
        <f ca="1">S0*EXP((μ-0.5*σ*σ)*T+σ*SQRT(T)*$C4405)</f>
        <v>0.65725187759667136</v>
      </c>
      <c r="E4405" s="5">
        <f ca="1">MAX(0,CP*(D4405-K))</f>
        <v>0</v>
      </c>
      <c r="F4405" s="4">
        <f ca="1">(CP*(D4405-K)&gt;0)*1</f>
        <v>0</v>
      </c>
      <c r="H4405" s="4">
        <v>4390</v>
      </c>
      <c r="I4405" s="3">
        <v>0.66761398262285598</v>
      </c>
      <c r="J4405" s="128">
        <v>1.2950611575405298E-3</v>
      </c>
      <c r="K4405" s="128"/>
      <c r="L4405" s="128">
        <v>3.7600000000000001E-2</v>
      </c>
      <c r="O4405" s="2"/>
    </row>
    <row r="4406" spans="2:15" x14ac:dyDescent="0.2">
      <c r="B4406" s="1">
        <f>B4405+1</f>
        <v>4391</v>
      </c>
      <c r="C4406" s="5">
        <f ca="1"/>
        <v>-0.20589232802590565</v>
      </c>
      <c r="D4406" s="5">
        <f ca="1">S0*EXP((μ-0.5*σ*σ)*T+σ*SQRT(T)*$C4406)</f>
        <v>0.65115326421439512</v>
      </c>
      <c r="E4406" s="5">
        <f ca="1">MAX(0,CP*(D4406-K))</f>
        <v>0</v>
      </c>
      <c r="F4406" s="4">
        <f ca="1">(CP*(D4406-K)&gt;0)*1</f>
        <v>0</v>
      </c>
      <c r="H4406" s="4">
        <v>4391</v>
      </c>
      <c r="I4406" s="3">
        <v>0.66763114645422328</v>
      </c>
      <c r="J4406" s="128">
        <v>1.2438941040834291E-3</v>
      </c>
      <c r="K4406" s="128"/>
      <c r="L4406" s="128">
        <v>3.8600000000000002E-2</v>
      </c>
      <c r="O4406" s="2"/>
    </row>
    <row r="4407" spans="2:15" x14ac:dyDescent="0.2">
      <c r="B4407" s="1">
        <f>B4406+1</f>
        <v>4392</v>
      </c>
      <c r="C4407" s="5">
        <f ca="1"/>
        <v>0.58579316432321438</v>
      </c>
      <c r="D4407" s="5">
        <f ca="1">S0*EXP((μ-0.5*σ*σ)*T+σ*SQRT(T)*$C4407)</f>
        <v>0.70401193766386838</v>
      </c>
      <c r="E4407" s="5">
        <f ca="1">MAX(0,CP*(D4407-K))</f>
        <v>0</v>
      </c>
      <c r="F4407" s="4">
        <f ca="1">(CP*(D4407-K)&gt;0)*1</f>
        <v>0</v>
      </c>
      <c r="H4407" s="4">
        <v>4392</v>
      </c>
      <c r="I4407" s="3">
        <v>0.66779336301901382</v>
      </c>
      <c r="J4407" s="128">
        <v>1.5284829230106959E-3</v>
      </c>
      <c r="K4407" s="128"/>
      <c r="L4407" s="128">
        <v>4.4400000000000002E-2</v>
      </c>
      <c r="O4407" s="2"/>
    </row>
    <row r="4408" spans="2:15" x14ac:dyDescent="0.2">
      <c r="B4408" s="1">
        <f>B4407+1</f>
        <v>4393</v>
      </c>
      <c r="C4408" s="5">
        <f ca="1"/>
        <v>0.33883578830785377</v>
      </c>
      <c r="D4408" s="5">
        <f ca="1">S0*EXP((μ-0.5*σ*σ)*T+σ*SQRT(T)*$C4408)</f>
        <v>0.68707840344687132</v>
      </c>
      <c r="E4408" s="5">
        <f ca="1">MAX(0,CP*(D4408-K))</f>
        <v>0</v>
      </c>
      <c r="F4408" s="4">
        <f ca="1">(CP*(D4408-K)&gt;0)*1</f>
        <v>0</v>
      </c>
      <c r="H4408" s="4">
        <v>4393</v>
      </c>
      <c r="I4408" s="3">
        <v>0.66768966995817047</v>
      </c>
      <c r="J4408" s="128">
        <v>1.3931161352193334E-3</v>
      </c>
      <c r="K4408" s="128"/>
      <c r="L4408" s="128">
        <v>3.9800000000000002E-2</v>
      </c>
      <c r="O4408" s="2"/>
    </row>
    <row r="4409" spans="2:15" x14ac:dyDescent="0.2">
      <c r="B4409" s="1">
        <f>B4408+1</f>
        <v>4394</v>
      </c>
      <c r="C4409" s="5">
        <f ca="1"/>
        <v>1.3069584275249109</v>
      </c>
      <c r="D4409" s="5">
        <f ca="1">S0*EXP((μ-0.5*σ*σ)*T+σ*SQRT(T)*$C4409)</f>
        <v>0.7558879655559716</v>
      </c>
      <c r="E4409" s="5">
        <f ca="1">MAX(0,CP*(D4409-K))</f>
        <v>0</v>
      </c>
      <c r="F4409" s="4">
        <f ca="1">(CP*(D4409-K)&gt;0)*1</f>
        <v>0</v>
      </c>
      <c r="H4409" s="4">
        <v>4394</v>
      </c>
      <c r="I4409" s="3">
        <v>0.66771432903530703</v>
      </c>
      <c r="J4409" s="128">
        <v>1.3807412723350276E-3</v>
      </c>
      <c r="K4409" s="128"/>
      <c r="L4409" s="128">
        <v>3.9E-2</v>
      </c>
      <c r="O4409" s="2"/>
    </row>
    <row r="4410" spans="2:15" x14ac:dyDescent="0.2">
      <c r="B4410" s="1">
        <f>B4409+1</f>
        <v>4395</v>
      </c>
      <c r="C4410" s="5">
        <f ca="1"/>
        <v>1.8395535237038758</v>
      </c>
      <c r="D4410" s="5">
        <f ca="1">S0*EXP((μ-0.5*σ*σ)*T+σ*SQRT(T)*$C4410)</f>
        <v>0.79663800165068888</v>
      </c>
      <c r="E4410" s="5">
        <f ca="1">MAX(0,CP*(D4410-K))</f>
        <v>8.4380016506888644E-3</v>
      </c>
      <c r="F4410" s="4">
        <f ca="1">(CP*(D4410-K)&gt;0)*1</f>
        <v>1</v>
      </c>
      <c r="H4410" s="4">
        <v>4395</v>
      </c>
      <c r="I4410" s="3">
        <v>0.66785040948608776</v>
      </c>
      <c r="J4410" s="128">
        <v>1.3737300898727075E-3</v>
      </c>
      <c r="K4410" s="128"/>
      <c r="L4410" s="128">
        <v>4.48E-2</v>
      </c>
      <c r="O4410" s="2"/>
    </row>
    <row r="4411" spans="2:15" x14ac:dyDescent="0.2">
      <c r="B4411" s="1">
        <f>B4410+1</f>
        <v>4396</v>
      </c>
      <c r="C4411" s="5">
        <f ca="1"/>
        <v>1.9774975754239528</v>
      </c>
      <c r="D4411" s="5">
        <f ca="1">S0*EXP((μ-0.5*σ*σ)*T+σ*SQRT(T)*$C4411)</f>
        <v>0.80754592734112285</v>
      </c>
      <c r="E4411" s="5">
        <f ca="1">MAX(0,CP*(D4411-K))</f>
        <v>1.9345927341122837E-2</v>
      </c>
      <c r="F4411" s="4">
        <f ca="1">(CP*(D4411-K)&gt;0)*1</f>
        <v>1</v>
      </c>
      <c r="H4411" s="4">
        <v>4396</v>
      </c>
      <c r="I4411" s="3">
        <v>0.66783600271071719</v>
      </c>
      <c r="J4411" s="128">
        <v>1.4445776675308189E-3</v>
      </c>
      <c r="K4411" s="128"/>
      <c r="L4411" s="128">
        <v>4.8000000000000001E-2</v>
      </c>
      <c r="O4411" s="2"/>
    </row>
    <row r="4412" spans="2:15" x14ac:dyDescent="0.2">
      <c r="B4412" s="1">
        <f>B4411+1</f>
        <v>4397</v>
      </c>
      <c r="C4412" s="5">
        <f ca="1"/>
        <v>-0.3419947678169612</v>
      </c>
      <c r="D4412" s="5">
        <f ca="1">S0*EXP((μ-0.5*σ*σ)*T+σ*SQRT(T)*$C4412)</f>
        <v>0.64247444922501873</v>
      </c>
      <c r="E4412" s="5">
        <f ca="1">MAX(0,CP*(D4412-K))</f>
        <v>0</v>
      </c>
      <c r="F4412" s="4">
        <f ca="1">(CP*(D4412-K)&gt;0)*1</f>
        <v>0</v>
      </c>
      <c r="H4412" s="4">
        <v>4397</v>
      </c>
      <c r="I4412" s="3">
        <v>0.66781719870358991</v>
      </c>
      <c r="J4412" s="128">
        <v>1.497527626734796E-3</v>
      </c>
      <c r="K4412" s="128"/>
      <c r="L4412" s="128">
        <v>4.2999999999999997E-2</v>
      </c>
      <c r="O4412" s="2"/>
    </row>
    <row r="4413" spans="2:15" x14ac:dyDescent="0.2">
      <c r="B4413" s="1">
        <f>B4412+1</f>
        <v>4398</v>
      </c>
      <c r="C4413" s="5">
        <f ca="1"/>
        <v>1.1058646696079599</v>
      </c>
      <c r="D4413" s="5">
        <f ca="1">S0*EXP((μ-0.5*σ*σ)*T+σ*SQRT(T)*$C4413)</f>
        <v>0.74104981274534032</v>
      </c>
      <c r="E4413" s="5">
        <f ca="1">MAX(0,CP*(D4413-K))</f>
        <v>0</v>
      </c>
      <c r="F4413" s="4">
        <f ca="1">(CP*(D4413-K)&gt;0)*1</f>
        <v>0</v>
      </c>
      <c r="H4413" s="4">
        <v>4398</v>
      </c>
      <c r="I4413" s="3">
        <v>0.66777144059483839</v>
      </c>
      <c r="J4413" s="128">
        <v>1.3460594472124085E-3</v>
      </c>
      <c r="K4413" s="128"/>
      <c r="L4413" s="128">
        <v>4.2200000000000001E-2</v>
      </c>
      <c r="O4413" s="2"/>
    </row>
    <row r="4414" spans="2:15" x14ac:dyDescent="0.2">
      <c r="B4414" s="1">
        <f>B4413+1</f>
        <v>4399</v>
      </c>
      <c r="C4414" s="5">
        <f ca="1"/>
        <v>-0.59224547086169488</v>
      </c>
      <c r="D4414" s="5">
        <f ca="1">S0*EXP((μ-0.5*σ*σ)*T+σ*SQRT(T)*$C4414)</f>
        <v>0.62681752189924167</v>
      </c>
      <c r="E4414" s="5">
        <f ca="1">MAX(0,CP*(D4414-K))</f>
        <v>0</v>
      </c>
      <c r="F4414" s="4">
        <f ca="1">(CP*(D4414-K)&gt;0)*1</f>
        <v>0</v>
      </c>
      <c r="H4414" s="4">
        <v>4399</v>
      </c>
      <c r="I4414" s="3">
        <v>0.66763135289055564</v>
      </c>
      <c r="J4414" s="128">
        <v>1.2220173500378244E-3</v>
      </c>
      <c r="K4414" s="128"/>
      <c r="L4414" s="128">
        <v>3.8399999999999997E-2</v>
      </c>
      <c r="O4414" s="2"/>
    </row>
    <row r="4415" spans="2:15" x14ac:dyDescent="0.2">
      <c r="B4415" s="1">
        <f>B4414+1</f>
        <v>4400</v>
      </c>
      <c r="C4415" s="5">
        <f ca="1"/>
        <v>9.9339500028211344E-3</v>
      </c>
      <c r="D4415" s="5">
        <f ca="1">S0*EXP((μ-0.5*σ*σ)*T+σ*SQRT(T)*$C4415)</f>
        <v>0.66515680513475228</v>
      </c>
      <c r="E4415" s="5">
        <f ca="1">MAX(0,CP*(D4415-K))</f>
        <v>0</v>
      </c>
      <c r="F4415" s="4">
        <f ca="1">(CP*(D4415-K)&gt;0)*1</f>
        <v>0</v>
      </c>
      <c r="H4415" s="4">
        <v>4400</v>
      </c>
      <c r="I4415" s="3">
        <v>0.66770735222313549</v>
      </c>
      <c r="J4415" s="128">
        <v>1.3297951703616459E-3</v>
      </c>
      <c r="K4415" s="128"/>
      <c r="L4415" s="128">
        <v>3.9600000000000003E-2</v>
      </c>
      <c r="O4415" s="2"/>
    </row>
    <row r="4416" spans="2:15" x14ac:dyDescent="0.2">
      <c r="B4416" s="1">
        <f>B4415+1</f>
        <v>4401</v>
      </c>
      <c r="C4416" s="5">
        <f ca="1"/>
        <v>0.41673146228228636</v>
      </c>
      <c r="D4416" s="5">
        <f ca="1">S0*EXP((μ-0.5*σ*σ)*T+σ*SQRT(T)*$C4416)</f>
        <v>0.6923751600322966</v>
      </c>
      <c r="E4416" s="5">
        <f ca="1">MAX(0,CP*(D4416-K))</f>
        <v>0</v>
      </c>
      <c r="F4416" s="4">
        <f ca="1">(CP*(D4416-K)&gt;0)*1</f>
        <v>0</v>
      </c>
      <c r="H4416" s="4">
        <v>4401</v>
      </c>
      <c r="I4416" s="3">
        <v>0.66778078803748053</v>
      </c>
      <c r="J4416" s="128">
        <v>1.4962295703322183E-3</v>
      </c>
      <c r="K4416" s="128"/>
      <c r="L4416" s="128">
        <v>4.5400000000000003E-2</v>
      </c>
      <c r="O4416" s="2"/>
    </row>
    <row r="4417" spans="2:15" x14ac:dyDescent="0.2">
      <c r="B4417" s="1">
        <f>B4416+1</f>
        <v>4402</v>
      </c>
      <c r="C4417" s="5">
        <f ca="1"/>
        <v>-0.54685280129130176</v>
      </c>
      <c r="D4417" s="5">
        <f ca="1">S0*EXP((μ-0.5*σ*σ)*T+σ*SQRT(T)*$C4417)</f>
        <v>0.62962890934928717</v>
      </c>
      <c r="E4417" s="5">
        <f ca="1">MAX(0,CP*(D4417-K))</f>
        <v>0</v>
      </c>
      <c r="F4417" s="4">
        <f ca="1">(CP*(D4417-K)&gt;0)*1</f>
        <v>0</v>
      </c>
      <c r="H4417" s="4">
        <v>4402</v>
      </c>
      <c r="I4417" s="3">
        <v>0.66784256798484798</v>
      </c>
      <c r="J4417" s="128">
        <v>1.5260284981151813E-3</v>
      </c>
      <c r="K4417" s="128"/>
      <c r="L4417" s="128">
        <v>4.3799999999999999E-2</v>
      </c>
      <c r="O4417" s="2"/>
    </row>
    <row r="4418" spans="2:15" x14ac:dyDescent="0.2">
      <c r="B4418" s="1">
        <f>B4417+1</f>
        <v>4403</v>
      </c>
      <c r="C4418" s="5">
        <f ca="1"/>
        <v>1.355272321702264</v>
      </c>
      <c r="D4418" s="5">
        <f ca="1">S0*EXP((μ-0.5*σ*σ)*T+σ*SQRT(T)*$C4418)</f>
        <v>0.7594969574743653</v>
      </c>
      <c r="E4418" s="5">
        <f ca="1">MAX(0,CP*(D4418-K))</f>
        <v>0</v>
      </c>
      <c r="F4418" s="4">
        <f ca="1">(CP*(D4418-K)&gt;0)*1</f>
        <v>0</v>
      </c>
      <c r="H4418" s="4">
        <v>4403</v>
      </c>
      <c r="I4418" s="3">
        <v>0.66779361717076635</v>
      </c>
      <c r="J4418" s="128">
        <v>1.4616121242998835E-3</v>
      </c>
      <c r="K4418" s="128"/>
      <c r="L4418" s="128">
        <v>4.2599999999999999E-2</v>
      </c>
      <c r="O4418" s="2"/>
    </row>
    <row r="4419" spans="2:15" x14ac:dyDescent="0.2">
      <c r="B4419" s="1">
        <f>B4418+1</f>
        <v>4404</v>
      </c>
      <c r="C4419" s="5">
        <f ca="1"/>
        <v>1.0998511823964725</v>
      </c>
      <c r="D4419" s="5">
        <f ca="1">S0*EXP((μ-0.5*σ*σ)*T+σ*SQRT(T)*$C4419)</f>
        <v>0.74061060824268787</v>
      </c>
      <c r="E4419" s="5">
        <f ca="1">MAX(0,CP*(D4419-K))</f>
        <v>0</v>
      </c>
      <c r="F4419" s="4">
        <f ca="1">(CP*(D4419-K)&gt;0)*1</f>
        <v>0</v>
      </c>
      <c r="H4419" s="4">
        <v>4404</v>
      </c>
      <c r="I4419" s="3">
        <v>0.66789207646617932</v>
      </c>
      <c r="J4419" s="128">
        <v>1.5180031805455214E-3</v>
      </c>
      <c r="K4419" s="128"/>
      <c r="L4419" s="128">
        <v>4.7199999999999999E-2</v>
      </c>
      <c r="O4419" s="2"/>
    </row>
    <row r="4420" spans="2:15" x14ac:dyDescent="0.2">
      <c r="B4420" s="1">
        <f>B4419+1</f>
        <v>4405</v>
      </c>
      <c r="C4420" s="5">
        <f ca="1"/>
        <v>9.845002301987496E-2</v>
      </c>
      <c r="D4420" s="5">
        <f ca="1">S0*EXP((μ-0.5*σ*σ)*T+σ*SQRT(T)*$C4420)</f>
        <v>0.67098674704470229</v>
      </c>
      <c r="E4420" s="5">
        <f ca="1">MAX(0,CP*(D4420-K))</f>
        <v>0</v>
      </c>
      <c r="F4420" s="4">
        <f ca="1">(CP*(D4420-K)&gt;0)*1</f>
        <v>0</v>
      </c>
      <c r="H4420" s="4">
        <v>4405</v>
      </c>
      <c r="I4420" s="3">
        <v>0.66768304413235069</v>
      </c>
      <c r="J4420" s="128">
        <v>1.3002227150745993E-3</v>
      </c>
      <c r="K4420" s="128"/>
      <c r="L4420" s="128">
        <v>4.02E-2</v>
      </c>
      <c r="O4420" s="2"/>
    </row>
    <row r="4421" spans="2:15" x14ac:dyDescent="0.2">
      <c r="B4421" s="1">
        <f>B4420+1</f>
        <v>4406</v>
      </c>
      <c r="C4421" s="5">
        <f ca="1"/>
        <v>3.1910238918830845E-2</v>
      </c>
      <c r="D4421" s="5">
        <f ca="1">S0*EXP((μ-0.5*σ*σ)*T+σ*SQRT(T)*$C4421)</f>
        <v>0.66659948731821106</v>
      </c>
      <c r="E4421" s="5">
        <f ca="1">MAX(0,CP*(D4421-K))</f>
        <v>0</v>
      </c>
      <c r="F4421" s="4">
        <f ca="1">(CP*(D4421-K)&gt;0)*1</f>
        <v>0</v>
      </c>
      <c r="H4421" s="4">
        <v>4406</v>
      </c>
      <c r="I4421" s="3">
        <v>0.66767209249736581</v>
      </c>
      <c r="J4421" s="128">
        <v>1.3313876117654465E-3</v>
      </c>
      <c r="K4421" s="128"/>
      <c r="L4421" s="128">
        <v>3.9199999999999999E-2</v>
      </c>
      <c r="O4421" s="2"/>
    </row>
    <row r="4422" spans="2:15" x14ac:dyDescent="0.2">
      <c r="B4422" s="1">
        <f>B4421+1</f>
        <v>4407</v>
      </c>
      <c r="C4422" s="5">
        <f ca="1"/>
        <v>0.50142092609396305</v>
      </c>
      <c r="D4422" s="5">
        <f ca="1">S0*EXP((μ-0.5*σ*σ)*T+σ*SQRT(T)*$C4422)</f>
        <v>0.69818022220721487</v>
      </c>
      <c r="E4422" s="5">
        <f ca="1">MAX(0,CP*(D4422-K))</f>
        <v>0</v>
      </c>
      <c r="F4422" s="4">
        <f ca="1">(CP*(D4422-K)&gt;0)*1</f>
        <v>0</v>
      </c>
      <c r="H4422" s="4">
        <v>4407</v>
      </c>
      <c r="I4422" s="3">
        <v>0.66776781439860233</v>
      </c>
      <c r="J4422" s="128">
        <v>1.3791937351236604E-3</v>
      </c>
      <c r="K4422" s="128"/>
      <c r="L4422" s="128">
        <v>4.1799999999999997E-2</v>
      </c>
      <c r="O4422" s="2"/>
    </row>
    <row r="4423" spans="2:15" x14ac:dyDescent="0.2">
      <c r="B4423" s="1">
        <f>B4422+1</f>
        <v>4408</v>
      </c>
      <c r="C4423" s="5">
        <f ca="1"/>
        <v>-1.2250450171373943</v>
      </c>
      <c r="D4423" s="5">
        <f ca="1">S0*EXP((μ-0.5*σ*σ)*T+σ*SQRT(T)*$C4423)</f>
        <v>0.58890763722777273</v>
      </c>
      <c r="E4423" s="5">
        <f ca="1">MAX(0,CP*(D4423-K))</f>
        <v>0</v>
      </c>
      <c r="F4423" s="4">
        <f ca="1">(CP*(D4423-K)&gt;0)*1</f>
        <v>0</v>
      </c>
      <c r="H4423" s="4">
        <v>4408</v>
      </c>
      <c r="I4423" s="3">
        <v>0.66771956369789764</v>
      </c>
      <c r="J4423" s="128">
        <v>1.2285352860348041E-3</v>
      </c>
      <c r="K4423" s="128"/>
      <c r="L4423" s="128">
        <v>3.8600000000000002E-2</v>
      </c>
      <c r="O4423" s="2"/>
    </row>
    <row r="4424" spans="2:15" x14ac:dyDescent="0.2">
      <c r="B4424" s="1">
        <f>B4423+1</f>
        <v>4409</v>
      </c>
      <c r="C4424" s="5">
        <f ca="1"/>
        <v>1.514671545740172</v>
      </c>
      <c r="D4424" s="5">
        <f ca="1">S0*EXP((μ-0.5*σ*σ)*T+σ*SQRT(T)*$C4424)</f>
        <v>0.77152654811335986</v>
      </c>
      <c r="E4424" s="5">
        <f ca="1">MAX(0,CP*(D4424-K))</f>
        <v>0</v>
      </c>
      <c r="F4424" s="4">
        <f ca="1">(CP*(D4424-K)&gt;0)*1</f>
        <v>0</v>
      </c>
      <c r="H4424" s="4">
        <v>4409</v>
      </c>
      <c r="I4424" s="3">
        <v>0.66768929225697615</v>
      </c>
      <c r="J4424" s="128">
        <v>1.2940014277377653E-3</v>
      </c>
      <c r="K4424" s="128"/>
      <c r="L4424" s="128">
        <v>3.9199999999999999E-2</v>
      </c>
      <c r="O4424" s="2"/>
    </row>
    <row r="4425" spans="2:15" x14ac:dyDescent="0.2">
      <c r="B4425" s="1">
        <f>B4424+1</f>
        <v>4410</v>
      </c>
      <c r="C4425" s="5">
        <f ca="1"/>
        <v>-1.1112163146859968</v>
      </c>
      <c r="D4425" s="5">
        <f ca="1">S0*EXP((μ-0.5*σ*σ)*T+σ*SQRT(T)*$C4425)</f>
        <v>0.59555362925165678</v>
      </c>
      <c r="E4425" s="5">
        <f ca="1">MAX(0,CP*(D4425-K))</f>
        <v>0</v>
      </c>
      <c r="F4425" s="4">
        <f ca="1">(CP*(D4425-K)&gt;0)*1</f>
        <v>0</v>
      </c>
      <c r="H4425" s="4">
        <v>4410</v>
      </c>
      <c r="I4425" s="3">
        <v>0.66789039922158155</v>
      </c>
      <c r="J4425" s="128">
        <v>1.5060475784614813E-3</v>
      </c>
      <c r="K4425" s="128"/>
      <c r="L4425" s="128">
        <v>4.48E-2</v>
      </c>
      <c r="O4425" s="2"/>
    </row>
    <row r="4426" spans="2:15" x14ac:dyDescent="0.2">
      <c r="B4426" s="1">
        <f>B4425+1</f>
        <v>4411</v>
      </c>
      <c r="C4426" s="5">
        <f ca="1"/>
        <v>1.0947227161184914</v>
      </c>
      <c r="D4426" s="5">
        <f ca="1">S0*EXP((μ-0.5*σ*σ)*T+σ*SQRT(T)*$C4426)</f>
        <v>0.74023624830389734</v>
      </c>
      <c r="E4426" s="5">
        <f ca="1">MAX(0,CP*(D4426-K))</f>
        <v>0</v>
      </c>
      <c r="F4426" s="4">
        <f ca="1">(CP*(D4426-K)&gt;0)*1</f>
        <v>0</v>
      </c>
      <c r="H4426" s="4">
        <v>4411</v>
      </c>
      <c r="I4426" s="3">
        <v>0.66780743796106601</v>
      </c>
      <c r="J4426" s="128">
        <v>1.356357506912027E-3</v>
      </c>
      <c r="K4426" s="128"/>
      <c r="L4426" s="128">
        <v>4.1200000000000001E-2</v>
      </c>
      <c r="O4426" s="2"/>
    </row>
    <row r="4427" spans="2:15" x14ac:dyDescent="0.2">
      <c r="B4427" s="1">
        <f>B4426+1</f>
        <v>4412</v>
      </c>
      <c r="C4427" s="5">
        <f ca="1"/>
        <v>0.61749282161451402</v>
      </c>
      <c r="D4427" s="5">
        <f ca="1">S0*EXP((μ-0.5*σ*σ)*T+σ*SQRT(T)*$C4427)</f>
        <v>0.70621554958854504</v>
      </c>
      <c r="E4427" s="5">
        <f ca="1">MAX(0,CP*(D4427-K))</f>
        <v>0</v>
      </c>
      <c r="F4427" s="4">
        <f ca="1">(CP*(D4427-K)&gt;0)*1</f>
        <v>0</v>
      </c>
      <c r="H4427" s="4">
        <v>4412</v>
      </c>
      <c r="I4427" s="3">
        <v>0.6676414785946948</v>
      </c>
      <c r="J4427" s="128">
        <v>1.2923831314427048E-3</v>
      </c>
      <c r="K4427" s="128"/>
      <c r="L4427" s="128">
        <v>0.04</v>
      </c>
      <c r="O4427" s="2"/>
    </row>
    <row r="4428" spans="2:15" x14ac:dyDescent="0.2">
      <c r="B4428" s="1">
        <f>B4427+1</f>
        <v>4413</v>
      </c>
      <c r="C4428" s="5">
        <f ca="1"/>
        <v>1.0407682936144607</v>
      </c>
      <c r="D4428" s="5">
        <f ca="1">S0*EXP((μ-0.5*σ*σ)*T+σ*SQRT(T)*$C4428)</f>
        <v>0.73630921510345992</v>
      </c>
      <c r="E4428" s="5">
        <f ca="1">MAX(0,CP*(D4428-K))</f>
        <v>0</v>
      </c>
      <c r="F4428" s="4">
        <f ca="1">(CP*(D4428-K)&gt;0)*1</f>
        <v>0</v>
      </c>
      <c r="H4428" s="4">
        <v>4413</v>
      </c>
      <c r="I4428" s="3">
        <v>0.66775308972760072</v>
      </c>
      <c r="J4428" s="128">
        <v>1.2847075117534505E-3</v>
      </c>
      <c r="K4428" s="128"/>
      <c r="L4428" s="128">
        <v>4.2599999999999999E-2</v>
      </c>
      <c r="O4428" s="2"/>
    </row>
    <row r="4429" spans="2:15" x14ac:dyDescent="0.2">
      <c r="B4429" s="1">
        <f>B4428+1</f>
        <v>4414</v>
      </c>
      <c r="C4429" s="5">
        <f ca="1"/>
        <v>-1.0806082031896636</v>
      </c>
      <c r="D4429" s="5">
        <f ca="1">S0*EXP((μ-0.5*σ*σ)*T+σ*SQRT(T)*$C4429)</f>
        <v>0.59735347196401667</v>
      </c>
      <c r="E4429" s="5">
        <f ca="1">MAX(0,CP*(D4429-K))</f>
        <v>0</v>
      </c>
      <c r="F4429" s="4">
        <f ca="1">(CP*(D4429-K)&gt;0)*1</f>
        <v>0</v>
      </c>
      <c r="H4429" s="4">
        <v>4414</v>
      </c>
      <c r="I4429" s="3">
        <v>0.66755429198402927</v>
      </c>
      <c r="J4429" s="128">
        <v>1.1077096196418282E-3</v>
      </c>
      <c r="K4429" s="128"/>
      <c r="L4429" s="128">
        <v>3.44E-2</v>
      </c>
      <c r="O4429" s="2"/>
    </row>
    <row r="4430" spans="2:15" x14ac:dyDescent="0.2">
      <c r="B4430" s="1">
        <f>B4429+1</f>
        <v>4415</v>
      </c>
      <c r="C4430" s="5">
        <f ca="1"/>
        <v>-1.0672976819295497</v>
      </c>
      <c r="D4430" s="5">
        <f ca="1">S0*EXP((μ-0.5*σ*σ)*T+σ*SQRT(T)*$C4430)</f>
        <v>0.59813786397006286</v>
      </c>
      <c r="E4430" s="5">
        <f ca="1">MAX(0,CP*(D4430-K))</f>
        <v>0</v>
      </c>
      <c r="F4430" s="4">
        <f ca="1">(CP*(D4430-K)&gt;0)*1</f>
        <v>0</v>
      </c>
      <c r="H4430" s="4">
        <v>4415</v>
      </c>
      <c r="I4430" s="3">
        <v>0.66794771584253354</v>
      </c>
      <c r="J4430" s="128">
        <v>1.5005273938444861E-3</v>
      </c>
      <c r="K4430" s="128"/>
      <c r="L4430" s="128">
        <v>4.7399999999999998E-2</v>
      </c>
      <c r="O4430" s="2"/>
    </row>
    <row r="4431" spans="2:15" x14ac:dyDescent="0.2">
      <c r="B4431" s="1">
        <f>B4430+1</f>
        <v>4416</v>
      </c>
      <c r="C4431" s="5">
        <f ca="1"/>
        <v>-0.87339535978343841</v>
      </c>
      <c r="D4431" s="5">
        <f ca="1">S0*EXP((μ-0.5*σ*σ)*T+σ*SQRT(T)*$C4431)</f>
        <v>0.60968206017056181</v>
      </c>
      <c r="E4431" s="5">
        <f ca="1">MAX(0,CP*(D4431-K))</f>
        <v>0</v>
      </c>
      <c r="F4431" s="4">
        <f ca="1">(CP*(D4431-K)&gt;0)*1</f>
        <v>0</v>
      </c>
      <c r="H4431" s="4">
        <v>4416</v>
      </c>
      <c r="I4431" s="3">
        <v>0.66760065444172045</v>
      </c>
      <c r="J4431" s="128">
        <v>1.2689383985334875E-3</v>
      </c>
      <c r="K4431" s="128"/>
      <c r="L4431" s="128">
        <v>3.7600000000000001E-2</v>
      </c>
      <c r="O4431" s="2"/>
    </row>
    <row r="4432" spans="2:15" x14ac:dyDescent="0.2">
      <c r="B4432" s="1">
        <f>B4431+1</f>
        <v>4417</v>
      </c>
      <c r="C4432" s="5">
        <f ca="1"/>
        <v>-1.0191227061418402</v>
      </c>
      <c r="D4432" s="5">
        <f ca="1">S0*EXP((μ-0.5*σ*σ)*T+σ*SQRT(T)*$C4432)</f>
        <v>0.60098544610092242</v>
      </c>
      <c r="E4432" s="5">
        <f ca="1">MAX(0,CP*(D4432-K))</f>
        <v>0</v>
      </c>
      <c r="F4432" s="4">
        <f ca="1">(CP*(D4432-K)&gt;0)*1</f>
        <v>0</v>
      </c>
      <c r="H4432" s="4">
        <v>4417</v>
      </c>
      <c r="I4432" s="3">
        <v>0.66790551895339034</v>
      </c>
      <c r="J4432" s="128">
        <v>1.6792698493312511E-3</v>
      </c>
      <c r="K4432" s="128"/>
      <c r="L4432" s="128">
        <v>4.6800000000000001E-2</v>
      </c>
      <c r="O4432" s="2"/>
    </row>
    <row r="4433" spans="2:15" x14ac:dyDescent="0.2">
      <c r="B4433" s="1">
        <f>B4432+1</f>
        <v>4418</v>
      </c>
      <c r="C4433" s="5">
        <f ca="1"/>
        <v>-0.76934151188346389</v>
      </c>
      <c r="D4433" s="5">
        <f ca="1">S0*EXP((μ-0.5*σ*σ)*T+σ*SQRT(T)*$C4433)</f>
        <v>0.61596861590845753</v>
      </c>
      <c r="E4433" s="5">
        <f ca="1">MAX(0,CP*(D4433-K))</f>
        <v>0</v>
      </c>
      <c r="F4433" s="4">
        <f ca="1">(CP*(D4433-K)&gt;0)*1</f>
        <v>0</v>
      </c>
      <c r="H4433" s="4">
        <v>4418</v>
      </c>
      <c r="I4433" s="3">
        <v>0.66770709811899498</v>
      </c>
      <c r="J4433" s="128">
        <v>1.3506895571834938E-3</v>
      </c>
      <c r="K4433" s="128"/>
      <c r="L4433" s="128">
        <v>3.8600000000000002E-2</v>
      </c>
      <c r="O4433" s="2"/>
    </row>
    <row r="4434" spans="2:15" x14ac:dyDescent="0.2">
      <c r="B4434" s="1">
        <f>B4433+1</f>
        <v>4419</v>
      </c>
      <c r="C4434" s="5">
        <f ca="1"/>
        <v>-1.5237690731340128</v>
      </c>
      <c r="D4434" s="5">
        <f ca="1">S0*EXP((μ-0.5*σ*σ)*T+σ*SQRT(T)*$C4434)</f>
        <v>0.57181694255853521</v>
      </c>
      <c r="E4434" s="5">
        <f ca="1">MAX(0,CP*(D4434-K))</f>
        <v>0</v>
      </c>
      <c r="F4434" s="4">
        <f ca="1">(CP*(D4434-K)&gt;0)*1</f>
        <v>0</v>
      </c>
      <c r="H4434" s="4">
        <v>4419</v>
      </c>
      <c r="I4434" s="3">
        <v>0.66767146625427565</v>
      </c>
      <c r="J4434" s="128">
        <v>1.2579948605864516E-3</v>
      </c>
      <c r="K4434" s="128"/>
      <c r="L4434" s="128">
        <v>3.78E-2</v>
      </c>
      <c r="O4434" s="2"/>
    </row>
    <row r="4435" spans="2:15" x14ac:dyDescent="0.2">
      <c r="B4435" s="1">
        <f>B4434+1</f>
        <v>4420</v>
      </c>
      <c r="C4435" s="5">
        <f ca="1"/>
        <v>2.943904624927653</v>
      </c>
      <c r="D4435" s="5">
        <f ca="1">S0*EXP((μ-0.5*σ*σ)*T+σ*SQRT(T)*$C4435)</f>
        <v>0.88826982622315143</v>
      </c>
      <c r="E4435" s="5">
        <f ca="1">MAX(0,CP*(D4435-K))</f>
        <v>0.10006982622315141</v>
      </c>
      <c r="F4435" s="4">
        <f ca="1">(CP*(D4435-K)&gt;0)*1</f>
        <v>1</v>
      </c>
      <c r="H4435" s="4">
        <v>4420</v>
      </c>
      <c r="I4435" s="3">
        <v>0.66780494540370494</v>
      </c>
      <c r="J4435" s="128">
        <v>1.3918469150785348E-3</v>
      </c>
      <c r="K4435" s="128"/>
      <c r="L4435" s="128">
        <v>0.04</v>
      </c>
      <c r="O4435" s="2"/>
    </row>
    <row r="4436" spans="2:15" x14ac:dyDescent="0.2">
      <c r="B4436" s="1">
        <f>B4435+1</f>
        <v>4421</v>
      </c>
      <c r="C4436" s="5">
        <f ca="1"/>
        <v>-0.43738146109302667</v>
      </c>
      <c r="D4436" s="5">
        <f ca="1">S0*EXP((μ-0.5*σ*σ)*T+σ*SQRT(T)*$C4436)</f>
        <v>0.63646098215519309</v>
      </c>
      <c r="E4436" s="5">
        <f ca="1">MAX(0,CP*(D4436-K))</f>
        <v>0</v>
      </c>
      <c r="F4436" s="4">
        <f ca="1">(CP*(D4436-K)&gt;0)*1</f>
        <v>0</v>
      </c>
      <c r="H4436" s="4">
        <v>4421</v>
      </c>
      <c r="I4436" s="3">
        <v>0.66784429920125554</v>
      </c>
      <c r="J4436" s="128">
        <v>1.5421690238003303E-3</v>
      </c>
      <c r="K4436" s="128"/>
      <c r="L4436" s="128">
        <v>4.4999999999999998E-2</v>
      </c>
      <c r="O4436" s="2"/>
    </row>
    <row r="4437" spans="2:15" x14ac:dyDescent="0.2">
      <c r="B4437" s="1">
        <f>B4436+1</f>
        <v>4422</v>
      </c>
      <c r="C4437" s="5">
        <f ca="1"/>
        <v>0.8781419863971156</v>
      </c>
      <c r="D4437" s="5">
        <f ca="1">S0*EXP((μ-0.5*σ*σ)*T+σ*SQRT(T)*$C4437)</f>
        <v>0.7245981632230587</v>
      </c>
      <c r="E4437" s="5">
        <f ca="1">MAX(0,CP*(D4437-K))</f>
        <v>0</v>
      </c>
      <c r="F4437" s="4">
        <f ca="1">(CP*(D4437-K)&gt;0)*1</f>
        <v>0</v>
      </c>
      <c r="H4437" s="4">
        <v>4422</v>
      </c>
      <c r="I4437" s="3">
        <v>0.66786879128796506</v>
      </c>
      <c r="J4437" s="128">
        <v>1.5024955555016459E-3</v>
      </c>
      <c r="K4437" s="128"/>
      <c r="L4437" s="128">
        <v>4.4400000000000002E-2</v>
      </c>
      <c r="O4437" s="2"/>
    </row>
    <row r="4438" spans="2:15" x14ac:dyDescent="0.2">
      <c r="B4438" s="1">
        <f>B4437+1</f>
        <v>4423</v>
      </c>
      <c r="C4438" s="5">
        <f ca="1"/>
        <v>0.81094788896049963</v>
      </c>
      <c r="D4438" s="5">
        <f ca="1">S0*EXP((μ-0.5*σ*σ)*T+σ*SQRT(T)*$C4438)</f>
        <v>0.7198139296186572</v>
      </c>
      <c r="E4438" s="5">
        <f ca="1">MAX(0,CP*(D4438-K))</f>
        <v>0</v>
      </c>
      <c r="F4438" s="4">
        <f ca="1">(CP*(D4438-K)&gt;0)*1</f>
        <v>0</v>
      </c>
      <c r="H4438" s="4">
        <v>4423</v>
      </c>
      <c r="I4438" s="3">
        <v>0.66773200837577118</v>
      </c>
      <c r="J4438" s="128">
        <v>1.3047629811848375E-3</v>
      </c>
      <c r="K4438" s="128"/>
      <c r="L4438" s="128">
        <v>4.1000000000000002E-2</v>
      </c>
      <c r="O4438" s="2"/>
    </row>
    <row r="4439" spans="2:15" x14ac:dyDescent="0.2">
      <c r="B4439" s="1">
        <f>B4438+1</f>
        <v>4424</v>
      </c>
      <c r="C4439" s="5">
        <f ca="1"/>
        <v>0.49431150923722783</v>
      </c>
      <c r="D4439" s="5">
        <f ca="1">S0*EXP((μ-0.5*σ*σ)*T+σ*SQRT(T)*$C4439)</f>
        <v>0.69769103954888267</v>
      </c>
      <c r="E4439" s="5">
        <f ca="1">MAX(0,CP*(D4439-K))</f>
        <v>0</v>
      </c>
      <c r="F4439" s="4">
        <f ca="1">(CP*(D4439-K)&gt;0)*1</f>
        <v>0</v>
      </c>
      <c r="H4439" s="4">
        <v>4424</v>
      </c>
      <c r="I4439" s="3">
        <v>0.66755558514950941</v>
      </c>
      <c r="J4439" s="128">
        <v>1.1647241169668481E-3</v>
      </c>
      <c r="K4439" s="128"/>
      <c r="L4439" s="128">
        <v>3.8600000000000002E-2</v>
      </c>
      <c r="O4439" s="2"/>
    </row>
    <row r="4440" spans="2:15" x14ac:dyDescent="0.2">
      <c r="B4440" s="1">
        <f>B4439+1</f>
        <v>4425</v>
      </c>
      <c r="C4440" s="5">
        <f ca="1"/>
        <v>-1.7182016954101775</v>
      </c>
      <c r="D4440" s="5">
        <f ca="1">S0*EXP((μ-0.5*σ*σ)*T+σ*SQRT(T)*$C4440)</f>
        <v>0.56096038575464369</v>
      </c>
      <c r="E4440" s="5">
        <f ca="1">MAX(0,CP*(D4440-K))</f>
        <v>0</v>
      </c>
      <c r="F4440" s="4">
        <f ca="1">(CP*(D4440-K)&gt;0)*1</f>
        <v>0</v>
      </c>
      <c r="H4440" s="4">
        <v>4425</v>
      </c>
      <c r="I4440" s="3">
        <v>0.66763193222750439</v>
      </c>
      <c r="J4440" s="128">
        <v>1.2068983916312245E-3</v>
      </c>
      <c r="K4440" s="128"/>
      <c r="L4440" s="128">
        <v>3.9199999999999999E-2</v>
      </c>
      <c r="O4440" s="2"/>
    </row>
    <row r="4441" spans="2:15" x14ac:dyDescent="0.2">
      <c r="B4441" s="1">
        <f>B4440+1</f>
        <v>4426</v>
      </c>
      <c r="C4441" s="5">
        <f ca="1"/>
        <v>-0.66842835294984704</v>
      </c>
      <c r="D4441" s="5">
        <f ca="1">S0*EXP((μ-0.5*σ*σ)*T+σ*SQRT(T)*$C4441)</f>
        <v>0.6221273328856366</v>
      </c>
      <c r="E4441" s="5">
        <f ca="1">MAX(0,CP*(D4441-K))</f>
        <v>0</v>
      </c>
      <c r="F4441" s="4">
        <f ca="1">(CP*(D4441-K)&gt;0)*1</f>
        <v>0</v>
      </c>
      <c r="H4441" s="4">
        <v>4426</v>
      </c>
      <c r="I4441" s="3">
        <v>0.66786106887930441</v>
      </c>
      <c r="J4441" s="128">
        <v>1.3390410652638122E-3</v>
      </c>
      <c r="K4441" s="128"/>
      <c r="L4441" s="128">
        <v>4.4200000000000003E-2</v>
      </c>
      <c r="O4441" s="2"/>
    </row>
    <row r="4442" spans="2:15" x14ac:dyDescent="0.2">
      <c r="B4442" s="1">
        <f>B4441+1</f>
        <v>4427</v>
      </c>
      <c r="C4442" s="5">
        <f ca="1"/>
        <v>0.78377116681882208</v>
      </c>
      <c r="D4442" s="5">
        <f ca="1">S0*EXP((μ-0.5*σ*σ)*T+σ*SQRT(T)*$C4442)</f>
        <v>0.71788792478775587</v>
      </c>
      <c r="E4442" s="5">
        <f ca="1">MAX(0,CP*(D4442-K))</f>
        <v>0</v>
      </c>
      <c r="F4442" s="4">
        <f ca="1">(CP*(D4442-K)&gt;0)*1</f>
        <v>0</v>
      </c>
      <c r="H4442" s="4">
        <v>4427</v>
      </c>
      <c r="I4442" s="3">
        <v>0.66775630572589373</v>
      </c>
      <c r="J4442" s="128">
        <v>1.4170356491579393E-3</v>
      </c>
      <c r="K4442" s="128"/>
      <c r="L4442" s="128">
        <v>4.5400000000000003E-2</v>
      </c>
      <c r="O4442" s="2"/>
    </row>
    <row r="4443" spans="2:15" x14ac:dyDescent="0.2">
      <c r="B4443" s="1">
        <f>B4442+1</f>
        <v>4428</v>
      </c>
      <c r="C4443" s="5">
        <f ca="1"/>
        <v>-0.76720983117495323</v>
      </c>
      <c r="D4443" s="5">
        <f ca="1">S0*EXP((μ-0.5*σ*σ)*T+σ*SQRT(T)*$C4443)</f>
        <v>0.61609807963277752</v>
      </c>
      <c r="E4443" s="5">
        <f ca="1">MAX(0,CP*(D4443-K))</f>
        <v>0</v>
      </c>
      <c r="F4443" s="4">
        <f ca="1">(CP*(D4443-K)&gt;0)*1</f>
        <v>0</v>
      </c>
      <c r="H4443" s="4">
        <v>4428</v>
      </c>
      <c r="I4443" s="3">
        <v>0.66781823954138597</v>
      </c>
      <c r="J4443" s="128">
        <v>1.4295458026577438E-3</v>
      </c>
      <c r="K4443" s="128"/>
      <c r="L4443" s="128">
        <v>4.24E-2</v>
      </c>
      <c r="O4443" s="2"/>
    </row>
    <row r="4444" spans="2:15" x14ac:dyDescent="0.2">
      <c r="B4444" s="1">
        <f>B4443+1</f>
        <v>4429</v>
      </c>
      <c r="C4444" s="5">
        <f ca="1"/>
        <v>0.81693192743970944</v>
      </c>
      <c r="D4444" s="5">
        <f ca="1">S0*EXP((μ-0.5*σ*σ)*T+σ*SQRT(T)*$C4444)</f>
        <v>0.72023871000674944</v>
      </c>
      <c r="E4444" s="5">
        <f ca="1">MAX(0,CP*(D4444-K))</f>
        <v>0</v>
      </c>
      <c r="F4444" s="4">
        <f ca="1">(CP*(D4444-K)&gt;0)*1</f>
        <v>0</v>
      </c>
      <c r="H4444" s="4">
        <v>4429</v>
      </c>
      <c r="I4444" s="3">
        <v>0.66789904516169629</v>
      </c>
      <c r="J4444" s="128">
        <v>1.4607500337928618E-3</v>
      </c>
      <c r="K4444" s="128"/>
      <c r="L4444" s="128">
        <v>4.5400000000000003E-2</v>
      </c>
      <c r="O4444" s="2"/>
    </row>
    <row r="4445" spans="2:15" x14ac:dyDescent="0.2">
      <c r="B4445" s="1">
        <f>B4444+1</f>
        <v>4430</v>
      </c>
      <c r="C4445" s="5">
        <f ca="1"/>
        <v>0.36945045869444176</v>
      </c>
      <c r="D4445" s="5">
        <f ca="1">S0*EXP((μ-0.5*σ*σ)*T+σ*SQRT(T)*$C4445)</f>
        <v>0.68915529189114766</v>
      </c>
      <c r="E4445" s="5">
        <f ca="1">MAX(0,CP*(D4445-K))</f>
        <v>0</v>
      </c>
      <c r="F4445" s="4">
        <f ca="1">(CP*(D4445-K)&gt;0)*1</f>
        <v>0</v>
      </c>
      <c r="H4445" s="4">
        <v>4430</v>
      </c>
      <c r="I4445" s="3">
        <v>0.66776323142807981</v>
      </c>
      <c r="J4445" s="128">
        <v>1.4242502505640514E-3</v>
      </c>
      <c r="K4445" s="128"/>
      <c r="L4445" s="128">
        <v>4.0399999999999998E-2</v>
      </c>
      <c r="O4445" s="2"/>
    </row>
    <row r="4446" spans="2:15" x14ac:dyDescent="0.2">
      <c r="B4446" s="1">
        <f>B4445+1</f>
        <v>4431</v>
      </c>
      <c r="C4446" s="5">
        <f ca="1"/>
        <v>-0.542576104996774</v>
      </c>
      <c r="D4446" s="5">
        <f ca="1">S0*EXP((μ-0.5*σ*σ)*T+σ*SQRT(T)*$C4446)</f>
        <v>0.62989443491941144</v>
      </c>
      <c r="E4446" s="5">
        <f ca="1">MAX(0,CP*(D4446-K))</f>
        <v>0</v>
      </c>
      <c r="F4446" s="4">
        <f ca="1">(CP*(D4446-K)&gt;0)*1</f>
        <v>0</v>
      </c>
      <c r="H4446" s="4">
        <v>4431</v>
      </c>
      <c r="I4446" s="3">
        <v>0.6676775652550111</v>
      </c>
      <c r="J4446" s="128">
        <v>1.2154851853928073E-3</v>
      </c>
      <c r="K4446" s="128"/>
      <c r="L4446" s="128">
        <v>3.8199999999999998E-2</v>
      </c>
      <c r="O4446" s="2"/>
    </row>
    <row r="4447" spans="2:15" x14ac:dyDescent="0.2">
      <c r="B4447" s="1">
        <f>B4446+1</f>
        <v>4432</v>
      </c>
      <c r="C4447" s="5">
        <f ca="1"/>
        <v>-0.519757959310027</v>
      </c>
      <c r="D4447" s="5">
        <f ca="1">S0*EXP((μ-0.5*σ*σ)*T+σ*SQRT(T)*$C4447)</f>
        <v>0.63131302991340688</v>
      </c>
      <c r="E4447" s="5">
        <f ca="1">MAX(0,CP*(D4447-K))</f>
        <v>0</v>
      </c>
      <c r="F4447" s="4">
        <f ca="1">(CP*(D4447-K)&gt;0)*1</f>
        <v>0</v>
      </c>
      <c r="H4447" s="4">
        <v>4432</v>
      </c>
      <c r="I4447" s="3">
        <v>0.66780118898707275</v>
      </c>
      <c r="J4447" s="128">
        <v>1.3712208552821882E-3</v>
      </c>
      <c r="K4447" s="128"/>
      <c r="L4447" s="128">
        <v>3.9199999999999999E-2</v>
      </c>
      <c r="O4447" s="2"/>
    </row>
    <row r="4448" spans="2:15" x14ac:dyDescent="0.2">
      <c r="B4448" s="1">
        <f>B4447+1</f>
        <v>4433</v>
      </c>
      <c r="C4448" s="5">
        <f ca="1"/>
        <v>0.49799855390284636</v>
      </c>
      <c r="D4448" s="5">
        <f ca="1">S0*EXP((μ-0.5*σ*σ)*T+σ*SQRT(T)*$C4448)</f>
        <v>0.69794469383156643</v>
      </c>
      <c r="E4448" s="5">
        <f ca="1">MAX(0,CP*(D4448-K))</f>
        <v>0</v>
      </c>
      <c r="F4448" s="4">
        <f ca="1">(CP*(D4448-K)&gt;0)*1</f>
        <v>0</v>
      </c>
      <c r="H4448" s="4">
        <v>4433</v>
      </c>
      <c r="I4448" s="3">
        <v>0.66749661425880269</v>
      </c>
      <c r="J4448" s="128">
        <v>1.1531244540721076E-3</v>
      </c>
      <c r="K4448" s="128"/>
      <c r="L4448" s="128">
        <v>3.7600000000000001E-2</v>
      </c>
      <c r="O4448" s="2"/>
    </row>
    <row r="4449" spans="2:15" x14ac:dyDescent="0.2">
      <c r="B4449" s="1">
        <f>B4448+1</f>
        <v>4434</v>
      </c>
      <c r="C4449" s="5">
        <f ca="1"/>
        <v>0.33119010264991949</v>
      </c>
      <c r="D4449" s="5">
        <f ca="1">S0*EXP((μ-0.5*σ*σ)*T+σ*SQRT(T)*$C4449)</f>
        <v>0.68656070031956329</v>
      </c>
      <c r="E4449" s="5">
        <f ca="1">MAX(0,CP*(D4449-K))</f>
        <v>0</v>
      </c>
      <c r="F4449" s="4">
        <f ca="1">(CP*(D4449-K)&gt;0)*1</f>
        <v>0</v>
      </c>
      <c r="H4449" s="4">
        <v>4434</v>
      </c>
      <c r="I4449" s="3">
        <v>0.66777525691098549</v>
      </c>
      <c r="J4449" s="128">
        <v>1.4374952137107234E-3</v>
      </c>
      <c r="K4449" s="128"/>
      <c r="L4449" s="128">
        <v>4.2000000000000003E-2</v>
      </c>
      <c r="O4449" s="2"/>
    </row>
    <row r="4450" spans="2:15" x14ac:dyDescent="0.2">
      <c r="B4450" s="1">
        <f>B4449+1</f>
        <v>4435</v>
      </c>
      <c r="C4450" s="5">
        <f ca="1"/>
        <v>0.10213889508860879</v>
      </c>
      <c r="D4450" s="5">
        <f ca="1">S0*EXP((μ-0.5*σ*σ)*T+σ*SQRT(T)*$C4450)</f>
        <v>0.6712308135769447</v>
      </c>
      <c r="E4450" s="5">
        <f ca="1">MAX(0,CP*(D4450-K))</f>
        <v>0</v>
      </c>
      <c r="F4450" s="4">
        <f ca="1">(CP*(D4450-K)&gt;0)*1</f>
        <v>0</v>
      </c>
      <c r="H4450" s="4">
        <v>4435</v>
      </c>
      <c r="I4450" s="3">
        <v>0.66787019287234994</v>
      </c>
      <c r="J4450" s="128">
        <v>1.5658388986262996E-3</v>
      </c>
      <c r="K4450" s="128"/>
      <c r="L4450" s="128">
        <v>4.36E-2</v>
      </c>
      <c r="O4450" s="2"/>
    </row>
    <row r="4451" spans="2:15" x14ac:dyDescent="0.2">
      <c r="B4451" s="1">
        <f>B4450+1</f>
        <v>4436</v>
      </c>
      <c r="C4451" s="5">
        <f ca="1"/>
        <v>-1.1342734509869912</v>
      </c>
      <c r="D4451" s="5">
        <f ca="1">S0*EXP((μ-0.5*σ*σ)*T+σ*SQRT(T)*$C4451)</f>
        <v>0.59420138716268123</v>
      </c>
      <c r="E4451" s="5">
        <f ca="1">MAX(0,CP*(D4451-K))</f>
        <v>0</v>
      </c>
      <c r="F4451" s="4">
        <f ca="1">(CP*(D4451-K)&gt;0)*1</f>
        <v>0</v>
      </c>
      <c r="H4451" s="4">
        <v>4436</v>
      </c>
      <c r="I4451" s="3">
        <v>0.66767450163905417</v>
      </c>
      <c r="J4451" s="128">
        <v>1.2543010624702022E-3</v>
      </c>
      <c r="K4451" s="128"/>
      <c r="L4451" s="128">
        <v>3.9800000000000002E-2</v>
      </c>
      <c r="O4451" s="2"/>
    </row>
    <row r="4452" spans="2:15" x14ac:dyDescent="0.2">
      <c r="B4452" s="1">
        <f>B4451+1</f>
        <v>4437</v>
      </c>
      <c r="C4452" s="5">
        <f ca="1"/>
        <v>1.0933207356309427</v>
      </c>
      <c r="D4452" s="5">
        <f ca="1">S0*EXP((μ-0.5*σ*σ)*T+σ*SQRT(T)*$C4452)</f>
        <v>0.74013394161607549</v>
      </c>
      <c r="E4452" s="5">
        <f ca="1">MAX(0,CP*(D4452-K))</f>
        <v>0</v>
      </c>
      <c r="F4452" s="4">
        <f ca="1">(CP*(D4452-K)&gt;0)*1</f>
        <v>0</v>
      </c>
      <c r="H4452" s="4">
        <v>4437</v>
      </c>
      <c r="I4452" s="3">
        <v>0.66771491911082204</v>
      </c>
      <c r="J4452" s="128">
        <v>1.3976733242144796E-3</v>
      </c>
      <c r="K4452" s="128"/>
      <c r="L4452" s="128">
        <v>4.3400000000000001E-2</v>
      </c>
      <c r="O4452" s="2"/>
    </row>
    <row r="4453" spans="2:15" x14ac:dyDescent="0.2">
      <c r="B4453" s="1">
        <f>B4452+1</f>
        <v>4438</v>
      </c>
      <c r="C4453" s="5">
        <f ca="1"/>
        <v>-1.0065137188815245</v>
      </c>
      <c r="D4453" s="5">
        <f ca="1">S0*EXP((μ-0.5*σ*σ)*T+σ*SQRT(T)*$C4453)</f>
        <v>0.60173298852160173</v>
      </c>
      <c r="E4453" s="5">
        <f ca="1">MAX(0,CP*(D4453-K))</f>
        <v>0</v>
      </c>
      <c r="F4453" s="4">
        <f ca="1">(CP*(D4453-K)&gt;0)*1</f>
        <v>0</v>
      </c>
      <c r="H4453" s="4">
        <v>4438</v>
      </c>
      <c r="I4453" s="3">
        <v>0.6675652805614769</v>
      </c>
      <c r="J4453" s="128">
        <v>1.2410367633990133E-3</v>
      </c>
      <c r="K4453" s="128"/>
      <c r="L4453" s="128">
        <v>3.3799999999999997E-2</v>
      </c>
      <c r="O4453" s="2"/>
    </row>
    <row r="4454" spans="2:15" x14ac:dyDescent="0.2">
      <c r="B4454" s="1">
        <f>B4453+1</f>
        <v>4439</v>
      </c>
      <c r="C4454" s="5">
        <f ca="1"/>
        <v>-1.1907778594344902</v>
      </c>
      <c r="D4454" s="5">
        <f ca="1">S0*EXP((μ-0.5*σ*σ)*T+σ*SQRT(T)*$C4454)</f>
        <v>0.59090051557269119</v>
      </c>
      <c r="E4454" s="5">
        <f ca="1">MAX(0,CP*(D4454-K))</f>
        <v>0</v>
      </c>
      <c r="F4454" s="4">
        <f ca="1">(CP*(D4454-K)&gt;0)*1</f>
        <v>0</v>
      </c>
      <c r="H4454" s="4">
        <v>4439</v>
      </c>
      <c r="I4454" s="3">
        <v>0.66763065023446411</v>
      </c>
      <c r="J4454" s="128">
        <v>1.2326197319598891E-3</v>
      </c>
      <c r="K4454" s="128"/>
      <c r="L4454" s="128">
        <v>3.6600000000000001E-2</v>
      </c>
      <c r="O4454" s="2"/>
    </row>
    <row r="4455" spans="2:15" x14ac:dyDescent="0.2">
      <c r="B4455" s="1">
        <f>B4454+1</f>
        <v>4440</v>
      </c>
      <c r="C4455" s="5">
        <f ca="1"/>
        <v>0.17650597643465984</v>
      </c>
      <c r="D4455" s="5">
        <f ca="1">S0*EXP((μ-0.5*σ*σ)*T+σ*SQRT(T)*$C4455)</f>
        <v>0.67617013587891739</v>
      </c>
      <c r="E4455" s="5">
        <f ca="1">MAX(0,CP*(D4455-K))</f>
        <v>0</v>
      </c>
      <c r="F4455" s="4">
        <f ca="1">(CP*(D4455-K)&gt;0)*1</f>
        <v>0</v>
      </c>
      <c r="H4455" s="4">
        <v>4440</v>
      </c>
      <c r="I4455" s="3">
        <v>0.66751448693981164</v>
      </c>
      <c r="J4455" s="128">
        <v>1.1728946556632161E-3</v>
      </c>
      <c r="K4455" s="128"/>
      <c r="L4455" s="128">
        <v>3.7400000000000003E-2</v>
      </c>
      <c r="O4455" s="2"/>
    </row>
    <row r="4456" spans="2:15" x14ac:dyDescent="0.2">
      <c r="B4456" s="1">
        <f>B4455+1</f>
        <v>4441</v>
      </c>
      <c r="C4456" s="5">
        <f ca="1"/>
        <v>-0.6181575573630872</v>
      </c>
      <c r="D4456" s="5">
        <f ca="1">S0*EXP((μ-0.5*σ*σ)*T+σ*SQRT(T)*$C4456)</f>
        <v>0.62521829301294285</v>
      </c>
      <c r="E4456" s="5">
        <f ca="1">MAX(0,CP*(D4456-K))</f>
        <v>0</v>
      </c>
      <c r="F4456" s="4">
        <f ca="1">(CP*(D4456-K)&gt;0)*1</f>
        <v>0</v>
      </c>
      <c r="H4456" s="4">
        <v>4441</v>
      </c>
      <c r="I4456" s="3">
        <v>0.66766043941985487</v>
      </c>
      <c r="J4456" s="128">
        <v>1.277181091444742E-3</v>
      </c>
      <c r="K4456" s="128"/>
      <c r="L4456" s="128">
        <v>4.2200000000000001E-2</v>
      </c>
      <c r="O4456" s="2"/>
    </row>
    <row r="4457" spans="2:15" x14ac:dyDescent="0.2">
      <c r="B4457" s="1">
        <f>B4456+1</f>
        <v>4442</v>
      </c>
      <c r="C4457" s="5">
        <f ca="1"/>
        <v>-2.2237018964650934</v>
      </c>
      <c r="D4457" s="5">
        <f ca="1">S0*EXP((μ-0.5*σ*σ)*T+σ*SQRT(T)*$C4457)</f>
        <v>0.53368955040835442</v>
      </c>
      <c r="E4457" s="5">
        <f ca="1">MAX(0,CP*(D4457-K))</f>
        <v>0</v>
      </c>
      <c r="F4457" s="4">
        <f ca="1">(CP*(D4457-K)&gt;0)*1</f>
        <v>0</v>
      </c>
      <c r="H4457" s="4">
        <v>4442</v>
      </c>
      <c r="I4457" s="3">
        <v>0.66773882812673158</v>
      </c>
      <c r="J4457" s="128">
        <v>1.4241636346421249E-3</v>
      </c>
      <c r="K4457" s="128"/>
      <c r="L4457" s="128">
        <v>4.2200000000000001E-2</v>
      </c>
      <c r="O4457" s="2"/>
    </row>
    <row r="4458" spans="2:15" x14ac:dyDescent="0.2">
      <c r="B4458" s="1">
        <f>B4457+1</f>
        <v>4443</v>
      </c>
      <c r="C4458" s="5">
        <f ca="1"/>
        <v>-1.2368812548825376E-2</v>
      </c>
      <c r="D4458" s="5">
        <f ca="1">S0*EXP((μ-0.5*σ*σ)*T+σ*SQRT(T)*$C4458)</f>
        <v>0.66369588306511451</v>
      </c>
      <c r="E4458" s="5">
        <f ca="1">MAX(0,CP*(D4458-K))</f>
        <v>0</v>
      </c>
      <c r="F4458" s="4">
        <f ca="1">(CP*(D4458-K)&gt;0)*1</f>
        <v>0</v>
      </c>
      <c r="H4458" s="4">
        <v>4443</v>
      </c>
      <c r="I4458" s="3">
        <v>0.66785320010982441</v>
      </c>
      <c r="J4458" s="128">
        <v>1.4109191986851465E-3</v>
      </c>
      <c r="K4458" s="128"/>
      <c r="L4458" s="128">
        <v>4.4400000000000002E-2</v>
      </c>
      <c r="O4458" s="2"/>
    </row>
    <row r="4459" spans="2:15" x14ac:dyDescent="0.2">
      <c r="B4459" s="1">
        <f>B4458+1</f>
        <v>4444</v>
      </c>
      <c r="C4459" s="5">
        <f ca="1"/>
        <v>9.7203859950431334E-2</v>
      </c>
      <c r="D4459" s="5">
        <f ca="1">S0*EXP((μ-0.5*σ*σ)*T+σ*SQRT(T)*$C4459)</f>
        <v>0.67090431731762845</v>
      </c>
      <c r="E4459" s="5">
        <f ca="1">MAX(0,CP*(D4459-K))</f>
        <v>0</v>
      </c>
      <c r="F4459" s="4">
        <f ca="1">(CP*(D4459-K)&gt;0)*1</f>
        <v>0</v>
      </c>
      <c r="H4459" s="4">
        <v>4444</v>
      </c>
      <c r="I4459" s="3">
        <v>0.66771334103344093</v>
      </c>
      <c r="J4459" s="128">
        <v>1.3901923638802657E-3</v>
      </c>
      <c r="K4459" s="128"/>
      <c r="L4459" s="128">
        <v>4.0800000000000003E-2</v>
      </c>
      <c r="O4459" s="2"/>
    </row>
    <row r="4460" spans="2:15" x14ac:dyDescent="0.2">
      <c r="B4460" s="1">
        <f>B4459+1</f>
        <v>4445</v>
      </c>
      <c r="C4460" s="5">
        <f ca="1"/>
        <v>-0.36262614007089033</v>
      </c>
      <c r="D4460" s="5">
        <f ca="1">S0*EXP((μ-0.5*σ*σ)*T+σ*SQRT(T)*$C4460)</f>
        <v>0.64116898764507224</v>
      </c>
      <c r="E4460" s="5">
        <f ca="1">MAX(0,CP*(D4460-K))</f>
        <v>0</v>
      </c>
      <c r="F4460" s="4">
        <f ca="1">(CP*(D4460-K)&gt;0)*1</f>
        <v>0</v>
      </c>
      <c r="H4460" s="4">
        <v>4445</v>
      </c>
      <c r="I4460" s="3">
        <v>0.66773953782509632</v>
      </c>
      <c r="J4460" s="128">
        <v>1.3715791170304109E-3</v>
      </c>
      <c r="K4460" s="128"/>
      <c r="L4460" s="128">
        <v>4.24E-2</v>
      </c>
      <c r="O4460" s="2"/>
    </row>
    <row r="4461" spans="2:15" x14ac:dyDescent="0.2">
      <c r="B4461" s="1">
        <f>B4460+1</f>
        <v>4446</v>
      </c>
      <c r="C4461" s="5">
        <f ca="1"/>
        <v>-1.2884626803369212</v>
      </c>
      <c r="D4461" s="5">
        <f ca="1">S0*EXP((μ-0.5*σ*σ)*T+σ*SQRT(T)*$C4461)</f>
        <v>0.58523716278517479</v>
      </c>
      <c r="E4461" s="5">
        <f ca="1">MAX(0,CP*(D4461-K))</f>
        <v>0</v>
      </c>
      <c r="F4461" s="4">
        <f ca="1">(CP*(D4461-K)&gt;0)*1</f>
        <v>0</v>
      </c>
      <c r="H4461" s="4">
        <v>4446</v>
      </c>
      <c r="I4461" s="3">
        <v>0.66762099566703026</v>
      </c>
      <c r="J4461" s="128">
        <v>1.2913068553372445E-3</v>
      </c>
      <c r="K4461" s="128"/>
      <c r="L4461" s="128">
        <v>3.8399999999999997E-2</v>
      </c>
      <c r="O4461" s="2"/>
    </row>
    <row r="4462" spans="2:15" x14ac:dyDescent="0.2">
      <c r="B4462" s="1">
        <f>B4461+1</f>
        <v>4447</v>
      </c>
      <c r="C4462" s="5">
        <f ca="1"/>
        <v>-0.25355190737931232</v>
      </c>
      <c r="D4462" s="5">
        <f ca="1">S0*EXP((μ-0.5*σ*σ)*T+σ*SQRT(T)*$C4462)</f>
        <v>0.64810090774839435</v>
      </c>
      <c r="E4462" s="5">
        <f ca="1">MAX(0,CP*(D4462-K))</f>
        <v>0</v>
      </c>
      <c r="F4462" s="4">
        <f ca="1">(CP*(D4462-K)&gt;0)*1</f>
        <v>0</v>
      </c>
      <c r="H4462" s="4">
        <v>4447</v>
      </c>
      <c r="I4462" s="3">
        <v>0.66787250667334175</v>
      </c>
      <c r="J4462" s="128">
        <v>1.5002057589786873E-3</v>
      </c>
      <c r="K4462" s="128"/>
      <c r="L4462" s="128">
        <v>4.5400000000000003E-2</v>
      </c>
      <c r="O4462" s="2"/>
    </row>
    <row r="4463" spans="2:15" x14ac:dyDescent="0.2">
      <c r="B4463" s="1">
        <f>B4462+1</f>
        <v>4448</v>
      </c>
      <c r="C4463" s="5">
        <f ca="1"/>
        <v>-1.7440985259815436</v>
      </c>
      <c r="D4463" s="5">
        <f ca="1">S0*EXP((μ-0.5*σ*σ)*T+σ*SQRT(T)*$C4463)</f>
        <v>0.55953002281958808</v>
      </c>
      <c r="E4463" s="5">
        <f ca="1">MAX(0,CP*(D4463-K))</f>
        <v>0</v>
      </c>
      <c r="F4463" s="4">
        <f ca="1">(CP*(D4463-K)&gt;0)*1</f>
        <v>0</v>
      </c>
      <c r="H4463" s="4">
        <v>4448</v>
      </c>
      <c r="I4463" s="3">
        <v>0.66782067034412862</v>
      </c>
      <c r="J4463" s="128">
        <v>1.3604760843755697E-3</v>
      </c>
      <c r="K4463" s="128"/>
      <c r="L4463" s="128">
        <v>4.2599999999999999E-2</v>
      </c>
      <c r="O4463" s="2"/>
    </row>
    <row r="4464" spans="2:15" x14ac:dyDescent="0.2">
      <c r="B4464" s="1">
        <f>B4463+1</f>
        <v>4449</v>
      </c>
      <c r="C4464" s="5">
        <f ca="1"/>
        <v>-0.58124633520101698</v>
      </c>
      <c r="D4464" s="5">
        <f ca="1">S0*EXP((μ-0.5*σ*σ)*T+σ*SQRT(T)*$C4464)</f>
        <v>0.62749759703670671</v>
      </c>
      <c r="E4464" s="5">
        <f ca="1">MAX(0,CP*(D4464-K))</f>
        <v>0</v>
      </c>
      <c r="F4464" s="4">
        <f ca="1">(CP*(D4464-K)&gt;0)*1</f>
        <v>0</v>
      </c>
      <c r="H4464" s="4">
        <v>4449</v>
      </c>
      <c r="I4464" s="3">
        <v>0.66795689711989403</v>
      </c>
      <c r="J4464" s="128">
        <v>1.7252748347610855E-3</v>
      </c>
      <c r="K4464" s="128"/>
      <c r="L4464" s="128">
        <v>4.6600000000000003E-2</v>
      </c>
      <c r="O4464" s="2"/>
    </row>
    <row r="4465" spans="2:15" x14ac:dyDescent="0.2">
      <c r="B4465" s="1">
        <f>B4464+1</f>
        <v>4450</v>
      </c>
      <c r="C4465" s="5">
        <f ca="1"/>
        <v>0.4770984342193198</v>
      </c>
      <c r="D4465" s="5">
        <f ca="1">S0*EXP((μ-0.5*σ*σ)*T+σ*SQRT(T)*$C4465)</f>
        <v>0.69650806641379159</v>
      </c>
      <c r="E4465" s="5">
        <f ca="1">MAX(0,CP*(D4465-K))</f>
        <v>0</v>
      </c>
      <c r="F4465" s="4">
        <f ca="1">(CP*(D4465-K)&gt;0)*1</f>
        <v>0</v>
      </c>
      <c r="H4465" s="4">
        <v>4450</v>
      </c>
      <c r="I4465" s="3">
        <v>0.6678674819210082</v>
      </c>
      <c r="J4465" s="128">
        <v>1.4031480771341369E-3</v>
      </c>
      <c r="K4465" s="128"/>
      <c r="L4465" s="128">
        <v>4.0599999999999997E-2</v>
      </c>
      <c r="O4465" s="2"/>
    </row>
    <row r="4466" spans="2:15" x14ac:dyDescent="0.2">
      <c r="B4466" s="1">
        <f>B4465+1</f>
        <v>4451</v>
      </c>
      <c r="C4466" s="5">
        <f ca="1"/>
        <v>1.1066852780943659</v>
      </c>
      <c r="D4466" s="5">
        <f ca="1">S0*EXP((μ-0.5*σ*σ)*T+σ*SQRT(T)*$C4466)</f>
        <v>0.74110976737077439</v>
      </c>
      <c r="E4466" s="5">
        <f ca="1">MAX(0,CP*(D4466-K))</f>
        <v>0</v>
      </c>
      <c r="F4466" s="4">
        <f ca="1">(CP*(D4466-K)&gt;0)*1</f>
        <v>0</v>
      </c>
      <c r="H4466" s="4">
        <v>4451</v>
      </c>
      <c r="I4466" s="3">
        <v>0.66763616845956586</v>
      </c>
      <c r="J4466" s="128">
        <v>1.2003002455444282E-3</v>
      </c>
      <c r="K4466" s="128"/>
      <c r="L4466" s="128">
        <v>3.9800000000000002E-2</v>
      </c>
      <c r="O4466" s="2"/>
    </row>
    <row r="4467" spans="2:15" x14ac:dyDescent="0.2">
      <c r="B4467" s="1">
        <f>B4466+1</f>
        <v>4452</v>
      </c>
      <c r="C4467" s="5">
        <f ca="1"/>
        <v>-0.62354120931754842</v>
      </c>
      <c r="D4467" s="5">
        <f ca="1">S0*EXP((μ-0.5*σ*σ)*T+σ*SQRT(T)*$C4467)</f>
        <v>0.62488653981005937</v>
      </c>
      <c r="E4467" s="5">
        <f ca="1">MAX(0,CP*(D4467-K))</f>
        <v>0</v>
      </c>
      <c r="F4467" s="4">
        <f ca="1">(CP*(D4467-K)&gt;0)*1</f>
        <v>0</v>
      </c>
      <c r="H4467" s="4">
        <v>4452</v>
      </c>
      <c r="I4467" s="3">
        <v>0.667854160531689</v>
      </c>
      <c r="J4467" s="128">
        <v>1.5139078073985953E-3</v>
      </c>
      <c r="K4467" s="128"/>
      <c r="L4467" s="128">
        <v>4.3400000000000001E-2</v>
      </c>
      <c r="O4467" s="2"/>
    </row>
    <row r="4468" spans="2:15" x14ac:dyDescent="0.2">
      <c r="B4468" s="1">
        <f>B4467+1</f>
        <v>4453</v>
      </c>
      <c r="C4468" s="5">
        <f ca="1"/>
        <v>-0.46057446766325139</v>
      </c>
      <c r="D4468" s="5">
        <f ca="1">S0*EXP((μ-0.5*σ*σ)*T+σ*SQRT(T)*$C4468)</f>
        <v>0.63500735129279884</v>
      </c>
      <c r="E4468" s="5">
        <f ca="1">MAX(0,CP*(D4468-K))</f>
        <v>0</v>
      </c>
      <c r="F4468" s="4">
        <f ca="1">(CP*(D4468-K)&gt;0)*1</f>
        <v>0</v>
      </c>
      <c r="H4468" s="4">
        <v>4453</v>
      </c>
      <c r="I4468" s="3">
        <v>0.66769644236362691</v>
      </c>
      <c r="J4468" s="128">
        <v>1.2830871047559565E-3</v>
      </c>
      <c r="K4468" s="128"/>
      <c r="L4468" s="128">
        <v>4.1799999999999997E-2</v>
      </c>
      <c r="O4468" s="2"/>
    </row>
    <row r="4469" spans="2:15" x14ac:dyDescent="0.2">
      <c r="B4469" s="1">
        <f>B4468+1</f>
        <v>4454</v>
      </c>
      <c r="C4469" s="5">
        <f ca="1"/>
        <v>0.98073977014574398</v>
      </c>
      <c r="D4469" s="5">
        <f ca="1">S0*EXP((μ-0.5*σ*σ)*T+σ*SQRT(T)*$C4469)</f>
        <v>0.7319645614537359</v>
      </c>
      <c r="E4469" s="5">
        <f ca="1">MAX(0,CP*(D4469-K))</f>
        <v>0</v>
      </c>
      <c r="F4469" s="4">
        <f ca="1">(CP*(D4469-K)&gt;0)*1</f>
        <v>0</v>
      </c>
      <c r="H4469" s="4">
        <v>4454</v>
      </c>
      <c r="I4469" s="3">
        <v>0.66789685440265445</v>
      </c>
      <c r="J4469" s="128">
        <v>1.6337840570964839E-3</v>
      </c>
      <c r="K4469" s="128"/>
      <c r="L4469" s="128">
        <v>4.5400000000000003E-2</v>
      </c>
      <c r="O4469" s="2"/>
    </row>
    <row r="4470" spans="2:15" x14ac:dyDescent="0.2">
      <c r="B4470" s="1">
        <f>B4469+1</f>
        <v>4455</v>
      </c>
      <c r="C4470" s="5">
        <f ca="1"/>
        <v>-1.972368505209628</v>
      </c>
      <c r="D4470" s="5">
        <f ca="1">S0*EXP((μ-0.5*σ*σ)*T+σ*SQRT(T)*$C4470)</f>
        <v>0.54707867755454609</v>
      </c>
      <c r="E4470" s="5">
        <f ca="1">MAX(0,CP*(D4470-K))</f>
        <v>0</v>
      </c>
      <c r="F4470" s="4">
        <f ca="1">(CP*(D4470-K)&gt;0)*1</f>
        <v>0</v>
      </c>
      <c r="H4470" s="4">
        <v>4455</v>
      </c>
      <c r="I4470" s="3">
        <v>0.66769378421372394</v>
      </c>
      <c r="J4470" s="128">
        <v>1.3032148959217205E-3</v>
      </c>
      <c r="K4470" s="128"/>
      <c r="L4470" s="128">
        <v>4.2000000000000003E-2</v>
      </c>
      <c r="O4470" s="2"/>
    </row>
    <row r="4471" spans="2:15" x14ac:dyDescent="0.2">
      <c r="B4471" s="1">
        <f>B4470+1</f>
        <v>4456</v>
      </c>
      <c r="C4471" s="5">
        <f ca="1"/>
        <v>0.16209565023313563</v>
      </c>
      <c r="D4471" s="5">
        <f ca="1">S0*EXP((μ-0.5*σ*σ)*T+σ*SQRT(T)*$C4471)</f>
        <v>0.67521019815664607</v>
      </c>
      <c r="E4471" s="5">
        <f ca="1">MAX(0,CP*(D4471-K))</f>
        <v>0</v>
      </c>
      <c r="F4471" s="4">
        <f ca="1">(CP*(D4471-K)&gt;0)*1</f>
        <v>0</v>
      </c>
      <c r="H4471" s="4">
        <v>4456</v>
      </c>
      <c r="I4471" s="3">
        <v>0.66765705503812489</v>
      </c>
      <c r="J4471" s="128">
        <v>1.2458692007672569E-3</v>
      </c>
      <c r="K4471" s="128"/>
      <c r="L4471" s="128">
        <v>3.9399999999999998E-2</v>
      </c>
      <c r="O4471" s="2"/>
    </row>
    <row r="4472" spans="2:15" x14ac:dyDescent="0.2">
      <c r="B4472" s="1">
        <f>B4471+1</f>
        <v>4457</v>
      </c>
      <c r="C4472" s="5">
        <f ca="1"/>
        <v>0.15194038814724969</v>
      </c>
      <c r="D4472" s="5">
        <f ca="1">S0*EXP((μ-0.5*σ*σ)*T+σ*SQRT(T)*$C4472)</f>
        <v>0.6745345284249129</v>
      </c>
      <c r="E4472" s="5">
        <f ca="1">MAX(0,CP*(D4472-K))</f>
        <v>0</v>
      </c>
      <c r="F4472" s="4">
        <f ca="1">(CP*(D4472-K)&gt;0)*1</f>
        <v>0</v>
      </c>
      <c r="H4472" s="4">
        <v>4457</v>
      </c>
      <c r="I4472" s="3">
        <v>0.66775117392701111</v>
      </c>
      <c r="J4472" s="128">
        <v>1.3030542844645024E-3</v>
      </c>
      <c r="K4472" s="128"/>
      <c r="L4472" s="128">
        <v>3.8800000000000001E-2</v>
      </c>
      <c r="O4472" s="2"/>
    </row>
    <row r="4473" spans="2:15" x14ac:dyDescent="0.2">
      <c r="B4473" s="1">
        <f>B4472+1</f>
        <v>4458</v>
      </c>
      <c r="C4473" s="5">
        <f ca="1"/>
        <v>-0.24659343480710008</v>
      </c>
      <c r="D4473" s="5">
        <f ca="1">S0*EXP((μ-0.5*σ*σ)*T+σ*SQRT(T)*$C4473)</f>
        <v>0.64854566930906954</v>
      </c>
      <c r="E4473" s="5">
        <f ca="1">MAX(0,CP*(D4473-K))</f>
        <v>0</v>
      </c>
      <c r="F4473" s="4">
        <f ca="1">(CP*(D4473-K)&gt;0)*1</f>
        <v>0</v>
      </c>
      <c r="H4473" s="4">
        <v>4458</v>
      </c>
      <c r="I4473" s="3">
        <v>0.66773906716666387</v>
      </c>
      <c r="J4473" s="128">
        <v>1.3226629364840954E-3</v>
      </c>
      <c r="K4473" s="128"/>
      <c r="L4473" s="128">
        <v>4.1000000000000002E-2</v>
      </c>
      <c r="O4473" s="2"/>
    </row>
    <row r="4474" spans="2:15" x14ac:dyDescent="0.2">
      <c r="B4474" s="1">
        <f>B4473+1</f>
        <v>4459</v>
      </c>
      <c r="C4474" s="5">
        <f ca="1"/>
        <v>-1.9610721865615244E-2</v>
      </c>
      <c r="D4474" s="5">
        <f ca="1">S0*EXP((μ-0.5*σ*σ)*T+σ*SQRT(T)*$C4474)</f>
        <v>0.66322219886277756</v>
      </c>
      <c r="E4474" s="5">
        <f ca="1">MAX(0,CP*(D4474-K))</f>
        <v>0</v>
      </c>
      <c r="F4474" s="4">
        <f ca="1">(CP*(D4474-K)&gt;0)*1</f>
        <v>0</v>
      </c>
      <c r="H4474" s="4">
        <v>4459</v>
      </c>
      <c r="I4474" s="3">
        <v>0.66765188357168259</v>
      </c>
      <c r="J4474" s="128">
        <v>1.2370030476043976E-3</v>
      </c>
      <c r="K4474" s="128"/>
      <c r="L4474" s="128">
        <v>3.8199999999999998E-2</v>
      </c>
      <c r="O4474" s="2"/>
    </row>
    <row r="4475" spans="2:15" x14ac:dyDescent="0.2">
      <c r="B4475" s="1">
        <f>B4474+1</f>
        <v>4460</v>
      </c>
      <c r="C4475" s="5">
        <f ca="1"/>
        <v>0.53448532888858313</v>
      </c>
      <c r="D4475" s="5">
        <f ca="1">S0*EXP((μ-0.5*σ*σ)*T+σ*SQRT(T)*$C4475)</f>
        <v>0.70045981870203955</v>
      </c>
      <c r="E4475" s="5">
        <f ca="1">MAX(0,CP*(D4475-K))</f>
        <v>0</v>
      </c>
      <c r="F4475" s="4">
        <f ca="1">(CP*(D4475-K)&gt;0)*1</f>
        <v>0</v>
      </c>
      <c r="H4475" s="4">
        <v>4460</v>
      </c>
      <c r="I4475" s="3">
        <v>0.66795858090409477</v>
      </c>
      <c r="J4475" s="128">
        <v>1.5371410450626068E-3</v>
      </c>
      <c r="K4475" s="128"/>
      <c r="L4475" s="128">
        <v>4.7199999999999999E-2</v>
      </c>
      <c r="O4475" s="2"/>
    </row>
    <row r="4476" spans="2:15" x14ac:dyDescent="0.2">
      <c r="B4476" s="1">
        <f>B4475+1</f>
        <v>4461</v>
      </c>
      <c r="C4476" s="5">
        <f ca="1"/>
        <v>-0.70871307001075368</v>
      </c>
      <c r="D4476" s="5">
        <f ca="1">S0*EXP((μ-0.5*σ*σ)*T+σ*SQRT(T)*$C4476)</f>
        <v>0.6196614117051843</v>
      </c>
      <c r="E4476" s="5">
        <f ca="1">MAX(0,CP*(D4476-K))</f>
        <v>0</v>
      </c>
      <c r="F4476" s="4">
        <f ca="1">(CP*(D4476-K)&gt;0)*1</f>
        <v>0</v>
      </c>
      <c r="H4476" s="4">
        <v>4461</v>
      </c>
      <c r="I4476" s="3">
        <v>0.66785269459128904</v>
      </c>
      <c r="J4476" s="128">
        <v>1.421850773592919E-3</v>
      </c>
      <c r="K4476" s="128"/>
      <c r="L4476" s="128">
        <v>4.4999999999999998E-2</v>
      </c>
      <c r="O4476" s="2"/>
    </row>
    <row r="4477" spans="2:15" x14ac:dyDescent="0.2">
      <c r="B4477" s="1">
        <f>B4476+1</f>
        <v>4462</v>
      </c>
      <c r="C4477" s="5">
        <f ca="1"/>
        <v>-1.3651094726984416</v>
      </c>
      <c r="D4477" s="5">
        <f ca="1">S0*EXP((μ-0.5*σ*σ)*T+σ*SQRT(T)*$C4477)</f>
        <v>0.58083153522587749</v>
      </c>
      <c r="E4477" s="5">
        <f ca="1">MAX(0,CP*(D4477-K))</f>
        <v>0</v>
      </c>
      <c r="F4477" s="4">
        <f ca="1">(CP*(D4477-K)&gt;0)*1</f>
        <v>0</v>
      </c>
      <c r="H4477" s="4">
        <v>4462</v>
      </c>
      <c r="I4477" s="3">
        <v>0.66772332068190088</v>
      </c>
      <c r="J4477" s="128">
        <v>1.3072132372719222E-3</v>
      </c>
      <c r="K4477" s="128"/>
      <c r="L4477" s="128">
        <v>4.1799999999999997E-2</v>
      </c>
      <c r="O4477" s="2"/>
    </row>
    <row r="4478" spans="2:15" x14ac:dyDescent="0.2">
      <c r="B4478" s="1">
        <f>B4477+1</f>
        <v>4463</v>
      </c>
      <c r="C4478" s="5">
        <f ca="1"/>
        <v>-1.4436196601742832</v>
      </c>
      <c r="D4478" s="5">
        <f ca="1">S0*EXP((μ-0.5*σ*σ)*T+σ*SQRT(T)*$C4478)</f>
        <v>0.57635318287002169</v>
      </c>
      <c r="E4478" s="5">
        <f ca="1">MAX(0,CP*(D4478-K))</f>
        <v>0</v>
      </c>
      <c r="F4478" s="4">
        <f ca="1">(CP*(D4478-K)&gt;0)*1</f>
        <v>0</v>
      </c>
      <c r="H4478" s="4">
        <v>4463</v>
      </c>
      <c r="I4478" s="3">
        <v>0.66779530778344698</v>
      </c>
      <c r="J4478" s="128">
        <v>1.4534820838539232E-3</v>
      </c>
      <c r="K4478" s="128"/>
      <c r="L4478" s="128">
        <v>4.36E-2</v>
      </c>
      <c r="O4478" s="2"/>
    </row>
    <row r="4479" spans="2:15" x14ac:dyDescent="0.2">
      <c r="B4479" s="1">
        <f>B4478+1</f>
        <v>4464</v>
      </c>
      <c r="C4479" s="5">
        <f ca="1"/>
        <v>-0.69884709012982815</v>
      </c>
      <c r="D4479" s="5">
        <f ca="1">S0*EXP((μ-0.5*σ*σ)*T+σ*SQRT(T)*$C4479)</f>
        <v>0.62026442602588994</v>
      </c>
      <c r="E4479" s="5">
        <f ca="1">MAX(0,CP*(D4479-K))</f>
        <v>0</v>
      </c>
      <c r="F4479" s="4">
        <f ca="1">(CP*(D4479-K)&gt;0)*1</f>
        <v>0</v>
      </c>
      <c r="H4479" s="4">
        <v>4464</v>
      </c>
      <c r="I4479" s="3">
        <v>0.66781740252610866</v>
      </c>
      <c r="J4479" s="128">
        <v>1.4426815928398615E-3</v>
      </c>
      <c r="K4479" s="128"/>
      <c r="L4479" s="128">
        <v>4.3200000000000002E-2</v>
      </c>
      <c r="O4479" s="2"/>
    </row>
    <row r="4480" spans="2:15" x14ac:dyDescent="0.2">
      <c r="B4480" s="1">
        <f>B4479+1</f>
        <v>4465</v>
      </c>
      <c r="C4480" s="5">
        <f ca="1"/>
        <v>2.0461425442491401</v>
      </c>
      <c r="D4480" s="5">
        <f ca="1">S0*EXP((μ-0.5*σ*σ)*T+σ*SQRT(T)*$C4480)</f>
        <v>0.81302955608144767</v>
      </c>
      <c r="E4480" s="5">
        <f ca="1">MAX(0,CP*(D4480-K))</f>
        <v>2.4829556081447657E-2</v>
      </c>
      <c r="F4480" s="4">
        <f ca="1">(CP*(D4480-K)&gt;0)*1</f>
        <v>1</v>
      </c>
      <c r="H4480" s="4">
        <v>4465</v>
      </c>
      <c r="I4480" s="3">
        <v>0.66779200930670513</v>
      </c>
      <c r="J4480" s="128">
        <v>1.5194915853704331E-3</v>
      </c>
      <c r="K4480" s="128"/>
      <c r="L4480" s="128">
        <v>4.1799999999999997E-2</v>
      </c>
      <c r="O4480" s="2"/>
    </row>
    <row r="4481" spans="2:15" x14ac:dyDescent="0.2">
      <c r="B4481" s="1">
        <f>B4480+1</f>
        <v>4466</v>
      </c>
      <c r="C4481" s="5">
        <f ca="1"/>
        <v>0.3904439749891423</v>
      </c>
      <c r="D4481" s="5">
        <f ca="1">S0*EXP((μ-0.5*σ*σ)*T+σ*SQRT(T)*$C4481)</f>
        <v>0.69058311204930856</v>
      </c>
      <c r="E4481" s="5">
        <f ca="1">MAX(0,CP*(D4481-K))</f>
        <v>0</v>
      </c>
      <c r="F4481" s="4">
        <f ca="1">(CP*(D4481-K)&gt;0)*1</f>
        <v>0</v>
      </c>
      <c r="H4481" s="4">
        <v>4466</v>
      </c>
      <c r="I4481" s="3">
        <v>0.66771905211696803</v>
      </c>
      <c r="J4481" s="128">
        <v>1.3900653336560507E-3</v>
      </c>
      <c r="K4481" s="128"/>
      <c r="L4481" s="128">
        <v>4.48E-2</v>
      </c>
      <c r="O4481" s="2"/>
    </row>
    <row r="4482" spans="2:15" x14ac:dyDescent="0.2">
      <c r="B4482" s="1">
        <f>B4481+1</f>
        <v>4467</v>
      </c>
      <c r="C4482" s="5">
        <f ca="1"/>
        <v>-0.65470790264655621</v>
      </c>
      <c r="D4482" s="5">
        <f ca="1">S0*EXP((μ-0.5*σ*σ)*T+σ*SQRT(T)*$C4482)</f>
        <v>0.62296943184060305</v>
      </c>
      <c r="E4482" s="5">
        <f ca="1">MAX(0,CP*(D4482-K))</f>
        <v>0</v>
      </c>
      <c r="F4482" s="4">
        <f ca="1">(CP*(D4482-K)&gt;0)*1</f>
        <v>0</v>
      </c>
      <c r="H4482" s="4">
        <v>4467</v>
      </c>
      <c r="I4482" s="3">
        <v>0.6676531377807533</v>
      </c>
      <c r="J4482" s="128">
        <v>1.3313422392588808E-3</v>
      </c>
      <c r="K4482" s="128"/>
      <c r="L4482" s="128">
        <v>0.04</v>
      </c>
      <c r="O4482" s="2"/>
    </row>
    <row r="4483" spans="2:15" x14ac:dyDescent="0.2">
      <c r="B4483" s="1">
        <f>B4482+1</f>
        <v>4468</v>
      </c>
      <c r="C4483" s="5">
        <f ca="1"/>
        <v>0.98488944027185965</v>
      </c>
      <c r="D4483" s="5">
        <f ca="1">S0*EXP((μ-0.5*σ*σ)*T+σ*SQRT(T)*$C4483)</f>
        <v>0.73226407342734678</v>
      </c>
      <c r="E4483" s="5">
        <f ca="1">MAX(0,CP*(D4483-K))</f>
        <v>0</v>
      </c>
      <c r="F4483" s="4">
        <f ca="1">(CP*(D4483-K)&gt;0)*1</f>
        <v>0</v>
      </c>
      <c r="H4483" s="4">
        <v>4468</v>
      </c>
      <c r="I4483" s="3">
        <v>0.66781915412235926</v>
      </c>
      <c r="J4483" s="128">
        <v>1.3822347054705986E-3</v>
      </c>
      <c r="K4483" s="128"/>
      <c r="L4483" s="128">
        <v>4.2000000000000003E-2</v>
      </c>
      <c r="O4483" s="2"/>
    </row>
    <row r="4484" spans="2:15" x14ac:dyDescent="0.2">
      <c r="B4484" s="1">
        <f>B4483+1</f>
        <v>4469</v>
      </c>
      <c r="C4484" s="5">
        <f ca="1"/>
        <v>-0.91695154852928762</v>
      </c>
      <c r="D4484" s="5">
        <f ca="1">S0*EXP((μ-0.5*σ*σ)*T+σ*SQRT(T)*$C4484)</f>
        <v>0.60706964082769577</v>
      </c>
      <c r="E4484" s="5">
        <f ca="1">MAX(0,CP*(D4484-K))</f>
        <v>0</v>
      </c>
      <c r="F4484" s="4">
        <f ca="1">(CP*(D4484-K)&gt;0)*1</f>
        <v>0</v>
      </c>
      <c r="H4484" s="4">
        <v>4469</v>
      </c>
      <c r="I4484" s="3">
        <v>0.66779641832607151</v>
      </c>
      <c r="J4484" s="128">
        <v>1.4802370706435055E-3</v>
      </c>
      <c r="K4484" s="128"/>
      <c r="L4484" s="128">
        <v>4.2599999999999999E-2</v>
      </c>
      <c r="O4484" s="2"/>
    </row>
    <row r="4485" spans="2:15" x14ac:dyDescent="0.2">
      <c r="B4485" s="1">
        <f>B4484+1</f>
        <v>4470</v>
      </c>
      <c r="C4485" s="5">
        <f ca="1"/>
        <v>2.1658398898741589</v>
      </c>
      <c r="D4485" s="5">
        <f ca="1">S0*EXP((μ-0.5*σ*σ)*T+σ*SQRT(T)*$C4485)</f>
        <v>0.82268067294394953</v>
      </c>
      <c r="E4485" s="5">
        <f ca="1">MAX(0,CP*(D4485-K))</f>
        <v>3.448067294394952E-2</v>
      </c>
      <c r="F4485" s="4">
        <f ca="1">(CP*(D4485-K)&gt;0)*1</f>
        <v>1</v>
      </c>
      <c r="H4485" s="4">
        <v>4470</v>
      </c>
      <c r="I4485" s="3">
        <v>0.66774548374708398</v>
      </c>
      <c r="J4485" s="128">
        <v>1.4312187814100657E-3</v>
      </c>
      <c r="K4485" s="128"/>
      <c r="L4485" s="128">
        <v>4.3200000000000002E-2</v>
      </c>
      <c r="O4485" s="2"/>
    </row>
    <row r="4486" spans="2:15" x14ac:dyDescent="0.2">
      <c r="B4486" s="1">
        <f>B4485+1</f>
        <v>4471</v>
      </c>
      <c r="C4486" s="5">
        <f ca="1"/>
        <v>-1.3598951427083052</v>
      </c>
      <c r="D4486" s="5">
        <f ca="1">S0*EXP((μ-0.5*σ*σ)*T+σ*SQRT(T)*$C4486)</f>
        <v>0.58113019865929216</v>
      </c>
      <c r="E4486" s="5">
        <f ca="1">MAX(0,CP*(D4486-K))</f>
        <v>0</v>
      </c>
      <c r="F4486" s="4">
        <f ca="1">(CP*(D4486-K)&gt;0)*1</f>
        <v>0</v>
      </c>
      <c r="H4486" s="4">
        <v>4471</v>
      </c>
      <c r="I4486" s="3">
        <v>0.6676588510973539</v>
      </c>
      <c r="J4486" s="128">
        <v>1.3498898297564694E-3</v>
      </c>
      <c r="K4486" s="128"/>
      <c r="L4486" s="128">
        <v>4.1000000000000002E-2</v>
      </c>
      <c r="O4486" s="2"/>
    </row>
    <row r="4487" spans="2:15" x14ac:dyDescent="0.2">
      <c r="B4487" s="1">
        <f>B4486+1</f>
        <v>4472</v>
      </c>
      <c r="C4487" s="5">
        <f ca="1"/>
        <v>-1.5990130854547873</v>
      </c>
      <c r="D4487" s="5">
        <f ca="1">S0*EXP((μ-0.5*σ*σ)*T+σ*SQRT(T)*$C4487)</f>
        <v>0.56759083196791027</v>
      </c>
      <c r="E4487" s="5">
        <f ca="1">MAX(0,CP*(D4487-K))</f>
        <v>0</v>
      </c>
      <c r="F4487" s="4">
        <f ca="1">(CP*(D4487-K)&gt;0)*1</f>
        <v>0</v>
      </c>
      <c r="H4487" s="4">
        <v>4472</v>
      </c>
      <c r="I4487" s="3">
        <v>0.66776555903073009</v>
      </c>
      <c r="J4487" s="128">
        <v>1.3317438502635903E-3</v>
      </c>
      <c r="K4487" s="128"/>
      <c r="L4487" s="128">
        <v>3.9800000000000002E-2</v>
      </c>
      <c r="O4487" s="2"/>
    </row>
    <row r="4488" spans="2:15" x14ac:dyDescent="0.2">
      <c r="B4488" s="1">
        <f>B4487+1</f>
        <v>4473</v>
      </c>
      <c r="C4488" s="5">
        <f ca="1"/>
        <v>0.20893126717506649</v>
      </c>
      <c r="D4488" s="5">
        <f ca="1">S0*EXP((μ-0.5*σ*σ)*T+σ*SQRT(T)*$C4488)</f>
        <v>0.67833512605690394</v>
      </c>
      <c r="E4488" s="5">
        <f ca="1">MAX(0,CP*(D4488-K))</f>
        <v>0</v>
      </c>
      <c r="F4488" s="4">
        <f ca="1">(CP*(D4488-K)&gt;0)*1</f>
        <v>0</v>
      </c>
      <c r="H4488" s="4">
        <v>4473</v>
      </c>
      <c r="I4488" s="3">
        <v>0.66767858752581655</v>
      </c>
      <c r="J4488" s="128">
        <v>1.3315229913953238E-3</v>
      </c>
      <c r="K4488" s="128"/>
      <c r="L4488" s="128">
        <v>4.1000000000000002E-2</v>
      </c>
      <c r="O4488" s="2"/>
    </row>
    <row r="4489" spans="2:15" x14ac:dyDescent="0.2">
      <c r="B4489" s="1">
        <f>B4488+1</f>
        <v>4474</v>
      </c>
      <c r="C4489" s="5">
        <f ca="1"/>
        <v>-0.46179907927739294</v>
      </c>
      <c r="D4489" s="5">
        <f ca="1">S0*EXP((μ-0.5*σ*σ)*T+σ*SQRT(T)*$C4489)</f>
        <v>0.63493069061914453</v>
      </c>
      <c r="E4489" s="5">
        <f ca="1">MAX(0,CP*(D4489-K))</f>
        <v>0</v>
      </c>
      <c r="F4489" s="4">
        <f ca="1">(CP*(D4489-K)&gt;0)*1</f>
        <v>0</v>
      </c>
      <c r="H4489" s="4">
        <v>4474</v>
      </c>
      <c r="I4489" s="3">
        <v>0.6677730171351306</v>
      </c>
      <c r="J4489" s="128">
        <v>1.4682213860676364E-3</v>
      </c>
      <c r="K4489" s="128"/>
      <c r="L4489" s="128">
        <v>4.3799999999999999E-2</v>
      </c>
      <c r="O4489" s="2"/>
    </row>
    <row r="4490" spans="2:15" x14ac:dyDescent="0.2">
      <c r="B4490" s="1">
        <f>B4489+1</f>
        <v>4475</v>
      </c>
      <c r="C4490" s="5">
        <f ca="1"/>
        <v>-1.3871410818212171</v>
      </c>
      <c r="D4490" s="5">
        <f ca="1">S0*EXP((μ-0.5*σ*σ)*T+σ*SQRT(T)*$C4490)</f>
        <v>0.57957131467145084</v>
      </c>
      <c r="E4490" s="5">
        <f ca="1">MAX(0,CP*(D4490-K))</f>
        <v>0</v>
      </c>
      <c r="F4490" s="4">
        <f ca="1">(CP*(D4490-K)&gt;0)*1</f>
        <v>0</v>
      </c>
      <c r="H4490" s="4">
        <v>4475</v>
      </c>
      <c r="I4490" s="3">
        <v>0.66778149500305872</v>
      </c>
      <c r="J4490" s="128">
        <v>1.4383276617460424E-3</v>
      </c>
      <c r="K4490" s="128"/>
      <c r="L4490" s="128">
        <v>3.9399999999999998E-2</v>
      </c>
      <c r="O4490" s="2"/>
    </row>
    <row r="4491" spans="2:15" x14ac:dyDescent="0.2">
      <c r="B4491" s="1">
        <f>B4490+1</f>
        <v>4476</v>
      </c>
      <c r="C4491" s="5">
        <f ca="1"/>
        <v>0.47932785710852327</v>
      </c>
      <c r="D4491" s="5">
        <f ca="1">S0*EXP((μ-0.5*σ*σ)*T+σ*SQRT(T)*$C4491)</f>
        <v>0.6966611709488606</v>
      </c>
      <c r="E4491" s="5">
        <f ca="1">MAX(0,CP*(D4491-K))</f>
        <v>0</v>
      </c>
      <c r="F4491" s="4">
        <f ca="1">(CP*(D4491-K)&gt;0)*1</f>
        <v>0</v>
      </c>
      <c r="H4491" s="4">
        <v>4476</v>
      </c>
      <c r="I4491" s="3">
        <v>0.66761167612946315</v>
      </c>
      <c r="J4491" s="128">
        <v>1.2121583106258558E-3</v>
      </c>
      <c r="K4491" s="128"/>
      <c r="L4491" s="128">
        <v>3.7400000000000003E-2</v>
      </c>
      <c r="O4491" s="2"/>
    </row>
    <row r="4492" spans="2:15" x14ac:dyDescent="0.2">
      <c r="B4492" s="1">
        <f>B4491+1</f>
        <v>4477</v>
      </c>
      <c r="C4492" s="5">
        <f ca="1"/>
        <v>-2.1814187481727259</v>
      </c>
      <c r="D4492" s="5">
        <f ca="1">S0*EXP((μ-0.5*σ*σ)*T+σ*SQRT(T)*$C4492)</f>
        <v>0.53591892603224223</v>
      </c>
      <c r="E4492" s="5">
        <f ca="1">MAX(0,CP*(D4492-K))</f>
        <v>0</v>
      </c>
      <c r="F4492" s="4">
        <f ca="1">(CP*(D4492-K)&gt;0)*1</f>
        <v>0</v>
      </c>
      <c r="H4492" s="4">
        <v>4477</v>
      </c>
      <c r="I4492" s="3">
        <v>0.66771515681964477</v>
      </c>
      <c r="J4492" s="128">
        <v>1.3102247776008117E-3</v>
      </c>
      <c r="K4492" s="128"/>
      <c r="L4492" s="128">
        <v>0.04</v>
      </c>
      <c r="O4492" s="2"/>
    </row>
    <row r="4493" spans="2:15" x14ac:dyDescent="0.2">
      <c r="B4493" s="1">
        <f>B4492+1</f>
        <v>4478</v>
      </c>
      <c r="C4493" s="5">
        <f ca="1"/>
        <v>1.5790432723721475</v>
      </c>
      <c r="D4493" s="5">
        <f ca="1">S0*EXP((μ-0.5*σ*σ)*T+σ*SQRT(T)*$C4493)</f>
        <v>0.77643841458468599</v>
      </c>
      <c r="E4493" s="5">
        <f ca="1">MAX(0,CP*(D4493-K))</f>
        <v>0</v>
      </c>
      <c r="F4493" s="4">
        <f ca="1">(CP*(D4493-K)&gt;0)*1</f>
        <v>0</v>
      </c>
      <c r="H4493" s="4">
        <v>4478</v>
      </c>
      <c r="I4493" s="3">
        <v>0.66775945793107461</v>
      </c>
      <c r="J4493" s="128">
        <v>1.3108874592775057E-3</v>
      </c>
      <c r="K4493" s="128"/>
      <c r="L4493" s="128">
        <v>0.04</v>
      </c>
      <c r="O4493" s="2"/>
    </row>
    <row r="4494" spans="2:15" x14ac:dyDescent="0.2">
      <c r="B4494" s="1">
        <f>B4493+1</f>
        <v>4479</v>
      </c>
      <c r="C4494" s="5">
        <f ca="1"/>
        <v>-0.61468124956637671</v>
      </c>
      <c r="D4494" s="5">
        <f ca="1">S0*EXP((μ-0.5*σ*σ)*T+σ*SQRT(T)*$C4494)</f>
        <v>0.62543260479239826</v>
      </c>
      <c r="E4494" s="5">
        <f ca="1">MAX(0,CP*(D4494-K))</f>
        <v>0</v>
      </c>
      <c r="F4494" s="4">
        <f ca="1">(CP*(D4494-K)&gt;0)*1</f>
        <v>0</v>
      </c>
      <c r="H4494" s="4">
        <v>4479</v>
      </c>
      <c r="I4494" s="3">
        <v>0.66771791772597522</v>
      </c>
      <c r="J4494" s="128">
        <v>1.2690224795988115E-3</v>
      </c>
      <c r="K4494" s="128"/>
      <c r="L4494" s="128">
        <v>4.24E-2</v>
      </c>
      <c r="O4494" s="2"/>
    </row>
    <row r="4495" spans="2:15" x14ac:dyDescent="0.2">
      <c r="B4495" s="1">
        <f>B4494+1</f>
        <v>4480</v>
      </c>
      <c r="C4495" s="5">
        <f ca="1"/>
        <v>0.60395802128382692</v>
      </c>
      <c r="D4495" s="5">
        <f ca="1">S0*EXP((μ-0.5*σ*σ)*T+σ*SQRT(T)*$C4495)</f>
        <v>0.705273831030788</v>
      </c>
      <c r="E4495" s="5">
        <f ca="1">MAX(0,CP*(D4495-K))</f>
        <v>0</v>
      </c>
      <c r="F4495" s="4">
        <f ca="1">(CP*(D4495-K)&gt;0)*1</f>
        <v>0</v>
      </c>
      <c r="H4495" s="4">
        <v>4480</v>
      </c>
      <c r="I4495" s="3">
        <v>0.66757641706289106</v>
      </c>
      <c r="J4495" s="128">
        <v>1.1977067132732436E-3</v>
      </c>
      <c r="K4495" s="128"/>
      <c r="L4495" s="128">
        <v>3.8399999999999997E-2</v>
      </c>
      <c r="O4495" s="2"/>
    </row>
    <row r="4496" spans="2:15" x14ac:dyDescent="0.2">
      <c r="B4496" s="1">
        <f>B4495+1</f>
        <v>4481</v>
      </c>
      <c r="C4496" s="5">
        <f ca="1"/>
        <v>-4.0091313099438719E-4</v>
      </c>
      <c r="D4496" s="5">
        <f ca="1">S0*EXP((μ-0.5*σ*σ)*T+σ*SQRT(T)*$C4496)</f>
        <v>0.66447942998686449</v>
      </c>
      <c r="E4496" s="5">
        <f ca="1">MAX(0,CP*(D4496-K))</f>
        <v>0</v>
      </c>
      <c r="F4496" s="4">
        <f ca="1">(CP*(D4496-K)&gt;0)*1</f>
        <v>0</v>
      </c>
      <c r="H4496" s="4">
        <v>4481</v>
      </c>
      <c r="I4496" s="3">
        <v>0.66772262155363915</v>
      </c>
      <c r="J4496" s="128">
        <v>1.4218276595052328E-3</v>
      </c>
      <c r="K4496" s="128"/>
      <c r="L4496" s="128">
        <v>4.1000000000000002E-2</v>
      </c>
      <c r="O4496" s="2"/>
    </row>
    <row r="4497" spans="2:15" x14ac:dyDescent="0.2">
      <c r="B4497" s="1">
        <f>B4496+1</f>
        <v>4482</v>
      </c>
      <c r="C4497" s="5">
        <f ca="1"/>
        <v>0.14604270112002951</v>
      </c>
      <c r="D4497" s="5">
        <f ca="1">S0*EXP((μ-0.5*σ*σ)*T+σ*SQRT(T)*$C4497)</f>
        <v>0.67414244238779786</v>
      </c>
      <c r="E4497" s="5">
        <f ca="1">MAX(0,CP*(D4497-K))</f>
        <v>0</v>
      </c>
      <c r="F4497" s="4">
        <f ca="1">(CP*(D4497-K)&gt;0)*1</f>
        <v>0</v>
      </c>
      <c r="H4497" s="4">
        <v>4482</v>
      </c>
      <c r="I4497" s="3">
        <v>0.66769506794526512</v>
      </c>
      <c r="J4497" s="128">
        <v>1.2368721773611706E-3</v>
      </c>
      <c r="K4497" s="128"/>
      <c r="L4497" s="128">
        <v>3.7999999999999999E-2</v>
      </c>
      <c r="O4497" s="2"/>
    </row>
    <row r="4498" spans="2:15" x14ac:dyDescent="0.2">
      <c r="B4498" s="1">
        <f>B4497+1</f>
        <v>4483</v>
      </c>
      <c r="C4498" s="5">
        <f ca="1"/>
        <v>-2.3285268050181607</v>
      </c>
      <c r="D4498" s="5">
        <f ca="1">S0*EXP((μ-0.5*σ*σ)*T+σ*SQRT(T)*$C4498)</f>
        <v>0.52820257828861272</v>
      </c>
      <c r="E4498" s="5">
        <f ca="1">MAX(0,CP*(D4498-K))</f>
        <v>0</v>
      </c>
      <c r="F4498" s="4">
        <f ca="1">(CP*(D4498-K)&gt;0)*1</f>
        <v>0</v>
      </c>
      <c r="H4498" s="4">
        <v>4483</v>
      </c>
      <c r="I4498" s="3">
        <v>0.66788108875598196</v>
      </c>
      <c r="J4498" s="128">
        <v>1.6456196962634504E-3</v>
      </c>
      <c r="K4498" s="128"/>
      <c r="L4498" s="128">
        <v>4.6600000000000003E-2</v>
      </c>
      <c r="O4498" s="2"/>
    </row>
    <row r="4499" spans="2:15" x14ac:dyDescent="0.2">
      <c r="B4499" s="1">
        <f>B4498+1</f>
        <v>4484</v>
      </c>
      <c r="C4499" s="5">
        <f ca="1"/>
        <v>-0.91340485274563832</v>
      </c>
      <c r="D4499" s="5">
        <f ca="1">S0*EXP((μ-0.5*σ*σ)*T+σ*SQRT(T)*$C4499)</f>
        <v>0.60728194576967354</v>
      </c>
      <c r="E4499" s="5">
        <f ca="1">MAX(0,CP*(D4499-K))</f>
        <v>0</v>
      </c>
      <c r="F4499" s="4">
        <f ca="1">(CP*(D4499-K)&gt;0)*1</f>
        <v>0</v>
      </c>
      <c r="H4499" s="4">
        <v>4484</v>
      </c>
      <c r="I4499" s="3">
        <v>0.66777078519236743</v>
      </c>
      <c r="J4499" s="128">
        <v>1.3360368685638592E-3</v>
      </c>
      <c r="K4499" s="128"/>
      <c r="L4499" s="128">
        <v>4.2599999999999999E-2</v>
      </c>
      <c r="O4499" s="2"/>
    </row>
    <row r="4500" spans="2:15" x14ac:dyDescent="0.2">
      <c r="B4500" s="1">
        <f>B4499+1</f>
        <v>4485</v>
      </c>
      <c r="C4500" s="5">
        <f ca="1"/>
        <v>-1.1549016370656116</v>
      </c>
      <c r="D4500" s="5">
        <f ca="1">S0*EXP((μ-0.5*σ*σ)*T+σ*SQRT(T)*$C4500)</f>
        <v>0.59299419922045504</v>
      </c>
      <c r="E4500" s="5">
        <f ca="1">MAX(0,CP*(D4500-K))</f>
        <v>0</v>
      </c>
      <c r="F4500" s="4">
        <f ca="1">(CP*(D4500-K)&gt;0)*1</f>
        <v>0</v>
      </c>
      <c r="H4500" s="4">
        <v>4485</v>
      </c>
      <c r="I4500" s="3">
        <v>0.66775624818485202</v>
      </c>
      <c r="J4500" s="128">
        <v>1.3783018582208995E-3</v>
      </c>
      <c r="K4500" s="128"/>
      <c r="L4500" s="128">
        <v>4.2000000000000003E-2</v>
      </c>
      <c r="O4500" s="2"/>
    </row>
    <row r="4501" spans="2:15" x14ac:dyDescent="0.2">
      <c r="B4501" s="1">
        <f>B4500+1</f>
        <v>4486</v>
      </c>
      <c r="C4501" s="5">
        <f ca="1"/>
        <v>0.58243171708048125</v>
      </c>
      <c r="D4501" s="5">
        <f ca="1">S0*EXP((μ-0.5*σ*σ)*T+σ*SQRT(T)*$C4501)</f>
        <v>0.70377866917094445</v>
      </c>
      <c r="E4501" s="5">
        <f ca="1">MAX(0,CP*(D4501-K))</f>
        <v>0</v>
      </c>
      <c r="F4501" s="4">
        <f ca="1">(CP*(D4501-K)&gt;0)*1</f>
        <v>0</v>
      </c>
      <c r="H4501" s="4">
        <v>4486</v>
      </c>
      <c r="I4501" s="3">
        <v>0.66768371187585285</v>
      </c>
      <c r="J4501" s="128">
        <v>1.293256712839713E-3</v>
      </c>
      <c r="K4501" s="128"/>
      <c r="L4501" s="128">
        <v>4.0399999999999998E-2</v>
      </c>
      <c r="O4501" s="2"/>
    </row>
    <row r="4502" spans="2:15" x14ac:dyDescent="0.2">
      <c r="B4502" s="1">
        <f>B4501+1</f>
        <v>4487</v>
      </c>
      <c r="C4502" s="5">
        <f ca="1"/>
        <v>-0.43495534866579094</v>
      </c>
      <c r="D4502" s="5">
        <f ca="1">S0*EXP((μ-0.5*σ*σ)*T+σ*SQRT(T)*$C4502)</f>
        <v>0.63661323182760554</v>
      </c>
      <c r="E4502" s="5">
        <f ca="1">MAX(0,CP*(D4502-K))</f>
        <v>0</v>
      </c>
      <c r="F4502" s="4">
        <f ca="1">(CP*(D4502-K)&gt;0)*1</f>
        <v>0</v>
      </c>
      <c r="H4502" s="4">
        <v>4487</v>
      </c>
      <c r="I4502" s="3">
        <v>0.66765928479534531</v>
      </c>
      <c r="J4502" s="128">
        <v>1.2677550921035429E-3</v>
      </c>
      <c r="K4502" s="128"/>
      <c r="L4502" s="128">
        <v>3.8399999999999997E-2</v>
      </c>
      <c r="O4502" s="2"/>
    </row>
    <row r="4503" spans="2:15" x14ac:dyDescent="0.2">
      <c r="B4503" s="1">
        <f>B4502+1</f>
        <v>4488</v>
      </c>
      <c r="C4503" s="5">
        <f ca="1"/>
        <v>1.3381837356305257</v>
      </c>
      <c r="D4503" s="5">
        <f ca="1">S0*EXP((μ-0.5*σ*σ)*T+σ*SQRT(T)*$C4503)</f>
        <v>0.75821849463769309</v>
      </c>
      <c r="E4503" s="5">
        <f ca="1">MAX(0,CP*(D4503-K))</f>
        <v>0</v>
      </c>
      <c r="F4503" s="4">
        <f ca="1">(CP*(D4503-K)&gt;0)*1</f>
        <v>0</v>
      </c>
      <c r="H4503" s="4">
        <v>4488</v>
      </c>
      <c r="I4503" s="3">
        <v>0.66781986213802358</v>
      </c>
      <c r="J4503" s="128">
        <v>1.540846978549326E-3</v>
      </c>
      <c r="K4503" s="128"/>
      <c r="L4503" s="128">
        <v>4.2000000000000003E-2</v>
      </c>
      <c r="O4503" s="2"/>
    </row>
    <row r="4504" spans="2:15" x14ac:dyDescent="0.2">
      <c r="B4504" s="1">
        <f>B4503+1</f>
        <v>4489</v>
      </c>
      <c r="C4504" s="5">
        <f ca="1"/>
        <v>0.63583772167024155</v>
      </c>
      <c r="D4504" s="5">
        <f ca="1">S0*EXP((μ-0.5*σ*σ)*T+σ*SQRT(T)*$C4504)</f>
        <v>0.7074939506808543</v>
      </c>
      <c r="E4504" s="5">
        <f ca="1">MAX(0,CP*(D4504-K))</f>
        <v>0</v>
      </c>
      <c r="F4504" s="4">
        <f ca="1">(CP*(D4504-K)&gt;0)*1</f>
        <v>0</v>
      </c>
      <c r="H4504" s="4">
        <v>4489</v>
      </c>
      <c r="I4504" s="3">
        <v>0.66783758880349098</v>
      </c>
      <c r="J4504" s="128">
        <v>1.4251978018408177E-3</v>
      </c>
      <c r="K4504" s="128"/>
      <c r="L4504" s="128">
        <v>4.3999999999999997E-2</v>
      </c>
      <c r="O4504" s="2"/>
    </row>
    <row r="4505" spans="2:15" x14ac:dyDescent="0.2">
      <c r="B4505" s="1">
        <f>B4504+1</f>
        <v>4490</v>
      </c>
      <c r="C4505" s="5">
        <f ca="1"/>
        <v>-1.5225464337815677</v>
      </c>
      <c r="D4505" s="5">
        <f ca="1">S0*EXP((μ-0.5*σ*σ)*T+σ*SQRT(T)*$C4505)</f>
        <v>0.57188587176586347</v>
      </c>
      <c r="E4505" s="5">
        <f ca="1">MAX(0,CP*(D4505-K))</f>
        <v>0</v>
      </c>
      <c r="F4505" s="4">
        <f ca="1">(CP*(D4505-K)&gt;0)*1</f>
        <v>0</v>
      </c>
      <c r="H4505" s="4">
        <v>4490</v>
      </c>
      <c r="I4505" s="3">
        <v>0.66757847863646291</v>
      </c>
      <c r="J4505" s="128">
        <v>1.113562145274323E-3</v>
      </c>
      <c r="K4505" s="128"/>
      <c r="L4505" s="128">
        <v>3.9E-2</v>
      </c>
      <c r="O4505" s="2"/>
    </row>
    <row r="4506" spans="2:15" x14ac:dyDescent="0.2">
      <c r="B4506" s="1">
        <f>B4505+1</f>
        <v>4491</v>
      </c>
      <c r="C4506" s="5">
        <f ca="1"/>
        <v>0.6873587927639454</v>
      </c>
      <c r="D4506" s="5">
        <f ca="1">S0*EXP((μ-0.5*σ*σ)*T+σ*SQRT(T)*$C4506)</f>
        <v>0.71109668937821247</v>
      </c>
      <c r="E4506" s="5">
        <f ca="1">MAX(0,CP*(D4506-K))</f>
        <v>0</v>
      </c>
      <c r="F4506" s="4">
        <f ca="1">(CP*(D4506-K)&gt;0)*1</f>
        <v>0</v>
      </c>
      <c r="H4506" s="4">
        <v>4491</v>
      </c>
      <c r="I4506" s="3">
        <v>0.66776055690511704</v>
      </c>
      <c r="J4506" s="128">
        <v>1.4280900442958479E-3</v>
      </c>
      <c r="K4506" s="128"/>
      <c r="L4506" s="128">
        <v>4.2999999999999997E-2</v>
      </c>
      <c r="O4506" s="2"/>
    </row>
    <row r="4507" spans="2:15" x14ac:dyDescent="0.2">
      <c r="B4507" s="1">
        <f>B4506+1</f>
        <v>4492</v>
      </c>
      <c r="C4507" s="5">
        <f ca="1"/>
        <v>0.8578159830884079</v>
      </c>
      <c r="D4507" s="5">
        <f ca="1">S0*EXP((μ-0.5*σ*σ)*T+σ*SQRT(T)*$C4507)</f>
        <v>0.72314760262999356</v>
      </c>
      <c r="E4507" s="5">
        <f ca="1">MAX(0,CP*(D4507-K))</f>
        <v>0</v>
      </c>
      <c r="F4507" s="4">
        <f ca="1">(CP*(D4507-K)&gt;0)*1</f>
        <v>0</v>
      </c>
      <c r="H4507" s="4">
        <v>4492</v>
      </c>
      <c r="I4507" s="3">
        <v>0.66784343334273777</v>
      </c>
      <c r="J4507" s="128">
        <v>1.4266186409542532E-3</v>
      </c>
      <c r="K4507" s="128"/>
      <c r="L4507" s="128">
        <v>4.8000000000000001E-2</v>
      </c>
      <c r="O4507" s="2"/>
    </row>
    <row r="4508" spans="2:15" x14ac:dyDescent="0.2">
      <c r="B4508" s="1">
        <f>B4507+1</f>
        <v>4493</v>
      </c>
      <c r="C4508" s="5">
        <f ca="1"/>
        <v>0.96372823849308809</v>
      </c>
      <c r="D4508" s="5">
        <f ca="1">S0*EXP((μ-0.5*σ*σ)*T+σ*SQRT(T)*$C4508)</f>
        <v>0.73073799506090398</v>
      </c>
      <c r="E4508" s="5">
        <f ca="1">MAX(0,CP*(D4508-K))</f>
        <v>0</v>
      </c>
      <c r="F4508" s="4">
        <f ca="1">(CP*(D4508-K)&gt;0)*1</f>
        <v>0</v>
      </c>
      <c r="H4508" s="4">
        <v>4493</v>
      </c>
      <c r="I4508" s="3">
        <v>0.66781816252614978</v>
      </c>
      <c r="J4508" s="128">
        <v>1.5029115201669479E-3</v>
      </c>
      <c r="K4508" s="128"/>
      <c r="L4508" s="128">
        <v>4.4200000000000003E-2</v>
      </c>
      <c r="O4508" s="2"/>
    </row>
    <row r="4509" spans="2:15" x14ac:dyDescent="0.2">
      <c r="B4509" s="1">
        <f>B4508+1</f>
        <v>4494</v>
      </c>
      <c r="C4509" s="5">
        <f ca="1"/>
        <v>-0.66029898406272869</v>
      </c>
      <c r="D4509" s="5">
        <f ca="1">S0*EXP((μ-0.5*σ*σ)*T+σ*SQRT(T)*$C4509)</f>
        <v>0.6226261391269966</v>
      </c>
      <c r="E4509" s="5">
        <f ca="1">MAX(0,CP*(D4509-K))</f>
        <v>0</v>
      </c>
      <c r="F4509" s="4">
        <f ca="1">(CP*(D4509-K)&gt;0)*1</f>
        <v>0</v>
      </c>
      <c r="H4509" s="4">
        <v>4494</v>
      </c>
      <c r="I4509" s="3">
        <v>0.66783395418722225</v>
      </c>
      <c r="J4509" s="128">
        <v>1.3995204515308511E-3</v>
      </c>
      <c r="K4509" s="128"/>
      <c r="L4509" s="128">
        <v>4.2799999999999998E-2</v>
      </c>
      <c r="O4509" s="2"/>
    </row>
    <row r="4510" spans="2:15" x14ac:dyDescent="0.2">
      <c r="B4510" s="1">
        <f>B4509+1</f>
        <v>4495</v>
      </c>
      <c r="C4510" s="5">
        <f ca="1"/>
        <v>-0.68271504081621859</v>
      </c>
      <c r="D4510" s="5">
        <f ca="1">S0*EXP((μ-0.5*σ*σ)*T+σ*SQRT(T)*$C4510)</f>
        <v>0.62125169055991492</v>
      </c>
      <c r="E4510" s="5">
        <f ca="1">MAX(0,CP*(D4510-K))</f>
        <v>0</v>
      </c>
      <c r="F4510" s="4">
        <f ca="1">(CP*(D4510-K)&gt;0)*1</f>
        <v>0</v>
      </c>
      <c r="H4510" s="4">
        <v>4495</v>
      </c>
      <c r="I4510" s="3">
        <v>0.66766714665796811</v>
      </c>
      <c r="J4510" s="128">
        <v>1.2667187532059826E-3</v>
      </c>
      <c r="K4510" s="128"/>
      <c r="L4510" s="128">
        <v>4.0800000000000003E-2</v>
      </c>
      <c r="O4510" s="2"/>
    </row>
    <row r="4511" spans="2:15" x14ac:dyDescent="0.2">
      <c r="B4511" s="1">
        <f>B4510+1</f>
        <v>4496</v>
      </c>
      <c r="C4511" s="5">
        <f ca="1"/>
        <v>0.27520217086462012</v>
      </c>
      <c r="D4511" s="5">
        <f ca="1">S0*EXP((μ-0.5*σ*σ)*T+σ*SQRT(T)*$C4511)</f>
        <v>0.68278152493343458</v>
      </c>
      <c r="E4511" s="5">
        <f ca="1">MAX(0,CP*(D4511-K))</f>
        <v>0</v>
      </c>
      <c r="F4511" s="4">
        <f ca="1">(CP*(D4511-K)&gt;0)*1</f>
        <v>0</v>
      </c>
      <c r="H4511" s="4">
        <v>4496</v>
      </c>
      <c r="I4511" s="3">
        <v>0.66768130139956461</v>
      </c>
      <c r="J4511" s="128">
        <v>1.3164081349118048E-3</v>
      </c>
      <c r="K4511" s="128"/>
      <c r="L4511" s="128">
        <v>4.1599999999999998E-2</v>
      </c>
      <c r="O4511" s="2"/>
    </row>
    <row r="4512" spans="2:15" x14ac:dyDescent="0.2">
      <c r="B4512" s="1">
        <f>B4511+1</f>
        <v>4497</v>
      </c>
      <c r="C4512" s="5">
        <f ca="1"/>
        <v>-1.0990646990079882</v>
      </c>
      <c r="D4512" s="5">
        <f ca="1">S0*EXP((μ-0.5*σ*σ)*T+σ*SQRT(T)*$C4512)</f>
        <v>0.59626752827751717</v>
      </c>
      <c r="E4512" s="5">
        <f ca="1">MAX(0,CP*(D4512-K))</f>
        <v>0</v>
      </c>
      <c r="F4512" s="4">
        <f ca="1">(CP*(D4512-K)&gt;0)*1</f>
        <v>0</v>
      </c>
      <c r="H4512" s="4">
        <v>4497</v>
      </c>
      <c r="I4512" s="3">
        <v>0.66766013107379607</v>
      </c>
      <c r="J4512" s="128">
        <v>1.4414048977763533E-3</v>
      </c>
      <c r="K4512" s="128"/>
      <c r="L4512" s="128">
        <v>3.9399999999999998E-2</v>
      </c>
      <c r="O4512" s="2"/>
    </row>
    <row r="4513" spans="2:15" x14ac:dyDescent="0.2">
      <c r="B4513" s="1">
        <f>B4512+1</f>
        <v>4498</v>
      </c>
      <c r="C4513" s="5">
        <f ca="1"/>
        <v>-1.0049671732302374</v>
      </c>
      <c r="D4513" s="5">
        <f ca="1">S0*EXP((μ-0.5*σ*σ)*T+σ*SQRT(T)*$C4513)</f>
        <v>0.60182474175859346</v>
      </c>
      <c r="E4513" s="5">
        <f ca="1">MAX(0,CP*(D4513-K))</f>
        <v>0</v>
      </c>
      <c r="F4513" s="4">
        <f ca="1">(CP*(D4513-K)&gt;0)*1</f>
        <v>0</v>
      </c>
      <c r="H4513" s="4">
        <v>4498</v>
      </c>
      <c r="I4513" s="3">
        <v>0.6677605142593932</v>
      </c>
      <c r="J4513" s="128">
        <v>1.3751600690341482E-3</v>
      </c>
      <c r="K4513" s="128"/>
      <c r="L4513" s="128">
        <v>4.2799999999999998E-2</v>
      </c>
      <c r="O4513" s="2"/>
    </row>
    <row r="4514" spans="2:15" x14ac:dyDescent="0.2">
      <c r="B4514" s="1">
        <f>B4513+1</f>
        <v>4499</v>
      </c>
      <c r="C4514" s="5">
        <f ca="1"/>
        <v>1.681156109862409</v>
      </c>
      <c r="D4514" s="5">
        <f ca="1">S0*EXP((μ-0.5*σ*σ)*T+σ*SQRT(T)*$C4514)</f>
        <v>0.78429433263371973</v>
      </c>
      <c r="E4514" s="5">
        <f ca="1">MAX(0,CP*(D4514-K))</f>
        <v>0</v>
      </c>
      <c r="F4514" s="4">
        <f ca="1">(CP*(D4514-K)&gt;0)*1</f>
        <v>0</v>
      </c>
      <c r="H4514" s="4">
        <v>4499</v>
      </c>
      <c r="I4514" s="3">
        <v>0.66776956997566872</v>
      </c>
      <c r="J4514" s="128">
        <v>1.5394484051057334E-3</v>
      </c>
      <c r="K4514" s="128"/>
      <c r="L4514" s="128">
        <v>4.3999999999999997E-2</v>
      </c>
      <c r="O4514" s="2"/>
    </row>
    <row r="4515" spans="2:15" x14ac:dyDescent="0.2">
      <c r="B4515" s="1">
        <f>B4514+1</f>
        <v>4500</v>
      </c>
      <c r="C4515" s="5">
        <f ca="1"/>
        <v>0.30245354064273738</v>
      </c>
      <c r="D4515" s="5">
        <f ca="1">S0*EXP((μ-0.5*σ*σ)*T+σ*SQRT(T)*$C4515)</f>
        <v>0.68461838192828639</v>
      </c>
      <c r="E4515" s="5">
        <f ca="1">MAX(0,CP*(D4515-K))</f>
        <v>0</v>
      </c>
      <c r="F4515" s="4">
        <f ca="1">(CP*(D4515-K)&gt;0)*1</f>
        <v>0</v>
      </c>
      <c r="H4515" s="4">
        <v>4500</v>
      </c>
      <c r="I4515" s="3">
        <v>0.66785403167084101</v>
      </c>
      <c r="J4515" s="128">
        <v>1.5070441053736574E-3</v>
      </c>
      <c r="K4515" s="128"/>
      <c r="L4515" s="128">
        <v>4.3400000000000001E-2</v>
      </c>
      <c r="O4515" s="2"/>
    </row>
    <row r="4516" spans="2:15" x14ac:dyDescent="0.2">
      <c r="B4516" s="1">
        <f>B4515+1</f>
        <v>4501</v>
      </c>
      <c r="C4516" s="5">
        <f ca="1"/>
        <v>-0.25894366652377176</v>
      </c>
      <c r="D4516" s="5">
        <f ca="1">S0*EXP((μ-0.5*σ*σ)*T+σ*SQRT(T)*$C4516)</f>
        <v>0.64775649484633258</v>
      </c>
      <c r="E4516" s="5">
        <f ca="1">MAX(0,CP*(D4516-K))</f>
        <v>0</v>
      </c>
      <c r="F4516" s="4">
        <f ca="1">(CP*(D4516-K)&gt;0)*1</f>
        <v>0</v>
      </c>
      <c r="H4516" s="4">
        <v>4501</v>
      </c>
      <c r="I4516" s="3">
        <v>0.66782965081768819</v>
      </c>
      <c r="J4516" s="128">
        <v>1.4359790179815036E-3</v>
      </c>
      <c r="K4516" s="128"/>
      <c r="L4516" s="128">
        <v>4.5600000000000002E-2</v>
      </c>
      <c r="O4516" s="2"/>
    </row>
    <row r="4517" spans="2:15" x14ac:dyDescent="0.2">
      <c r="B4517" s="1">
        <f>B4516+1</f>
        <v>4502</v>
      </c>
      <c r="C4517" s="5">
        <f ca="1"/>
        <v>-0.780473750111079</v>
      </c>
      <c r="D4517" s="5">
        <f ca="1">S0*EXP((μ-0.5*σ*σ)*T+σ*SQRT(T)*$C4517)</f>
        <v>0.61529296167842762</v>
      </c>
      <c r="E4517" s="5">
        <f ca="1">MAX(0,CP*(D4517-K))</f>
        <v>0</v>
      </c>
      <c r="F4517" s="4">
        <f ca="1">(CP*(D4517-K)&gt;0)*1</f>
        <v>0</v>
      </c>
      <c r="H4517" s="4">
        <v>4502</v>
      </c>
      <c r="I4517" s="3">
        <v>0.66773485244021746</v>
      </c>
      <c r="J4517" s="128">
        <v>1.3271733888746402E-3</v>
      </c>
      <c r="K4517" s="128"/>
      <c r="L4517" s="128">
        <v>4.3400000000000001E-2</v>
      </c>
      <c r="O4517" s="2"/>
    </row>
    <row r="4518" spans="2:15" x14ac:dyDescent="0.2">
      <c r="B4518" s="1">
        <f>B4517+1</f>
        <v>4503</v>
      </c>
      <c r="C4518" s="5">
        <f ca="1"/>
        <v>0.8365217704883432</v>
      </c>
      <c r="D4518" s="5">
        <f ca="1">S0*EXP((μ-0.5*σ*σ)*T+σ*SQRT(T)*$C4518)</f>
        <v>0.7216310605324483</v>
      </c>
      <c r="E4518" s="5">
        <f ca="1">MAX(0,CP*(D4518-K))</f>
        <v>0</v>
      </c>
      <c r="F4518" s="4">
        <f ca="1">(CP*(D4518-K)&gt;0)*1</f>
        <v>0</v>
      </c>
      <c r="H4518" s="4">
        <v>4503</v>
      </c>
      <c r="I4518" s="3">
        <v>0.66781317539704765</v>
      </c>
      <c r="J4518" s="128">
        <v>1.3644967527207399E-3</v>
      </c>
      <c r="K4518" s="128"/>
      <c r="L4518" s="128">
        <v>4.7199999999999999E-2</v>
      </c>
      <c r="O4518" s="2"/>
    </row>
    <row r="4519" spans="2:15" x14ac:dyDescent="0.2">
      <c r="B4519" s="1">
        <f>B4518+1</f>
        <v>4504</v>
      </c>
      <c r="C4519" s="5">
        <f ca="1"/>
        <v>-0.70195884073630488</v>
      </c>
      <c r="D4519" s="5">
        <f ca="1">S0*EXP((μ-0.5*σ*σ)*T+σ*SQRT(T)*$C4519)</f>
        <v>0.62007417072645732</v>
      </c>
      <c r="E4519" s="5">
        <f ca="1">MAX(0,CP*(D4519-K))</f>
        <v>0</v>
      </c>
      <c r="F4519" s="4">
        <f ca="1">(CP*(D4519-K)&gt;0)*1</f>
        <v>0</v>
      </c>
      <c r="H4519" s="4">
        <v>4504</v>
      </c>
      <c r="I4519" s="3">
        <v>0.66779387559960679</v>
      </c>
      <c r="J4519" s="128">
        <v>1.3092749308826668E-3</v>
      </c>
      <c r="K4519" s="128"/>
      <c r="L4519" s="128">
        <v>0.04</v>
      </c>
      <c r="O4519" s="2"/>
    </row>
    <row r="4520" spans="2:15" x14ac:dyDescent="0.2">
      <c r="B4520" s="1">
        <f>B4519+1</f>
        <v>4505</v>
      </c>
      <c r="C4520" s="5">
        <f ca="1"/>
        <v>0.43592417242980697</v>
      </c>
      <c r="D4520" s="5">
        <f ca="1">S0*EXP((μ-0.5*σ*σ)*T+σ*SQRT(T)*$C4520)</f>
        <v>0.69368648534909061</v>
      </c>
      <c r="E4520" s="5">
        <f ca="1">MAX(0,CP*(D4520-K))</f>
        <v>0</v>
      </c>
      <c r="F4520" s="4">
        <f ca="1">(CP*(D4520-K)&gt;0)*1</f>
        <v>0</v>
      </c>
      <c r="H4520" s="4">
        <v>4505</v>
      </c>
      <c r="I4520" s="3">
        <v>0.66787552419317764</v>
      </c>
      <c r="J4520" s="128">
        <v>1.4833879897699427E-3</v>
      </c>
      <c r="K4520" s="128"/>
      <c r="L4520" s="128">
        <v>4.6399999999999997E-2</v>
      </c>
      <c r="O4520" s="2"/>
    </row>
    <row r="4521" spans="2:15" x14ac:dyDescent="0.2">
      <c r="B4521" s="1">
        <f>B4520+1</f>
        <v>4506</v>
      </c>
      <c r="C4521" s="5">
        <f ca="1"/>
        <v>0.74460956203876083</v>
      </c>
      <c r="D4521" s="5">
        <f ca="1">S0*EXP((μ-0.5*σ*σ)*T+σ*SQRT(T)*$C4521)</f>
        <v>0.71512161542075048</v>
      </c>
      <c r="E4521" s="5">
        <f ca="1">MAX(0,CP*(D4521-K))</f>
        <v>0</v>
      </c>
      <c r="F4521" s="4">
        <f ca="1">(CP*(D4521-K)&gt;0)*1</f>
        <v>0</v>
      </c>
      <c r="H4521" s="4">
        <v>4506</v>
      </c>
      <c r="I4521" s="3">
        <v>0.66795144777853932</v>
      </c>
      <c r="J4521" s="128">
        <v>1.5758884245809168E-3</v>
      </c>
      <c r="K4521" s="128"/>
      <c r="L4521" s="128">
        <v>4.5600000000000002E-2</v>
      </c>
      <c r="O4521" s="2"/>
    </row>
    <row r="4522" spans="2:15" x14ac:dyDescent="0.2">
      <c r="B4522" s="1">
        <f>B4521+1</f>
        <v>4507</v>
      </c>
      <c r="C4522" s="5">
        <f ca="1"/>
        <v>7.5877000105495307E-2</v>
      </c>
      <c r="D4522" s="5">
        <f ca="1">S0*EXP((μ-0.5*σ*σ)*T+σ*SQRT(T)*$C4522)</f>
        <v>0.66949518188072099</v>
      </c>
      <c r="E4522" s="5">
        <f ca="1">MAX(0,CP*(D4522-K))</f>
        <v>0</v>
      </c>
      <c r="F4522" s="4">
        <f ca="1">(CP*(D4522-K)&gt;0)*1</f>
        <v>0</v>
      </c>
      <c r="H4522" s="4">
        <v>4507</v>
      </c>
      <c r="I4522" s="3">
        <v>0.66780549568025271</v>
      </c>
      <c r="J4522" s="128">
        <v>1.6686809735421842E-3</v>
      </c>
      <c r="K4522" s="128"/>
      <c r="L4522" s="128">
        <v>4.5199999999999997E-2</v>
      </c>
      <c r="O4522" s="2"/>
    </row>
    <row r="4523" spans="2:15" x14ac:dyDescent="0.2">
      <c r="B4523" s="1">
        <f>B4522+1</f>
        <v>4508</v>
      </c>
      <c r="C4523" s="5">
        <f ca="1"/>
        <v>0.74160690546381181</v>
      </c>
      <c r="D4523" s="5">
        <f ca="1">S0*EXP((μ-0.5*σ*σ)*T+σ*SQRT(T)*$C4523)</f>
        <v>0.71490995336505658</v>
      </c>
      <c r="E4523" s="5">
        <f ca="1">MAX(0,CP*(D4523-K))</f>
        <v>0</v>
      </c>
      <c r="F4523" s="4">
        <f ca="1">(CP*(D4523-K)&gt;0)*1</f>
        <v>0</v>
      </c>
      <c r="H4523" s="4">
        <v>4508</v>
      </c>
      <c r="I4523" s="3">
        <v>0.66786203773333297</v>
      </c>
      <c r="J4523" s="128">
        <v>1.4673704804800429E-3</v>
      </c>
      <c r="K4523" s="128"/>
      <c r="L4523" s="128">
        <v>4.2799999999999998E-2</v>
      </c>
      <c r="O4523" s="2"/>
    </row>
    <row r="4524" spans="2:15" x14ac:dyDescent="0.2">
      <c r="B4524" s="1">
        <f>B4523+1</f>
        <v>4509</v>
      </c>
      <c r="C4524" s="5">
        <f ca="1"/>
        <v>-0.30698466430520549</v>
      </c>
      <c r="D4524" s="5">
        <f ca="1">S0*EXP((μ-0.5*σ*σ)*T+σ*SQRT(T)*$C4524)</f>
        <v>0.64469581812803645</v>
      </c>
      <c r="E4524" s="5">
        <f ca="1">MAX(0,CP*(D4524-K))</f>
        <v>0</v>
      </c>
      <c r="F4524" s="4">
        <f ca="1">(CP*(D4524-K)&gt;0)*1</f>
        <v>0</v>
      </c>
      <c r="H4524" s="4">
        <v>4509</v>
      </c>
      <c r="I4524" s="3">
        <v>0.66771507676153319</v>
      </c>
      <c r="J4524" s="128">
        <v>1.4558856302573035E-3</v>
      </c>
      <c r="K4524" s="128"/>
      <c r="L4524" s="128">
        <v>4.6800000000000001E-2</v>
      </c>
      <c r="O4524" s="2"/>
    </row>
    <row r="4525" spans="2:15" x14ac:dyDescent="0.2">
      <c r="B4525" s="1">
        <f>B4524+1</f>
        <v>4510</v>
      </c>
      <c r="C4525" s="5">
        <f ca="1"/>
        <v>0.5103088741258297</v>
      </c>
      <c r="D4525" s="5">
        <f ca="1">S0*EXP((μ-0.5*σ*σ)*T+σ*SQRT(T)*$C4525)</f>
        <v>0.69879226396859995</v>
      </c>
      <c r="E4525" s="5">
        <f ca="1">MAX(0,CP*(D4525-K))</f>
        <v>0</v>
      </c>
      <c r="F4525" s="4">
        <f ca="1">(CP*(D4525-K)&gt;0)*1</f>
        <v>0</v>
      </c>
      <c r="H4525" s="4">
        <v>4510</v>
      </c>
      <c r="I4525" s="3">
        <v>0.66791021224227476</v>
      </c>
      <c r="J4525" s="128">
        <v>1.5970169574536751E-3</v>
      </c>
      <c r="K4525" s="128"/>
      <c r="L4525" s="128">
        <v>4.36E-2</v>
      </c>
      <c r="O4525" s="2"/>
    </row>
    <row r="4526" spans="2:15" x14ac:dyDescent="0.2">
      <c r="B4526" s="1">
        <f>B4525+1</f>
        <v>4511</v>
      </c>
      <c r="C4526" s="5">
        <f ca="1"/>
        <v>0.85761723085561281</v>
      </c>
      <c r="D4526" s="5">
        <f ca="1">S0*EXP((μ-0.5*σ*σ)*T+σ*SQRT(T)*$C4526)</f>
        <v>0.72313343306777011</v>
      </c>
      <c r="E4526" s="5">
        <f ca="1">MAX(0,CP*(D4526-K))</f>
        <v>0</v>
      </c>
      <c r="F4526" s="4">
        <f ca="1">(CP*(D4526-K)&gt;0)*1</f>
        <v>0</v>
      </c>
      <c r="H4526" s="4">
        <v>4511</v>
      </c>
      <c r="I4526" s="3">
        <v>0.66775822548162234</v>
      </c>
      <c r="J4526" s="128">
        <v>1.4317172523287149E-3</v>
      </c>
      <c r="K4526" s="128"/>
      <c r="L4526" s="128">
        <v>4.2599999999999999E-2</v>
      </c>
      <c r="O4526" s="2"/>
    </row>
    <row r="4527" spans="2:15" x14ac:dyDescent="0.2">
      <c r="B4527" s="1">
        <f>B4526+1</f>
        <v>4512</v>
      </c>
      <c r="C4527" s="5">
        <f ca="1"/>
        <v>1.0738163145534891</v>
      </c>
      <c r="D4527" s="5">
        <f ca="1">S0*EXP((μ-0.5*σ*σ)*T+σ*SQRT(T)*$C4527)</f>
        <v>0.73871211178435336</v>
      </c>
      <c r="E4527" s="5">
        <f ca="1">MAX(0,CP*(D4527-K))</f>
        <v>0</v>
      </c>
      <c r="F4527" s="4">
        <f ca="1">(CP*(D4527-K)&gt;0)*1</f>
        <v>0</v>
      </c>
      <c r="H4527" s="4">
        <v>4512</v>
      </c>
      <c r="I4527" s="3">
        <v>0.66776843069007696</v>
      </c>
      <c r="J4527" s="128">
        <v>1.2945744628891109E-3</v>
      </c>
      <c r="K4527" s="128"/>
      <c r="L4527" s="128">
        <v>4.5199999999999997E-2</v>
      </c>
      <c r="O4527" s="2"/>
    </row>
    <row r="4528" spans="2:15" x14ac:dyDescent="0.2">
      <c r="B4528" s="1">
        <f>B4527+1</f>
        <v>4513</v>
      </c>
      <c r="C4528" s="5">
        <f ca="1"/>
        <v>-2.0012160302303723</v>
      </c>
      <c r="D4528" s="5">
        <f ca="1">S0*EXP((μ-0.5*σ*σ)*T+σ*SQRT(T)*$C4528)</f>
        <v>0.54552499372278396</v>
      </c>
      <c r="E4528" s="5">
        <f ca="1">MAX(0,CP*(D4528-K))</f>
        <v>0</v>
      </c>
      <c r="F4528" s="4">
        <f ca="1">(CP*(D4528-K)&gt;0)*1</f>
        <v>0</v>
      </c>
      <c r="H4528" s="4">
        <v>4513</v>
      </c>
      <c r="I4528" s="3">
        <v>0.66776007447446295</v>
      </c>
      <c r="J4528" s="128">
        <v>1.3890997314703925E-3</v>
      </c>
      <c r="K4528" s="128"/>
      <c r="L4528" s="128">
        <v>4.1200000000000001E-2</v>
      </c>
      <c r="O4528" s="2"/>
    </row>
    <row r="4529" spans="2:15" x14ac:dyDescent="0.2">
      <c r="B4529" s="1">
        <f>B4528+1</f>
        <v>4514</v>
      </c>
      <c r="C4529" s="5">
        <f ca="1"/>
        <v>-0.62194526207058831</v>
      </c>
      <c r="D4529" s="5">
        <f ca="1">S0*EXP((μ-0.5*σ*σ)*T+σ*SQRT(T)*$C4529)</f>
        <v>0.62498486744401505</v>
      </c>
      <c r="E4529" s="5">
        <f ca="1">MAX(0,CP*(D4529-K))</f>
        <v>0</v>
      </c>
      <c r="F4529" s="4">
        <f ca="1">(CP*(D4529-K)&gt;0)*1</f>
        <v>0</v>
      </c>
      <c r="H4529" s="4">
        <v>4514</v>
      </c>
      <c r="I4529" s="3">
        <v>0.66772168380881936</v>
      </c>
      <c r="J4529" s="128">
        <v>1.3291039267984968E-3</v>
      </c>
      <c r="K4529" s="128"/>
      <c r="L4529" s="128">
        <v>4.1599999999999998E-2</v>
      </c>
      <c r="O4529" s="2"/>
    </row>
    <row r="4530" spans="2:15" x14ac:dyDescent="0.2">
      <c r="B4530" s="1">
        <f>B4529+1</f>
        <v>4515</v>
      </c>
      <c r="C4530" s="5">
        <f ca="1"/>
        <v>2.0856610323537716</v>
      </c>
      <c r="D4530" s="5">
        <f ca="1">S0*EXP((μ-0.5*σ*σ)*T+σ*SQRT(T)*$C4530)</f>
        <v>0.81620332031596698</v>
      </c>
      <c r="E4530" s="5">
        <f ca="1">MAX(0,CP*(D4530-K))</f>
        <v>2.8003320315966973E-2</v>
      </c>
      <c r="F4530" s="4">
        <f ca="1">(CP*(D4530-K)&gt;0)*1</f>
        <v>1</v>
      </c>
      <c r="H4530" s="4">
        <v>4515</v>
      </c>
      <c r="I4530" s="3">
        <v>0.66764275880286028</v>
      </c>
      <c r="J4530" s="128">
        <v>1.4156721804162746E-3</v>
      </c>
      <c r="K4530" s="128"/>
      <c r="L4530" s="128">
        <v>4.0599999999999997E-2</v>
      </c>
      <c r="O4530" s="2"/>
    </row>
    <row r="4531" spans="2:15" x14ac:dyDescent="0.2">
      <c r="B4531" s="1">
        <f>B4530+1</f>
        <v>4516</v>
      </c>
      <c r="C4531" s="5">
        <f ca="1"/>
        <v>1.9947003902283762</v>
      </c>
      <c r="D4531" s="5">
        <f ca="1">S0*EXP((μ-0.5*σ*σ)*T+σ*SQRT(T)*$C4531)</f>
        <v>0.80891667273635071</v>
      </c>
      <c r="E4531" s="5">
        <f ca="1">MAX(0,CP*(D4531-K))</f>
        <v>2.0716672736350694E-2</v>
      </c>
      <c r="F4531" s="4">
        <f ca="1">(CP*(D4531-K)&gt;0)*1</f>
        <v>1</v>
      </c>
      <c r="H4531" s="4">
        <v>4516</v>
      </c>
      <c r="I4531" s="3">
        <v>0.66797625122453497</v>
      </c>
      <c r="J4531" s="128">
        <v>1.6180808226105166E-3</v>
      </c>
      <c r="K4531" s="128"/>
      <c r="L4531" s="128">
        <v>5.0999999999999997E-2</v>
      </c>
      <c r="O4531" s="2"/>
    </row>
    <row r="4532" spans="2:15" x14ac:dyDescent="0.2">
      <c r="B4532" s="1">
        <f>B4531+1</f>
        <v>4517</v>
      </c>
      <c r="C4532" s="5">
        <f ca="1"/>
        <v>7.9565150704891757E-2</v>
      </c>
      <c r="D4532" s="5">
        <f ca="1">S0*EXP((μ-0.5*σ*σ)*T+σ*SQRT(T)*$C4532)</f>
        <v>0.66973865822995726</v>
      </c>
      <c r="E4532" s="5">
        <f ca="1">MAX(0,CP*(D4532-K))</f>
        <v>0</v>
      </c>
      <c r="F4532" s="4">
        <f ca="1">(CP*(D4532-K)&gt;0)*1</f>
        <v>0</v>
      </c>
      <c r="H4532" s="4">
        <v>4517</v>
      </c>
      <c r="I4532" s="3">
        <v>0.6678364347925736</v>
      </c>
      <c r="J4532" s="128">
        <v>1.4888057524058355E-3</v>
      </c>
      <c r="K4532" s="128"/>
      <c r="L4532" s="128">
        <v>4.58E-2</v>
      </c>
      <c r="O4532" s="2"/>
    </row>
    <row r="4533" spans="2:15" x14ac:dyDescent="0.2">
      <c r="B4533" s="1">
        <f>B4532+1</f>
        <v>4518</v>
      </c>
      <c r="C4533" s="5">
        <f ca="1"/>
        <v>-0.87515194900842885</v>
      </c>
      <c r="D4533" s="5">
        <f ca="1">S0*EXP((μ-0.5*σ*σ)*T+σ*SQRT(T)*$C4533)</f>
        <v>0.60957648598334435</v>
      </c>
      <c r="E4533" s="5">
        <f ca="1">MAX(0,CP*(D4533-K))</f>
        <v>0</v>
      </c>
      <c r="F4533" s="4">
        <f ca="1">(CP*(D4533-K)&gt;0)*1</f>
        <v>0</v>
      </c>
      <c r="H4533" s="4">
        <v>4518</v>
      </c>
      <c r="I4533" s="3">
        <v>0.66785076385246278</v>
      </c>
      <c r="J4533" s="128">
        <v>1.3269535198008504E-3</v>
      </c>
      <c r="K4533" s="128"/>
      <c r="L4533" s="128">
        <v>4.3200000000000002E-2</v>
      </c>
      <c r="O4533" s="2"/>
    </row>
    <row r="4534" spans="2:15" x14ac:dyDescent="0.2">
      <c r="B4534" s="1">
        <f>B4533+1</f>
        <v>4519</v>
      </c>
      <c r="C4534" s="5">
        <f ca="1"/>
        <v>-0.49973362193353965</v>
      </c>
      <c r="D4534" s="5">
        <f ca="1">S0*EXP((μ-0.5*σ*σ)*T+σ*SQRT(T)*$C4534)</f>
        <v>0.63256056675205241</v>
      </c>
      <c r="E4534" s="5">
        <f ca="1">MAX(0,CP*(D4534-K))</f>
        <v>0</v>
      </c>
      <c r="F4534" s="4">
        <f ca="1">(CP*(D4534-K)&gt;0)*1</f>
        <v>0</v>
      </c>
      <c r="H4534" s="4">
        <v>4519</v>
      </c>
      <c r="I4534" s="3">
        <v>0.6677473388597186</v>
      </c>
      <c r="J4534" s="128">
        <v>1.4320293246188787E-3</v>
      </c>
      <c r="K4534" s="128"/>
      <c r="L4534" s="128">
        <v>4.0399999999999998E-2</v>
      </c>
      <c r="O4534" s="2"/>
    </row>
    <row r="4535" spans="2:15" x14ac:dyDescent="0.2">
      <c r="B4535" s="1">
        <f>B4534+1</f>
        <v>4520</v>
      </c>
      <c r="C4535" s="5">
        <f ca="1"/>
        <v>-1.7999137571398436</v>
      </c>
      <c r="D4535" s="5">
        <f ca="1">S0*EXP((μ-0.5*σ*σ)*T+σ*SQRT(T)*$C4535)</f>
        <v>0.55645956243531058</v>
      </c>
      <c r="E4535" s="5">
        <f ca="1">MAX(0,CP*(D4535-K))</f>
        <v>0</v>
      </c>
      <c r="F4535" s="4">
        <f ca="1">(CP*(D4535-K)&gt;0)*1</f>
        <v>0</v>
      </c>
      <c r="H4535" s="4">
        <v>4520</v>
      </c>
      <c r="I4535" s="3">
        <v>0.66785377036681581</v>
      </c>
      <c r="J4535" s="128">
        <v>1.4771199567376457E-3</v>
      </c>
      <c r="K4535" s="128"/>
      <c r="L4535" s="128">
        <v>4.4400000000000002E-2</v>
      </c>
      <c r="O4535" s="2"/>
    </row>
    <row r="4536" spans="2:15" x14ac:dyDescent="0.2">
      <c r="B4536" s="1">
        <f>B4535+1</f>
        <v>4521</v>
      </c>
      <c r="C4536" s="5">
        <f ca="1"/>
        <v>-0.16658663026063872</v>
      </c>
      <c r="D4536" s="5">
        <f ca="1">S0*EXP((μ-0.5*σ*σ)*T+σ*SQRT(T)*$C4536)</f>
        <v>0.65368141038998806</v>
      </c>
      <c r="E4536" s="5">
        <f ca="1">MAX(0,CP*(D4536-K))</f>
        <v>0</v>
      </c>
      <c r="F4536" s="4">
        <f ca="1">(CP*(D4536-K)&gt;0)*1</f>
        <v>0</v>
      </c>
      <c r="H4536" s="4">
        <v>4521</v>
      </c>
      <c r="I4536" s="3">
        <v>0.66760578101474466</v>
      </c>
      <c r="J4536" s="128">
        <v>1.1774216083959819E-3</v>
      </c>
      <c r="K4536" s="128"/>
      <c r="L4536" s="128">
        <v>3.8199999999999998E-2</v>
      </c>
      <c r="O4536" s="2"/>
    </row>
    <row r="4537" spans="2:15" x14ac:dyDescent="0.2">
      <c r="B4537" s="1">
        <f>B4536+1</f>
        <v>4522</v>
      </c>
      <c r="C4537" s="5">
        <f ca="1"/>
        <v>8.3254340231857765E-2</v>
      </c>
      <c r="D4537" s="5">
        <f ca="1">S0*EXP((μ-0.5*σ*σ)*T+σ*SQRT(T)*$C4537)</f>
        <v>0.66998229174770818</v>
      </c>
      <c r="E4537" s="5">
        <f ca="1">MAX(0,CP*(D4537-K))</f>
        <v>0</v>
      </c>
      <c r="F4537" s="4">
        <f ca="1">(CP*(D4537-K)&gt;0)*1</f>
        <v>0</v>
      </c>
      <c r="H4537" s="4">
        <v>4522</v>
      </c>
      <c r="I4537" s="3">
        <v>0.66783611726120984</v>
      </c>
      <c r="J4537" s="128">
        <v>1.5024141508098261E-3</v>
      </c>
      <c r="K4537" s="128"/>
      <c r="L4537" s="128">
        <v>4.5999999999999999E-2</v>
      </c>
      <c r="O4537" s="2"/>
    </row>
    <row r="4538" spans="2:15" x14ac:dyDescent="0.2">
      <c r="B4538" s="1">
        <f>B4537+1</f>
        <v>4523</v>
      </c>
      <c r="C4538" s="5">
        <f ca="1"/>
        <v>0.23329816991200092</v>
      </c>
      <c r="D4538" s="5">
        <f ca="1">S0*EXP((μ-0.5*σ*σ)*T+σ*SQRT(T)*$C4538)</f>
        <v>0.67996662992556722</v>
      </c>
      <c r="E4538" s="5">
        <f ca="1">MAX(0,CP*(D4538-K))</f>
        <v>0</v>
      </c>
      <c r="F4538" s="4">
        <f ca="1">(CP*(D4538-K)&gt;0)*1</f>
        <v>0</v>
      </c>
      <c r="H4538" s="4">
        <v>4523</v>
      </c>
      <c r="I4538" s="3">
        <v>0.66770964962571999</v>
      </c>
      <c r="J4538" s="128">
        <v>1.2908890129107499E-3</v>
      </c>
      <c r="K4538" s="128"/>
      <c r="L4538" s="128">
        <v>3.9399999999999998E-2</v>
      </c>
      <c r="O4538" s="2"/>
    </row>
    <row r="4539" spans="2:15" x14ac:dyDescent="0.2">
      <c r="B4539" s="1">
        <f>B4538+1</f>
        <v>4524</v>
      </c>
      <c r="C4539" s="5">
        <f ca="1"/>
        <v>0.60317216860079648</v>
      </c>
      <c r="D4539" s="5">
        <f ca="1">S0*EXP((μ-0.5*σ*σ)*T+σ*SQRT(T)*$C4539)</f>
        <v>0.70521919189681814</v>
      </c>
      <c r="E4539" s="5">
        <f ca="1">MAX(0,CP*(D4539-K))</f>
        <v>0</v>
      </c>
      <c r="F4539" s="4">
        <f ca="1">(CP*(D4539-K)&gt;0)*1</f>
        <v>0</v>
      </c>
      <c r="H4539" s="4">
        <v>4524</v>
      </c>
      <c r="I4539" s="3">
        <v>0.66771241810647963</v>
      </c>
      <c r="J4539" s="128">
        <v>1.3519942056856842E-3</v>
      </c>
      <c r="K4539" s="128"/>
      <c r="L4539" s="128">
        <v>4.2000000000000003E-2</v>
      </c>
      <c r="O4539" s="2"/>
    </row>
    <row r="4540" spans="2:15" x14ac:dyDescent="0.2">
      <c r="B4540" s="1">
        <f>B4539+1</f>
        <v>4525</v>
      </c>
      <c r="C4540" s="5">
        <f ca="1"/>
        <v>1.5499815736868474</v>
      </c>
      <c r="D4540" s="5">
        <f ca="1">S0*EXP((μ-0.5*σ*σ)*T+σ*SQRT(T)*$C4540)</f>
        <v>0.77421700968156781</v>
      </c>
      <c r="E4540" s="5">
        <f ca="1">MAX(0,CP*(D4540-K))</f>
        <v>0</v>
      </c>
      <c r="F4540" s="4">
        <f ca="1">(CP*(D4540-K)&gt;0)*1</f>
        <v>0</v>
      </c>
      <c r="H4540" s="4">
        <v>4525</v>
      </c>
      <c r="I4540" s="3">
        <v>0.66788900058425349</v>
      </c>
      <c r="J4540" s="128">
        <v>1.383726516739946E-3</v>
      </c>
      <c r="K4540" s="128"/>
      <c r="L4540" s="128">
        <v>4.24E-2</v>
      </c>
      <c r="O4540" s="2"/>
    </row>
    <row r="4541" spans="2:15" x14ac:dyDescent="0.2">
      <c r="B4541" s="1">
        <f>B4540+1</f>
        <v>4526</v>
      </c>
      <c r="C4541" s="5">
        <f ca="1"/>
        <v>0.26007223925075262</v>
      </c>
      <c r="D4541" s="5">
        <f ca="1">S0*EXP((μ-0.5*σ*σ)*T+σ*SQRT(T)*$C4541)</f>
        <v>0.68176383240622918</v>
      </c>
      <c r="E4541" s="5">
        <f ca="1">MAX(0,CP*(D4541-K))</f>
        <v>0</v>
      </c>
      <c r="F4541" s="4">
        <f ca="1">(CP*(D4541-K)&gt;0)*1</f>
        <v>0</v>
      </c>
      <c r="H4541" s="4">
        <v>4526</v>
      </c>
      <c r="I4541" s="3">
        <v>0.66779692705115379</v>
      </c>
      <c r="J4541" s="128">
        <v>1.3914054608075268E-3</v>
      </c>
      <c r="K4541" s="128"/>
      <c r="L4541" s="128">
        <v>4.4200000000000003E-2</v>
      </c>
      <c r="O4541" s="2"/>
    </row>
    <row r="4542" spans="2:15" x14ac:dyDescent="0.2">
      <c r="B4542" s="1">
        <f>B4541+1</f>
        <v>4527</v>
      </c>
      <c r="C4542" s="5">
        <f ca="1"/>
        <v>-0.1503986158287062</v>
      </c>
      <c r="D4542" s="5">
        <f ca="1">S0*EXP((μ-0.5*σ*σ)*T+σ*SQRT(T)*$C4542)</f>
        <v>0.65472547659153557</v>
      </c>
      <c r="E4542" s="5">
        <f ca="1">MAX(0,CP*(D4542-K))</f>
        <v>0</v>
      </c>
      <c r="F4542" s="4">
        <f ca="1">(CP*(D4542-K)&gt;0)*1</f>
        <v>0</v>
      </c>
      <c r="H4542" s="4">
        <v>4527</v>
      </c>
      <c r="I4542" s="3">
        <v>0.6677799571283255</v>
      </c>
      <c r="J4542" s="128">
        <v>1.412692634543071E-3</v>
      </c>
      <c r="K4542" s="128"/>
      <c r="L4542" s="128">
        <v>4.1000000000000002E-2</v>
      </c>
      <c r="O4542" s="2"/>
    </row>
    <row r="4543" spans="2:15" x14ac:dyDescent="0.2">
      <c r="B4543" s="1">
        <f>B4542+1</f>
        <v>4528</v>
      </c>
      <c r="C4543" s="5">
        <f ca="1"/>
        <v>0.26566456128950733</v>
      </c>
      <c r="D4543" s="5">
        <f ca="1">S0*EXP((μ-0.5*σ*σ)*T+σ*SQRT(T)*$C4543)</f>
        <v>0.6821398148595057</v>
      </c>
      <c r="E4543" s="5">
        <f ca="1">MAX(0,CP*(D4543-K))</f>
        <v>0</v>
      </c>
      <c r="F4543" s="4">
        <f ca="1">(CP*(D4543-K)&gt;0)*1</f>
        <v>0</v>
      </c>
      <c r="H4543" s="4">
        <v>4528</v>
      </c>
      <c r="I4543" s="3">
        <v>0.6678077149291044</v>
      </c>
      <c r="J4543" s="128">
        <v>1.5358881131191946E-3</v>
      </c>
      <c r="K4543" s="128"/>
      <c r="L4543" s="128">
        <v>4.2599999999999999E-2</v>
      </c>
      <c r="O4543" s="2"/>
    </row>
    <row r="4544" spans="2:15" x14ac:dyDescent="0.2">
      <c r="B4544" s="1">
        <f>B4543+1</f>
        <v>4529</v>
      </c>
      <c r="C4544" s="5">
        <f ca="1"/>
        <v>-1.0359618900153607</v>
      </c>
      <c r="D4544" s="5">
        <f ca="1">S0*EXP((μ-0.5*σ*σ)*T+σ*SQRT(T)*$C4544)</f>
        <v>0.59998855832328701</v>
      </c>
      <c r="E4544" s="5">
        <f ca="1">MAX(0,CP*(D4544-K))</f>
        <v>0</v>
      </c>
      <c r="F4544" s="4">
        <f ca="1">(CP*(D4544-K)&gt;0)*1</f>
        <v>0</v>
      </c>
      <c r="H4544" s="4">
        <v>4529</v>
      </c>
      <c r="I4544" s="3">
        <v>0.66773164072896241</v>
      </c>
      <c r="J4544" s="128">
        <v>1.4242240198419156E-3</v>
      </c>
      <c r="K4544" s="128"/>
      <c r="L4544" s="128">
        <v>4.24E-2</v>
      </c>
      <c r="O4544" s="2"/>
    </row>
    <row r="4545" spans="2:15" x14ac:dyDescent="0.2">
      <c r="B4545" s="1">
        <f>B4544+1</f>
        <v>4530</v>
      </c>
      <c r="C4545" s="5">
        <f ca="1"/>
        <v>-0.61411054582844182</v>
      </c>
      <c r="D4545" s="5">
        <f ca="1">S0*EXP((μ-0.5*σ*σ)*T+σ*SQRT(T)*$C4545)</f>
        <v>0.62546779527098539</v>
      </c>
      <c r="E4545" s="5">
        <f ca="1">MAX(0,CP*(D4545-K))</f>
        <v>0</v>
      </c>
      <c r="F4545" s="4">
        <f ca="1">(CP*(D4545-K)&gt;0)*1</f>
        <v>0</v>
      </c>
      <c r="H4545" s="4">
        <v>4530</v>
      </c>
      <c r="I4545" s="3">
        <v>0.66793201456412366</v>
      </c>
      <c r="J4545" s="128">
        <v>1.5571215224752743E-3</v>
      </c>
      <c r="K4545" s="128"/>
      <c r="L4545" s="128">
        <v>4.4600000000000001E-2</v>
      </c>
      <c r="O4545" s="2"/>
    </row>
    <row r="4546" spans="2:15" x14ac:dyDescent="0.2">
      <c r="B4546" s="1">
        <f>B4545+1</f>
        <v>4531</v>
      </c>
      <c r="C4546" s="5">
        <f ca="1"/>
        <v>-0.21710353764387944</v>
      </c>
      <c r="D4546" s="5">
        <f ca="1">S0*EXP((μ-0.5*σ*σ)*T+σ*SQRT(T)*$C4546)</f>
        <v>0.65043395201180265</v>
      </c>
      <c r="E4546" s="5">
        <f ca="1">MAX(0,CP*(D4546-K))</f>
        <v>0</v>
      </c>
      <c r="F4546" s="4">
        <f ca="1">(CP*(D4546-K)&gt;0)*1</f>
        <v>0</v>
      </c>
      <c r="H4546" s="4">
        <v>4531</v>
      </c>
      <c r="I4546" s="3">
        <v>0.66772204087935982</v>
      </c>
      <c r="J4546" s="128">
        <v>1.3056920569243793E-3</v>
      </c>
      <c r="K4546" s="128"/>
      <c r="L4546" s="128">
        <v>4.0800000000000003E-2</v>
      </c>
      <c r="O4546" s="2"/>
    </row>
    <row r="4547" spans="2:15" x14ac:dyDescent="0.2">
      <c r="B4547" s="1">
        <f>B4546+1</f>
        <v>4532</v>
      </c>
      <c r="C4547" s="5">
        <f ca="1"/>
        <v>0.4260738630058617</v>
      </c>
      <c r="D4547" s="5">
        <f ca="1">S0*EXP((μ-0.5*σ*σ)*T+σ*SQRT(T)*$C4547)</f>
        <v>0.69301316154445347</v>
      </c>
      <c r="E4547" s="5">
        <f ca="1">MAX(0,CP*(D4547-K))</f>
        <v>0</v>
      </c>
      <c r="F4547" s="4">
        <f ca="1">(CP*(D4547-K)&gt;0)*1</f>
        <v>0</v>
      </c>
      <c r="H4547" s="4">
        <v>4532</v>
      </c>
      <c r="I4547" s="3">
        <v>0.66777544131653099</v>
      </c>
      <c r="J4547" s="128">
        <v>1.3641219572405915E-3</v>
      </c>
      <c r="K4547" s="128"/>
      <c r="L4547" s="128">
        <v>3.9199999999999999E-2</v>
      </c>
      <c r="O4547" s="2"/>
    </row>
    <row r="4548" spans="2:15" x14ac:dyDescent="0.2">
      <c r="B4548" s="1">
        <f>B4547+1</f>
        <v>4533</v>
      </c>
      <c r="C4548" s="5">
        <f ca="1"/>
        <v>-0.73781751664101358</v>
      </c>
      <c r="D4548" s="5">
        <f ca="1">S0*EXP((μ-0.5*σ*σ)*T+σ*SQRT(T)*$C4548)</f>
        <v>0.61788594472384484</v>
      </c>
      <c r="E4548" s="5">
        <f ca="1">MAX(0,CP*(D4548-K))</f>
        <v>0</v>
      </c>
      <c r="F4548" s="4">
        <f ca="1">(CP*(D4548-K)&gt;0)*1</f>
        <v>0</v>
      </c>
      <c r="H4548" s="4">
        <v>4533</v>
      </c>
      <c r="I4548" s="3">
        <v>0.6676475147669767</v>
      </c>
      <c r="J4548" s="128">
        <v>1.1610112046720614E-3</v>
      </c>
      <c r="K4548" s="128"/>
      <c r="L4548" s="128">
        <v>4.0399999999999998E-2</v>
      </c>
      <c r="O4548" s="2"/>
    </row>
    <row r="4549" spans="2:15" x14ac:dyDescent="0.2">
      <c r="B4549" s="1">
        <f>B4548+1</f>
        <v>4534</v>
      </c>
      <c r="C4549" s="5">
        <f ca="1"/>
        <v>-1.4876718836062348</v>
      </c>
      <c r="D4549" s="5">
        <f ca="1">S0*EXP((μ-0.5*σ*σ)*T+σ*SQRT(T)*$C4549)</f>
        <v>0.57385551020343994</v>
      </c>
      <c r="E4549" s="5">
        <f ca="1">MAX(0,CP*(D4549-K))</f>
        <v>0</v>
      </c>
      <c r="F4549" s="4">
        <f ca="1">(CP*(D4549-K)&gt;0)*1</f>
        <v>0</v>
      </c>
      <c r="H4549" s="4">
        <v>4534</v>
      </c>
      <c r="I4549" s="3">
        <v>0.66776067453528887</v>
      </c>
      <c r="J4549" s="128">
        <v>1.4709910371209195E-3</v>
      </c>
      <c r="K4549" s="128"/>
      <c r="L4549" s="128">
        <v>4.0800000000000003E-2</v>
      </c>
      <c r="O4549" s="2"/>
    </row>
    <row r="4550" spans="2:15" x14ac:dyDescent="0.2">
      <c r="B4550" s="1">
        <f>B4549+1</f>
        <v>4535</v>
      </c>
      <c r="C4550" s="5">
        <f ca="1"/>
        <v>5.3085510278903868E-2</v>
      </c>
      <c r="D4550" s="5">
        <f ca="1">S0*EXP((μ-0.5*σ*σ)*T+σ*SQRT(T)*$C4550)</f>
        <v>0.66799254493555871</v>
      </c>
      <c r="E4550" s="5">
        <f ca="1">MAX(0,CP*(D4550-K))</f>
        <v>0</v>
      </c>
      <c r="F4550" s="4">
        <f ca="1">(CP*(D4550-K)&gt;0)*1</f>
        <v>0</v>
      </c>
      <c r="H4550" s="4">
        <v>4535</v>
      </c>
      <c r="I4550" s="3">
        <v>0.66775612813052843</v>
      </c>
      <c r="J4550" s="128">
        <v>1.428247797549226E-3</v>
      </c>
      <c r="K4550" s="128"/>
      <c r="L4550" s="128">
        <v>4.3799999999999999E-2</v>
      </c>
      <c r="O4550" s="2"/>
    </row>
    <row r="4551" spans="2:15" x14ac:dyDescent="0.2">
      <c r="B4551" s="1">
        <f>B4550+1</f>
        <v>4536</v>
      </c>
      <c r="C4551" s="5">
        <f ca="1"/>
        <v>-0.17378453901064098</v>
      </c>
      <c r="D4551" s="5">
        <f ca="1">S0*EXP((μ-0.5*σ*σ)*T+σ*SQRT(T)*$C4551)</f>
        <v>0.65321770717387018</v>
      </c>
      <c r="E4551" s="5">
        <f ca="1">MAX(0,CP*(D4551-K))</f>
        <v>0</v>
      </c>
      <c r="F4551" s="4">
        <f ca="1">(CP*(D4551-K)&gt;0)*1</f>
        <v>0</v>
      </c>
      <c r="H4551" s="4">
        <v>4536</v>
      </c>
      <c r="I4551" s="3">
        <v>0.6677827070623068</v>
      </c>
      <c r="J4551" s="128">
        <v>1.2935071817616064E-3</v>
      </c>
      <c r="K4551" s="128"/>
      <c r="L4551" s="128">
        <v>4.1000000000000002E-2</v>
      </c>
      <c r="O4551" s="2"/>
    </row>
    <row r="4552" spans="2:15" x14ac:dyDescent="0.2">
      <c r="B4552" s="1">
        <f>B4551+1</f>
        <v>4537</v>
      </c>
      <c r="C4552" s="5">
        <f ca="1"/>
        <v>0.65521391531658302</v>
      </c>
      <c r="D4552" s="5">
        <f ca="1">S0*EXP((μ-0.5*σ*σ)*T+σ*SQRT(T)*$C4552)</f>
        <v>0.70884673259721731</v>
      </c>
      <c r="E4552" s="5">
        <f ca="1">MAX(0,CP*(D4552-K))</f>
        <v>0</v>
      </c>
      <c r="F4552" s="4">
        <f ca="1">(CP*(D4552-K)&gt;0)*1</f>
        <v>0</v>
      </c>
      <c r="H4552" s="4">
        <v>4537</v>
      </c>
      <c r="I4552" s="3">
        <v>0.66756154847211258</v>
      </c>
      <c r="J4552" s="128">
        <v>1.1555848101250394E-3</v>
      </c>
      <c r="K4552" s="128"/>
      <c r="L4552" s="128">
        <v>3.7600000000000001E-2</v>
      </c>
      <c r="O4552" s="2"/>
    </row>
    <row r="4553" spans="2:15" x14ac:dyDescent="0.2">
      <c r="B4553" s="1">
        <f>B4552+1</f>
        <v>4538</v>
      </c>
      <c r="C4553" s="5">
        <f ca="1"/>
        <v>-1.5085682269134337</v>
      </c>
      <c r="D4553" s="5">
        <f ca="1">S0*EXP((μ-0.5*σ*σ)*T+σ*SQRT(T)*$C4553)</f>
        <v>0.57267451726910379</v>
      </c>
      <c r="E4553" s="5">
        <f ca="1">MAX(0,CP*(D4553-K))</f>
        <v>0</v>
      </c>
      <c r="F4553" s="4">
        <f ca="1">(CP*(D4553-K)&gt;0)*1</f>
        <v>0</v>
      </c>
      <c r="H4553" s="4">
        <v>4538</v>
      </c>
      <c r="I4553" s="3">
        <v>0.66777472864164411</v>
      </c>
      <c r="J4553" s="128">
        <v>1.2310037201495102E-3</v>
      </c>
      <c r="K4553" s="128"/>
      <c r="L4553" s="128">
        <v>3.8399999999999997E-2</v>
      </c>
      <c r="O4553" s="2"/>
    </row>
    <row r="4554" spans="2:15" x14ac:dyDescent="0.2">
      <c r="B4554" s="1">
        <f>B4553+1</f>
        <v>4539</v>
      </c>
      <c r="C4554" s="5">
        <f ca="1"/>
        <v>4.1414552829162322E-2</v>
      </c>
      <c r="D4554" s="5">
        <f ca="1">S0*EXP((μ-0.5*σ*σ)*T+σ*SQRT(T)*$C4554)</f>
        <v>0.66722438793295535</v>
      </c>
      <c r="E4554" s="5">
        <f ca="1">MAX(0,CP*(D4554-K))</f>
        <v>0</v>
      </c>
      <c r="F4554" s="4">
        <f ca="1">(CP*(D4554-K)&gt;0)*1</f>
        <v>0</v>
      </c>
      <c r="H4554" s="4">
        <v>4539</v>
      </c>
      <c r="I4554" s="3">
        <v>0.66767861159016118</v>
      </c>
      <c r="J4554" s="128">
        <v>1.3125584671773926E-3</v>
      </c>
      <c r="K4554" s="128"/>
      <c r="L4554" s="128">
        <v>3.9600000000000003E-2</v>
      </c>
      <c r="O4554" s="2"/>
    </row>
    <row r="4555" spans="2:15" x14ac:dyDescent="0.2">
      <c r="B4555" s="1">
        <f>B4554+1</f>
        <v>4540</v>
      </c>
      <c r="C4555" s="5">
        <f ca="1"/>
        <v>-0.44972104575927874</v>
      </c>
      <c r="D4555" s="5">
        <f ca="1">S0*EXP((μ-0.5*σ*σ)*T+σ*SQRT(T)*$C4555)</f>
        <v>0.63568718004742708</v>
      </c>
      <c r="E4555" s="5">
        <f ca="1">MAX(0,CP*(D4555-K))</f>
        <v>0</v>
      </c>
      <c r="F4555" s="4">
        <f ca="1">(CP*(D4555-K)&gt;0)*1</f>
        <v>0</v>
      </c>
      <c r="H4555" s="4">
        <v>4540</v>
      </c>
      <c r="I4555" s="3">
        <v>0.66758965385131352</v>
      </c>
      <c r="J4555" s="128">
        <v>1.2459228840856905E-3</v>
      </c>
      <c r="K4555" s="128"/>
      <c r="L4555" s="128">
        <v>3.9600000000000003E-2</v>
      </c>
      <c r="O4555" s="2"/>
    </row>
    <row r="4556" spans="2:15" x14ac:dyDescent="0.2">
      <c r="B4556" s="1">
        <f>B4555+1</f>
        <v>4541</v>
      </c>
      <c r="C4556" s="5">
        <f ca="1"/>
        <v>-1.2092622919008507</v>
      </c>
      <c r="D4556" s="5">
        <f ca="1">S0*EXP((μ-0.5*σ*σ)*T+σ*SQRT(T)*$C4556)</f>
        <v>0.58982467837620267</v>
      </c>
      <c r="E4556" s="5">
        <f ca="1">MAX(0,CP*(D4556-K))</f>
        <v>0</v>
      </c>
      <c r="F4556" s="4">
        <f ca="1">(CP*(D4556-K)&gt;0)*1</f>
        <v>0</v>
      </c>
      <c r="H4556" s="4">
        <v>4541</v>
      </c>
      <c r="I4556" s="3">
        <v>0.66767872172013809</v>
      </c>
      <c r="J4556" s="128">
        <v>1.3252615892539738E-3</v>
      </c>
      <c r="K4556" s="128"/>
      <c r="L4556" s="128">
        <v>3.9E-2</v>
      </c>
      <c r="O4556" s="2"/>
    </row>
    <row r="4557" spans="2:15" x14ac:dyDescent="0.2">
      <c r="B4557" s="1">
        <f>B4556+1</f>
        <v>4542</v>
      </c>
      <c r="C4557" s="5">
        <f ca="1"/>
        <v>-4.5351255104874935E-2</v>
      </c>
      <c r="D4557" s="5">
        <f ca="1">S0*EXP((μ-0.5*σ*σ)*T+σ*SQRT(T)*$C4557)</f>
        <v>0.66154127757432102</v>
      </c>
      <c r="E4557" s="5">
        <f ca="1">MAX(0,CP*(D4557-K))</f>
        <v>0</v>
      </c>
      <c r="F4557" s="4">
        <f ca="1">(CP*(D4557-K)&gt;0)*1</f>
        <v>0</v>
      </c>
      <c r="H4557" s="4">
        <v>4542</v>
      </c>
      <c r="I4557" s="3">
        <v>0.66785803723218717</v>
      </c>
      <c r="J4557" s="128">
        <v>1.3698059599150422E-3</v>
      </c>
      <c r="K4557" s="128"/>
      <c r="L4557" s="128">
        <v>4.3999999999999997E-2</v>
      </c>
      <c r="O4557" s="2"/>
    </row>
    <row r="4558" spans="2:15" x14ac:dyDescent="0.2">
      <c r="B4558" s="1">
        <f>B4557+1</f>
        <v>4543</v>
      </c>
      <c r="C4558" s="5">
        <f ca="1"/>
        <v>-1.950297031696963</v>
      </c>
      <c r="D4558" s="5">
        <f ca="1">S0*EXP((μ-0.5*σ*σ)*T+σ*SQRT(T)*$C4558)</f>
        <v>0.54827040084961509</v>
      </c>
      <c r="E4558" s="5">
        <f ca="1">MAX(0,CP*(D4558-K))</f>
        <v>0</v>
      </c>
      <c r="F4558" s="4">
        <f ca="1">(CP*(D4558-K)&gt;0)*1</f>
        <v>0</v>
      </c>
      <c r="H4558" s="4">
        <v>4543</v>
      </c>
      <c r="I4558" s="3">
        <v>0.66777472725115272</v>
      </c>
      <c r="J4558" s="128">
        <v>1.3844954283532985E-3</v>
      </c>
      <c r="K4558" s="128"/>
      <c r="L4558" s="128">
        <v>4.1200000000000001E-2</v>
      </c>
      <c r="O4558" s="2"/>
    </row>
    <row r="4559" spans="2:15" x14ac:dyDescent="0.2">
      <c r="B4559" s="1">
        <f>B4558+1</f>
        <v>4544</v>
      </c>
      <c r="C4559" s="5">
        <f ca="1"/>
        <v>1.2429283018604611</v>
      </c>
      <c r="D4559" s="5">
        <f ca="1">S0*EXP((μ-0.5*σ*σ)*T+σ*SQRT(T)*$C4559)</f>
        <v>0.75113140018166213</v>
      </c>
      <c r="E4559" s="5">
        <f ca="1">MAX(0,CP*(D4559-K))</f>
        <v>0</v>
      </c>
      <c r="F4559" s="4">
        <f ca="1">(CP*(D4559-K)&gt;0)*1</f>
        <v>0</v>
      </c>
      <c r="H4559" s="4">
        <v>4544</v>
      </c>
      <c r="I4559" s="3">
        <v>0.66781818786043978</v>
      </c>
      <c r="J4559" s="128">
        <v>1.4277196426674434E-3</v>
      </c>
      <c r="K4559" s="128"/>
      <c r="L4559" s="128">
        <v>4.48E-2</v>
      </c>
      <c r="O4559" s="2"/>
    </row>
    <row r="4560" spans="2:15" x14ac:dyDescent="0.2">
      <c r="B4560" s="1">
        <f>B4559+1</f>
        <v>4545</v>
      </c>
      <c r="C4560" s="5">
        <f ca="1"/>
        <v>-0.24536645935793863</v>
      </c>
      <c r="D4560" s="5">
        <f ca="1">S0*EXP((μ-0.5*σ*σ)*T+σ*SQRT(T)*$C4560)</f>
        <v>0.64862412499513011</v>
      </c>
      <c r="E4560" s="5">
        <f ca="1">MAX(0,CP*(D4560-K))</f>
        <v>0</v>
      </c>
      <c r="F4560" s="4">
        <f ca="1">(CP*(D4560-K)&gt;0)*1</f>
        <v>0</v>
      </c>
      <c r="H4560" s="4">
        <v>4545</v>
      </c>
      <c r="I4560" s="3">
        <v>0.66771783178419053</v>
      </c>
      <c r="J4560" s="128">
        <v>1.3106828435791842E-3</v>
      </c>
      <c r="K4560" s="128"/>
      <c r="L4560" s="128">
        <v>4.24E-2</v>
      </c>
      <c r="O4560" s="2"/>
    </row>
    <row r="4561" spans="2:15" x14ac:dyDescent="0.2">
      <c r="B4561" s="1">
        <f>B4560+1</f>
        <v>4546</v>
      </c>
      <c r="C4561" s="5">
        <f ca="1"/>
        <v>-5.6311312124820385E-2</v>
      </c>
      <c r="D4561" s="5">
        <f ca="1">S0*EXP((μ-0.5*σ*σ)*T+σ*SQRT(T)*$C4561)</f>
        <v>0.66082685220166759</v>
      </c>
      <c r="E4561" s="5">
        <f ca="1">MAX(0,CP*(D4561-K))</f>
        <v>0</v>
      </c>
      <c r="F4561" s="4">
        <f ca="1">(CP*(D4561-K)&gt;0)*1</f>
        <v>0</v>
      </c>
      <c r="H4561" s="4">
        <v>4546</v>
      </c>
      <c r="I4561" s="3">
        <v>0.6676949861748257</v>
      </c>
      <c r="J4561" s="128">
        <v>1.2193915966839373E-3</v>
      </c>
      <c r="K4561" s="128"/>
      <c r="L4561" s="128">
        <v>4.0399999999999998E-2</v>
      </c>
      <c r="O4561" s="2"/>
    </row>
    <row r="4562" spans="2:15" x14ac:dyDescent="0.2">
      <c r="B4562" s="1">
        <f>B4561+1</f>
        <v>4547</v>
      </c>
      <c r="C4562" s="5">
        <f ca="1"/>
        <v>1.1513226745965215</v>
      </c>
      <c r="D4562" s="5">
        <f ca="1">S0*EXP((μ-0.5*σ*σ)*T+σ*SQRT(T)*$C4562)</f>
        <v>0.74437834693817051</v>
      </c>
      <c r="E4562" s="5">
        <f ca="1">MAX(0,CP*(D4562-K))</f>
        <v>0</v>
      </c>
      <c r="F4562" s="4">
        <f ca="1">(CP*(D4562-K)&gt;0)*1</f>
        <v>0</v>
      </c>
      <c r="H4562" s="4">
        <v>4547</v>
      </c>
      <c r="I4562" s="3">
        <v>0.66780664173003956</v>
      </c>
      <c r="J4562" s="128">
        <v>1.5513298283783431E-3</v>
      </c>
      <c r="K4562" s="128"/>
      <c r="L4562" s="128">
        <v>4.1200000000000001E-2</v>
      </c>
      <c r="O4562" s="2"/>
    </row>
    <row r="4563" spans="2:15" x14ac:dyDescent="0.2">
      <c r="B4563" s="1">
        <f>B4562+1</f>
        <v>4548</v>
      </c>
      <c r="C4563" s="5">
        <f ca="1"/>
        <v>0.12478669022365951</v>
      </c>
      <c r="D4563" s="5">
        <f ca="1">S0*EXP((μ-0.5*σ*σ)*T+σ*SQRT(T)*$C4563)</f>
        <v>0.6727312046364009</v>
      </c>
      <c r="E4563" s="5">
        <f ca="1">MAX(0,CP*(D4563-K))</f>
        <v>0</v>
      </c>
      <c r="F4563" s="4">
        <f ca="1">(CP*(D4563-K)&gt;0)*1</f>
        <v>0</v>
      </c>
      <c r="H4563" s="4">
        <v>4548</v>
      </c>
      <c r="I4563" s="3">
        <v>0.6679367580131117</v>
      </c>
      <c r="J4563" s="128">
        <v>1.457396910906082E-3</v>
      </c>
      <c r="K4563" s="128"/>
      <c r="L4563" s="128">
        <v>4.6199999999999998E-2</v>
      </c>
      <c r="O4563" s="2"/>
    </row>
    <row r="4564" spans="2:15" x14ac:dyDescent="0.2">
      <c r="B4564" s="1">
        <f>B4563+1</f>
        <v>4549</v>
      </c>
      <c r="C4564" s="5">
        <f ca="1"/>
        <v>0.12546758955639212</v>
      </c>
      <c r="D4564" s="5">
        <f ca="1">S0*EXP((μ-0.5*σ*σ)*T+σ*SQRT(T)*$C4564)</f>
        <v>0.67277636534823881</v>
      </c>
      <c r="E4564" s="5">
        <f ca="1">MAX(0,CP*(D4564-K))</f>
        <v>0</v>
      </c>
      <c r="F4564" s="4">
        <f ca="1">(CP*(D4564-K)&gt;0)*1</f>
        <v>0</v>
      </c>
      <c r="H4564" s="4">
        <v>4549</v>
      </c>
      <c r="I4564" s="3">
        <v>0.66761002897215371</v>
      </c>
      <c r="J4564" s="128">
        <v>1.3830592114756992E-3</v>
      </c>
      <c r="K4564" s="128"/>
      <c r="L4564" s="128">
        <v>3.7199999999999997E-2</v>
      </c>
      <c r="O4564" s="2"/>
    </row>
    <row r="4565" spans="2:15" x14ac:dyDescent="0.2">
      <c r="B4565" s="1">
        <f>B4564+1</f>
        <v>4550</v>
      </c>
      <c r="C4565" s="5">
        <f ca="1"/>
        <v>-1.0841284031293661</v>
      </c>
      <c r="D4565" s="5">
        <f ca="1">S0*EXP((μ-0.5*σ*σ)*T+σ*SQRT(T)*$C4565)</f>
        <v>0.59714619784128087</v>
      </c>
      <c r="E4565" s="5">
        <f ca="1">MAX(0,CP*(D4565-K))</f>
        <v>0</v>
      </c>
      <c r="F4565" s="4">
        <f ca="1">(CP*(D4565-K)&gt;0)*1</f>
        <v>0</v>
      </c>
      <c r="H4565" s="4">
        <v>4550</v>
      </c>
      <c r="I4565" s="3">
        <v>0.66781354216799393</v>
      </c>
      <c r="J4565" s="128">
        <v>1.3491894774302572E-3</v>
      </c>
      <c r="K4565" s="128"/>
      <c r="L4565" s="128">
        <v>4.36E-2</v>
      </c>
      <c r="O4565" s="2"/>
    </row>
    <row r="4566" spans="2:15" x14ac:dyDescent="0.2">
      <c r="B4566" s="1">
        <f>B4565+1</f>
        <v>4551</v>
      </c>
      <c r="C4566" s="5">
        <f ca="1"/>
        <v>0.72792171706662923</v>
      </c>
      <c r="D4566" s="5">
        <f ca="1">S0*EXP((μ-0.5*σ*σ)*T+σ*SQRT(T)*$C4566)</f>
        <v>0.7139460557513353</v>
      </c>
      <c r="E4566" s="5">
        <f ca="1">MAX(0,CP*(D4566-K))</f>
        <v>0</v>
      </c>
      <c r="F4566" s="4">
        <f ca="1">(CP*(D4566-K)&gt;0)*1</f>
        <v>0</v>
      </c>
      <c r="H4566" s="4">
        <v>4551</v>
      </c>
      <c r="I4566" s="3">
        <v>0.66789905377081205</v>
      </c>
      <c r="J4566" s="128">
        <v>1.5536357126717313E-3</v>
      </c>
      <c r="K4566" s="128"/>
      <c r="L4566" s="128">
        <v>4.7600000000000003E-2</v>
      </c>
      <c r="O4566" s="2"/>
    </row>
    <row r="4567" spans="2:15" x14ac:dyDescent="0.2">
      <c r="B4567" s="1">
        <f>B4566+1</f>
        <v>4552</v>
      </c>
      <c r="C4567" s="5">
        <f ca="1"/>
        <v>-1.9937900092915488</v>
      </c>
      <c r="D4567" s="5">
        <f ca="1">S0*EXP((μ-0.5*σ*σ)*T+σ*SQRT(T)*$C4567)</f>
        <v>0.54592452568562666</v>
      </c>
      <c r="E4567" s="5">
        <f ca="1">MAX(0,CP*(D4567-K))</f>
        <v>0</v>
      </c>
      <c r="F4567" s="4">
        <f ca="1">(CP*(D4567-K)&gt;0)*1</f>
        <v>0</v>
      </c>
      <c r="H4567" s="4">
        <v>4552</v>
      </c>
      <c r="I4567" s="3">
        <v>0.66770734238144125</v>
      </c>
      <c r="J4567" s="128">
        <v>1.2943603835918142E-3</v>
      </c>
      <c r="K4567" s="128"/>
      <c r="L4567" s="128">
        <v>3.7999999999999999E-2</v>
      </c>
      <c r="O4567" s="2"/>
    </row>
    <row r="4568" spans="2:15" x14ac:dyDescent="0.2">
      <c r="B4568" s="1">
        <f>B4567+1</f>
        <v>4553</v>
      </c>
      <c r="C4568" s="5">
        <f ca="1"/>
        <v>-0.24104464017270838</v>
      </c>
      <c r="D4568" s="5">
        <f ca="1">S0*EXP((μ-0.5*σ*σ)*T+σ*SQRT(T)*$C4568)</f>
        <v>0.64890054784249551</v>
      </c>
      <c r="E4568" s="5">
        <f ca="1">MAX(0,CP*(D4568-K))</f>
        <v>0</v>
      </c>
      <c r="F4568" s="4">
        <f ca="1">(CP*(D4568-K)&gt;0)*1</f>
        <v>0</v>
      </c>
      <c r="H4568" s="4">
        <v>4553</v>
      </c>
      <c r="I4568" s="3">
        <v>0.66775897391167538</v>
      </c>
      <c r="J4568" s="128">
        <v>1.4109573136397338E-3</v>
      </c>
      <c r="K4568" s="128"/>
      <c r="L4568" s="128">
        <v>4.1399999999999999E-2</v>
      </c>
      <c r="O4568" s="2"/>
    </row>
    <row r="4569" spans="2:15" x14ac:dyDescent="0.2">
      <c r="B4569" s="1">
        <f>B4568+1</f>
        <v>4554</v>
      </c>
      <c r="C4569" s="5">
        <f ca="1"/>
        <v>-0.83696993834355704</v>
      </c>
      <c r="D4569" s="5">
        <f ca="1">S0*EXP((μ-0.5*σ*σ)*T+σ*SQRT(T)*$C4569)</f>
        <v>0.6118754193198489</v>
      </c>
      <c r="E4569" s="5">
        <f ca="1">MAX(0,CP*(D4569-K))</f>
        <v>0</v>
      </c>
      <c r="F4569" s="4">
        <f ca="1">(CP*(D4569-K)&gt;0)*1</f>
        <v>0</v>
      </c>
      <c r="H4569" s="4">
        <v>4554</v>
      </c>
      <c r="I4569" s="3">
        <v>0.66769174582628543</v>
      </c>
      <c r="J4569" s="128">
        <v>1.3027426782651812E-3</v>
      </c>
      <c r="K4569" s="128"/>
      <c r="L4569" s="128">
        <v>3.9E-2</v>
      </c>
      <c r="O4569" s="2"/>
    </row>
    <row r="4570" spans="2:15" x14ac:dyDescent="0.2">
      <c r="B4570" s="1">
        <f>B4569+1</f>
        <v>4555</v>
      </c>
      <c r="C4570" s="5">
        <f ca="1"/>
        <v>-1.0235868557738539</v>
      </c>
      <c r="D4570" s="5">
        <f ca="1">S0*EXP((μ-0.5*σ*σ)*T+σ*SQRT(T)*$C4570)</f>
        <v>0.60072100506268389</v>
      </c>
      <c r="E4570" s="5">
        <f ca="1">MAX(0,CP*(D4570-K))</f>
        <v>0</v>
      </c>
      <c r="F4570" s="4">
        <f ca="1">(CP*(D4570-K)&gt;0)*1</f>
        <v>0</v>
      </c>
      <c r="H4570" s="4">
        <v>4555</v>
      </c>
      <c r="I4570" s="3">
        <v>0.66785983687372408</v>
      </c>
      <c r="J4570" s="128">
        <v>1.6120489817924195E-3</v>
      </c>
      <c r="K4570" s="128"/>
      <c r="L4570" s="128">
        <v>4.2999999999999997E-2</v>
      </c>
      <c r="O4570" s="2"/>
    </row>
    <row r="4571" spans="2:15" x14ac:dyDescent="0.2">
      <c r="B4571" s="1">
        <f>B4570+1</f>
        <v>4556</v>
      </c>
      <c r="C4571" s="5">
        <f ca="1"/>
        <v>0.72527139078311598</v>
      </c>
      <c r="D4571" s="5">
        <f ca="1">S0*EXP((μ-0.5*σ*σ)*T+σ*SQRT(T)*$C4571)</f>
        <v>0.71375953389641289</v>
      </c>
      <c r="E4571" s="5">
        <f ca="1">MAX(0,CP*(D4571-K))</f>
        <v>0</v>
      </c>
      <c r="F4571" s="4">
        <f ca="1">(CP*(D4571-K)&gt;0)*1</f>
        <v>0</v>
      </c>
      <c r="H4571" s="4">
        <v>4556</v>
      </c>
      <c r="I4571" s="3">
        <v>0.66763843149901358</v>
      </c>
      <c r="J4571" s="128">
        <v>1.1761972120495102E-3</v>
      </c>
      <c r="K4571" s="128"/>
      <c r="L4571" s="128">
        <v>4.1799999999999997E-2</v>
      </c>
      <c r="O4571" s="2"/>
    </row>
    <row r="4572" spans="2:15" x14ac:dyDescent="0.2">
      <c r="B4572" s="1">
        <f>B4571+1</f>
        <v>4557</v>
      </c>
      <c r="C4572" s="5">
        <f ca="1"/>
        <v>2.6233406178760209E-2</v>
      </c>
      <c r="D4572" s="5">
        <f ca="1">S0*EXP((μ-0.5*σ*σ)*T+σ*SQRT(T)*$C4572)</f>
        <v>0.66622651957693269</v>
      </c>
      <c r="E4572" s="5">
        <f ca="1">MAX(0,CP*(D4572-K))</f>
        <v>0</v>
      </c>
      <c r="F4572" s="4">
        <f ca="1">(CP*(D4572-K)&gt;0)*1</f>
        <v>0</v>
      </c>
      <c r="H4572" s="4">
        <v>4557</v>
      </c>
      <c r="I4572" s="3">
        <v>0.66776784100955389</v>
      </c>
      <c r="J4572" s="128">
        <v>1.414364979563305E-3</v>
      </c>
      <c r="K4572" s="128"/>
      <c r="L4572" s="128">
        <v>4.1200000000000001E-2</v>
      </c>
      <c r="O4572" s="2"/>
    </row>
    <row r="4573" spans="2:15" x14ac:dyDescent="0.2">
      <c r="B4573" s="1">
        <f>B4572+1</f>
        <v>4558</v>
      </c>
      <c r="C4573" s="5">
        <f ca="1"/>
        <v>1.2722727628829462</v>
      </c>
      <c r="D4573" s="5">
        <f ca="1">S0*EXP((μ-0.5*σ*σ)*T+σ*SQRT(T)*$C4573)</f>
        <v>0.75330756674341404</v>
      </c>
      <c r="E4573" s="5">
        <f ca="1">MAX(0,CP*(D4573-K))</f>
        <v>0</v>
      </c>
      <c r="F4573" s="4">
        <f ca="1">(CP*(D4573-K)&gt;0)*1</f>
        <v>0</v>
      </c>
      <c r="H4573" s="4">
        <v>4558</v>
      </c>
      <c r="I4573" s="3">
        <v>0.66781266574307163</v>
      </c>
      <c r="J4573" s="128">
        <v>1.4882158100460677E-3</v>
      </c>
      <c r="K4573" s="128"/>
      <c r="L4573" s="128">
        <v>4.2000000000000003E-2</v>
      </c>
      <c r="O4573" s="2"/>
    </row>
    <row r="4574" spans="2:15" x14ac:dyDescent="0.2">
      <c r="B4574" s="1">
        <f>B4573+1</f>
        <v>4559</v>
      </c>
      <c r="C4574" s="5">
        <f ca="1"/>
        <v>1.3353810663482846</v>
      </c>
      <c r="D4574" s="5">
        <f ca="1">S0*EXP((μ-0.5*σ*σ)*T+σ*SQRT(T)*$C4574)</f>
        <v>0.75800902168734596</v>
      </c>
      <c r="E4574" s="5">
        <f ca="1">MAX(0,CP*(D4574-K))</f>
        <v>0</v>
      </c>
      <c r="F4574" s="4">
        <f ca="1">(CP*(D4574-K)&gt;0)*1</f>
        <v>0</v>
      </c>
      <c r="H4574" s="4">
        <v>4559</v>
      </c>
      <c r="I4574" s="3">
        <v>0.66761888715271556</v>
      </c>
      <c r="J4574" s="128">
        <v>1.078217396303683E-3</v>
      </c>
      <c r="K4574" s="128"/>
      <c r="L4574" s="128">
        <v>4.02E-2</v>
      </c>
      <c r="O4574" s="2"/>
    </row>
    <row r="4575" spans="2:15" x14ac:dyDescent="0.2">
      <c r="B4575" s="1">
        <f>B4574+1</f>
        <v>4560</v>
      </c>
      <c r="C4575" s="5">
        <f ca="1"/>
        <v>-1.0681520804368037</v>
      </c>
      <c r="D4575" s="5">
        <f ca="1">S0*EXP((μ-0.5*σ*σ)*T+σ*SQRT(T)*$C4575)</f>
        <v>0.59808748315304661</v>
      </c>
      <c r="E4575" s="5">
        <f ca="1">MAX(0,CP*(D4575-K))</f>
        <v>0</v>
      </c>
      <c r="F4575" s="4">
        <f ca="1">(CP*(D4575-K)&gt;0)*1</f>
        <v>0</v>
      </c>
      <c r="H4575" s="4">
        <v>4560</v>
      </c>
      <c r="I4575" s="3">
        <v>0.66770190120540551</v>
      </c>
      <c r="J4575" s="128">
        <v>1.1648820769846518E-3</v>
      </c>
      <c r="K4575" s="128"/>
      <c r="L4575" s="128">
        <v>3.8399999999999997E-2</v>
      </c>
      <c r="O4575" s="2"/>
    </row>
    <row r="4576" spans="2:15" x14ac:dyDescent="0.2">
      <c r="B4576" s="1">
        <f>B4575+1</f>
        <v>4561</v>
      </c>
      <c r="C4576" s="5">
        <f ca="1"/>
        <v>-0.44837935196599638</v>
      </c>
      <c r="D4576" s="5">
        <f ca="1">S0*EXP((μ-0.5*σ*σ)*T+σ*SQRT(T)*$C4576)</f>
        <v>0.6357712706196178</v>
      </c>
      <c r="E4576" s="5">
        <f ca="1">MAX(0,CP*(D4576-K))</f>
        <v>0</v>
      </c>
      <c r="F4576" s="4">
        <f ca="1">(CP*(D4576-K)&gt;0)*1</f>
        <v>0</v>
      </c>
      <c r="H4576" s="4">
        <v>4561</v>
      </c>
      <c r="I4576" s="3">
        <v>0.6678747794615828</v>
      </c>
      <c r="J4576" s="128">
        <v>1.444275052778982E-3</v>
      </c>
      <c r="K4576" s="128"/>
      <c r="L4576" s="128">
        <v>4.5199999999999997E-2</v>
      </c>
      <c r="O4576" s="2"/>
    </row>
    <row r="4577" spans="2:15" x14ac:dyDescent="0.2">
      <c r="B4577" s="1">
        <f>B4576+1</f>
        <v>4562</v>
      </c>
      <c r="C4577" s="5">
        <f ca="1"/>
        <v>-0.43249461112511123</v>
      </c>
      <c r="D4577" s="5">
        <f ca="1">S0*EXP((μ-0.5*σ*σ)*T+σ*SQRT(T)*$C4577)</f>
        <v>0.63676769158806434</v>
      </c>
      <c r="E4577" s="5">
        <f ca="1">MAX(0,CP*(D4577-K))</f>
        <v>0</v>
      </c>
      <c r="F4577" s="4">
        <f ca="1">(CP*(D4577-K)&gt;0)*1</f>
        <v>0</v>
      </c>
      <c r="H4577" s="4">
        <v>4562</v>
      </c>
      <c r="I4577" s="3">
        <v>0.66775519854510546</v>
      </c>
      <c r="J4577" s="128">
        <v>1.3311586135278627E-3</v>
      </c>
      <c r="K4577" s="128"/>
      <c r="L4577" s="128">
        <v>4.2200000000000001E-2</v>
      </c>
      <c r="O4577" s="2"/>
    </row>
    <row r="4578" spans="2:15" x14ac:dyDescent="0.2">
      <c r="B4578" s="1">
        <f>B4577+1</f>
        <v>4563</v>
      </c>
      <c r="C4578" s="5">
        <f ca="1"/>
        <v>-0.32153272277544104</v>
      </c>
      <c r="D4578" s="5">
        <f ca="1">S0*EXP((μ-0.5*σ*σ)*T+σ*SQRT(T)*$C4578)</f>
        <v>0.64377182188799953</v>
      </c>
      <c r="E4578" s="5">
        <f ca="1">MAX(0,CP*(D4578-K))</f>
        <v>0</v>
      </c>
      <c r="F4578" s="4">
        <f ca="1">(CP*(D4578-K)&gt;0)*1</f>
        <v>0</v>
      </c>
      <c r="H4578" s="4">
        <v>4563</v>
      </c>
      <c r="I4578" s="3">
        <v>0.66781505723651258</v>
      </c>
      <c r="J4578" s="128">
        <v>1.3503975976911289E-3</v>
      </c>
      <c r="K4578" s="128"/>
      <c r="L4578" s="128">
        <v>4.02E-2</v>
      </c>
      <c r="O4578" s="2"/>
    </row>
    <row r="4579" spans="2:15" x14ac:dyDescent="0.2">
      <c r="B4579" s="1">
        <f>B4578+1</f>
        <v>4564</v>
      </c>
      <c r="C4579" s="5">
        <f ca="1"/>
        <v>0.68249535268799577</v>
      </c>
      <c r="D4579" s="5">
        <f ca="1">S0*EXP((μ-0.5*σ*σ)*T+σ*SQRT(T)*$C4579)</f>
        <v>0.71075581855136916</v>
      </c>
      <c r="E4579" s="5">
        <f ca="1">MAX(0,CP*(D4579-K))</f>
        <v>0</v>
      </c>
      <c r="F4579" s="4">
        <f ca="1">(CP*(D4579-K)&gt;0)*1</f>
        <v>0</v>
      </c>
      <c r="H4579" s="4">
        <v>4564</v>
      </c>
      <c r="I4579" s="3">
        <v>0.66779854294726659</v>
      </c>
      <c r="J4579" s="128">
        <v>1.3656595285297232E-3</v>
      </c>
      <c r="K4579" s="128"/>
      <c r="L4579" s="128">
        <v>4.4200000000000003E-2</v>
      </c>
      <c r="O4579" s="2"/>
    </row>
    <row r="4580" spans="2:15" x14ac:dyDescent="0.2">
      <c r="B4580" s="1">
        <f>B4579+1</f>
        <v>4565</v>
      </c>
      <c r="C4580" s="5">
        <f ca="1"/>
        <v>-0.23710569458680844</v>
      </c>
      <c r="D4580" s="5">
        <f ca="1">S0*EXP((μ-0.5*σ*σ)*T+σ*SQRT(T)*$C4580)</f>
        <v>0.64915258476636029</v>
      </c>
      <c r="E4580" s="5">
        <f ca="1">MAX(0,CP*(D4580-K))</f>
        <v>0</v>
      </c>
      <c r="F4580" s="4">
        <f ca="1">(CP*(D4580-K)&gt;0)*1</f>
        <v>0</v>
      </c>
      <c r="H4580" s="4">
        <v>4565</v>
      </c>
      <c r="I4580" s="3">
        <v>0.66760971516287326</v>
      </c>
      <c r="J4580" s="128">
        <v>1.2686419323070753E-3</v>
      </c>
      <c r="K4580" s="128"/>
      <c r="L4580" s="128">
        <v>3.9600000000000003E-2</v>
      </c>
      <c r="O4580" s="2"/>
    </row>
    <row r="4581" spans="2:15" x14ac:dyDescent="0.2">
      <c r="B4581" s="1">
        <f>B4580+1</f>
        <v>4566</v>
      </c>
      <c r="C4581" s="5">
        <f ca="1"/>
        <v>0.42292599294084965</v>
      </c>
      <c r="D4581" s="5">
        <f ca="1">S0*EXP((μ-0.5*σ*σ)*T+σ*SQRT(T)*$C4581)</f>
        <v>0.69279812483138492</v>
      </c>
      <c r="E4581" s="5">
        <f ca="1">MAX(0,CP*(D4581-K))</f>
        <v>0</v>
      </c>
      <c r="F4581" s="4">
        <f ca="1">(CP*(D4581-K)&gt;0)*1</f>
        <v>0</v>
      </c>
      <c r="H4581" s="4">
        <v>4566</v>
      </c>
      <c r="I4581" s="3">
        <v>0.66770995420035251</v>
      </c>
      <c r="J4581" s="128">
        <v>1.3613831467478043E-3</v>
      </c>
      <c r="K4581" s="128"/>
      <c r="L4581" s="128">
        <v>4.0599999999999997E-2</v>
      </c>
      <c r="O4581" s="2"/>
    </row>
    <row r="4582" spans="2:15" x14ac:dyDescent="0.2">
      <c r="B4582" s="1">
        <f>B4581+1</f>
        <v>4567</v>
      </c>
      <c r="C4582" s="5">
        <f ca="1"/>
        <v>1.1915833326918612</v>
      </c>
      <c r="D4582" s="5">
        <f ca="1">S0*EXP((μ-0.5*σ*σ)*T+σ*SQRT(T)*$C4582)</f>
        <v>0.74733880222941063</v>
      </c>
      <c r="E4582" s="5">
        <f ca="1">MAX(0,CP*(D4582-K))</f>
        <v>0</v>
      </c>
      <c r="F4582" s="4">
        <f ca="1">(CP*(D4582-K)&gt;0)*1</f>
        <v>0</v>
      </c>
      <c r="H4582" s="4">
        <v>4567</v>
      </c>
      <c r="I4582" s="3">
        <v>0.66790426829989669</v>
      </c>
      <c r="J4582" s="128">
        <v>1.4922035216655648E-3</v>
      </c>
      <c r="K4582" s="128"/>
      <c r="L4582" s="128">
        <v>4.4999999999999998E-2</v>
      </c>
      <c r="O4582" s="2"/>
    </row>
    <row r="4583" spans="2:15" x14ac:dyDescent="0.2">
      <c r="B4583" s="1">
        <f>B4582+1</f>
        <v>4568</v>
      </c>
      <c r="C4583" s="5">
        <f ca="1"/>
        <v>0.43471963309867251</v>
      </c>
      <c r="D4583" s="5">
        <f ca="1">S0*EXP((μ-0.5*σ*σ)*T+σ*SQRT(T)*$C4583)</f>
        <v>0.69360411324628268</v>
      </c>
      <c r="E4583" s="5">
        <f ca="1">MAX(0,CP*(D4583-K))</f>
        <v>0</v>
      </c>
      <c r="F4583" s="4">
        <f ca="1">(CP*(D4583-K)&gt;0)*1</f>
        <v>0</v>
      </c>
      <c r="H4583" s="4">
        <v>4568</v>
      </c>
      <c r="I4583" s="3">
        <v>0.66779510286198607</v>
      </c>
      <c r="J4583" s="128">
        <v>1.2916486650257778E-3</v>
      </c>
      <c r="K4583" s="128"/>
      <c r="L4583" s="128">
        <v>4.02E-2</v>
      </c>
      <c r="O4583" s="2"/>
    </row>
    <row r="4584" spans="2:15" x14ac:dyDescent="0.2">
      <c r="B4584" s="1">
        <f>B4583+1</f>
        <v>4569</v>
      </c>
      <c r="C4584" s="5">
        <f ca="1"/>
        <v>-1.0505912969155178</v>
      </c>
      <c r="D4584" s="5">
        <f ca="1">S0*EXP((μ-0.5*σ*σ)*T+σ*SQRT(T)*$C4584)</f>
        <v>0.59912383283566628</v>
      </c>
      <c r="E4584" s="5">
        <f ca="1">MAX(0,CP*(D4584-K))</f>
        <v>0</v>
      </c>
      <c r="F4584" s="4">
        <f ca="1">(CP*(D4584-K)&gt;0)*1</f>
        <v>0</v>
      </c>
      <c r="H4584" s="4">
        <v>4569</v>
      </c>
      <c r="I4584" s="3">
        <v>0.66775380653858107</v>
      </c>
      <c r="J4584" s="128">
        <v>1.3226844161606391E-3</v>
      </c>
      <c r="K4584" s="128"/>
      <c r="L4584" s="128">
        <v>4.3200000000000002E-2</v>
      </c>
      <c r="O4584" s="2"/>
    </row>
    <row r="4585" spans="2:15" x14ac:dyDescent="0.2">
      <c r="B4585" s="1">
        <f>B4584+1</f>
        <v>4570</v>
      </c>
      <c r="C4585" s="5">
        <f ca="1"/>
        <v>1.0340342603695247</v>
      </c>
      <c r="D4585" s="5">
        <f ca="1">S0*EXP((μ-0.5*σ*σ)*T+σ*SQRT(T)*$C4585)</f>
        <v>0.73582054805118935</v>
      </c>
      <c r="E4585" s="5">
        <f ca="1">MAX(0,CP*(D4585-K))</f>
        <v>0</v>
      </c>
      <c r="F4585" s="4">
        <f ca="1">(CP*(D4585-K)&gt;0)*1</f>
        <v>0</v>
      </c>
      <c r="H4585" s="4">
        <v>4570</v>
      </c>
      <c r="I4585" s="3">
        <v>0.66767534401371897</v>
      </c>
      <c r="J4585" s="128">
        <v>1.2113754105128455E-3</v>
      </c>
      <c r="K4585" s="128"/>
      <c r="L4585" s="128">
        <v>3.9600000000000003E-2</v>
      </c>
      <c r="O4585" s="2"/>
    </row>
    <row r="4586" spans="2:15" x14ac:dyDescent="0.2">
      <c r="B4586" s="1">
        <f>B4585+1</f>
        <v>4571</v>
      </c>
      <c r="C4586" s="5">
        <f ca="1"/>
        <v>-0.42837643129707004</v>
      </c>
      <c r="D4586" s="5">
        <f ca="1">S0*EXP((μ-0.5*σ*σ)*T+σ*SQRT(T)*$C4586)</f>
        <v>0.63702627235099218</v>
      </c>
      <c r="E4586" s="5">
        <f ca="1">MAX(0,CP*(D4586-K))</f>
        <v>0</v>
      </c>
      <c r="F4586" s="4">
        <f ca="1">(CP*(D4586-K)&gt;0)*1</f>
        <v>0</v>
      </c>
      <c r="H4586" s="4">
        <v>4571</v>
      </c>
      <c r="I4586" s="3">
        <v>0.66763292206461755</v>
      </c>
      <c r="J4586" s="128">
        <v>1.224184976602596E-3</v>
      </c>
      <c r="K4586" s="128"/>
      <c r="L4586" s="128">
        <v>4.1799999999999997E-2</v>
      </c>
      <c r="O4586" s="2"/>
    </row>
    <row r="4587" spans="2:15" x14ac:dyDescent="0.2">
      <c r="B4587" s="1">
        <f>B4586+1</f>
        <v>4572</v>
      </c>
      <c r="C4587" s="5">
        <f ca="1"/>
        <v>0.57448630297874936</v>
      </c>
      <c r="D4587" s="5">
        <f ca="1">S0*EXP((μ-0.5*σ*σ)*T+σ*SQRT(T)*$C4587)</f>
        <v>0.7032276023382299</v>
      </c>
      <c r="E4587" s="5">
        <f ca="1">MAX(0,CP*(D4587-K))</f>
        <v>0</v>
      </c>
      <c r="F4587" s="4">
        <f ca="1">(CP*(D4587-K)&gt;0)*1</f>
        <v>0</v>
      </c>
      <c r="H4587" s="4">
        <v>4572</v>
      </c>
      <c r="I4587" s="3">
        <v>0.66770867480705187</v>
      </c>
      <c r="J4587" s="128">
        <v>1.2577254863236958E-3</v>
      </c>
      <c r="K4587" s="128"/>
      <c r="L4587" s="128">
        <v>4.2000000000000003E-2</v>
      </c>
      <c r="O4587" s="2"/>
    </row>
    <row r="4588" spans="2:15" x14ac:dyDescent="0.2">
      <c r="B4588" s="1">
        <f>B4587+1</f>
        <v>4573</v>
      </c>
      <c r="C4588" s="5">
        <f ca="1"/>
        <v>0.36335760409912832</v>
      </c>
      <c r="D4588" s="5">
        <f ca="1">S0*EXP((μ-0.5*σ*σ)*T+σ*SQRT(T)*$C4588)</f>
        <v>0.68874145500223771</v>
      </c>
      <c r="E4588" s="5">
        <f ca="1">MAX(0,CP*(D4588-K))</f>
        <v>0</v>
      </c>
      <c r="F4588" s="4">
        <f ca="1">(CP*(D4588-K)&gt;0)*1</f>
        <v>0</v>
      </c>
      <c r="H4588" s="4">
        <v>4573</v>
      </c>
      <c r="I4588" s="3">
        <v>0.66762767746564899</v>
      </c>
      <c r="J4588" s="128">
        <v>1.2167490098907673E-3</v>
      </c>
      <c r="K4588" s="128"/>
      <c r="L4588" s="128">
        <v>3.8800000000000001E-2</v>
      </c>
      <c r="O4588" s="2"/>
    </row>
    <row r="4589" spans="2:15" x14ac:dyDescent="0.2">
      <c r="B4589" s="1">
        <f>B4588+1</f>
        <v>4574</v>
      </c>
      <c r="C4589" s="5">
        <f ca="1"/>
        <v>0.53902579070892864</v>
      </c>
      <c r="D4589" s="5">
        <f ca="1">S0*EXP((μ-0.5*σ*σ)*T+σ*SQRT(T)*$C4589)</f>
        <v>0.70077343756931698</v>
      </c>
      <c r="E4589" s="5">
        <f ca="1">MAX(0,CP*(D4589-K))</f>
        <v>0</v>
      </c>
      <c r="F4589" s="4">
        <f ca="1">(CP*(D4589-K)&gt;0)*1</f>
        <v>0</v>
      </c>
      <c r="H4589" s="4">
        <v>4574</v>
      </c>
      <c r="I4589" s="3">
        <v>0.66766425857601974</v>
      </c>
      <c r="J4589" s="128">
        <v>1.4055854193659287E-3</v>
      </c>
      <c r="K4589" s="128"/>
      <c r="L4589" s="128">
        <v>4.2599999999999999E-2</v>
      </c>
      <c r="O4589" s="2"/>
    </row>
    <row r="4590" spans="2:15" x14ac:dyDescent="0.2">
      <c r="B4590" s="1">
        <f>B4589+1</f>
        <v>4575</v>
      </c>
      <c r="C4590" s="5">
        <f ca="1"/>
        <v>-3.0218033784041223E-2</v>
      </c>
      <c r="D4590" s="5">
        <f ca="1">S0*EXP((μ-0.5*σ*σ)*T+σ*SQRT(T)*$C4590)</f>
        <v>0.66252899806622878</v>
      </c>
      <c r="E4590" s="5">
        <f ca="1">MAX(0,CP*(D4590-K))</f>
        <v>0</v>
      </c>
      <c r="F4590" s="4">
        <f ca="1">(CP*(D4590-K)&gt;0)*1</f>
        <v>0</v>
      </c>
      <c r="H4590" s="4">
        <v>4575</v>
      </c>
      <c r="I4590" s="3">
        <v>0.66783531577188082</v>
      </c>
      <c r="J4590" s="128">
        <v>1.360883175835525E-3</v>
      </c>
      <c r="K4590" s="128"/>
      <c r="L4590" s="128">
        <v>4.5999999999999999E-2</v>
      </c>
      <c r="O4590" s="2"/>
    </row>
    <row r="4591" spans="2:15" x14ac:dyDescent="0.2">
      <c r="B4591" s="1">
        <f>B4590+1</f>
        <v>4576</v>
      </c>
      <c r="C4591" s="5">
        <f ca="1"/>
        <v>0.56705030408018076</v>
      </c>
      <c r="D4591" s="5">
        <f ca="1">S0*EXP((μ-0.5*σ*σ)*T+σ*SQRT(T)*$C4591)</f>
        <v>0.70271225769506007</v>
      </c>
      <c r="E4591" s="5">
        <f ca="1">MAX(0,CP*(D4591-K))</f>
        <v>0</v>
      </c>
      <c r="F4591" s="4">
        <f ca="1">(CP*(D4591-K)&gt;0)*1</f>
        <v>0</v>
      </c>
      <c r="H4591" s="4">
        <v>4576</v>
      </c>
      <c r="I4591" s="3">
        <v>0.66773931964625888</v>
      </c>
      <c r="J4591" s="128">
        <v>1.4114135555688345E-3</v>
      </c>
      <c r="K4591" s="128"/>
      <c r="L4591" s="128">
        <v>4.2599999999999999E-2</v>
      </c>
      <c r="O4591" s="2"/>
    </row>
    <row r="4592" spans="2:15" x14ac:dyDescent="0.2">
      <c r="B4592" s="1">
        <f>B4591+1</f>
        <v>4577</v>
      </c>
      <c r="C4592" s="5">
        <f ca="1"/>
        <v>-0.16888160159897492</v>
      </c>
      <c r="D4592" s="5">
        <f ca="1">S0*EXP((μ-0.5*σ*σ)*T+σ*SQRT(T)*$C4592)</f>
        <v>0.6535335281598561</v>
      </c>
      <c r="E4592" s="5">
        <f ca="1">MAX(0,CP*(D4592-K))</f>
        <v>0</v>
      </c>
      <c r="F4592" s="4">
        <f ca="1">(CP*(D4592-K)&gt;0)*1</f>
        <v>0</v>
      </c>
      <c r="H4592" s="4">
        <v>4577</v>
      </c>
      <c r="I4592" s="3">
        <v>0.66787582890091368</v>
      </c>
      <c r="J4592" s="128">
        <v>1.4734466763364693E-3</v>
      </c>
      <c r="K4592" s="128"/>
      <c r="L4592" s="128">
        <v>4.5400000000000003E-2</v>
      </c>
      <c r="O4592" s="2"/>
    </row>
    <row r="4593" spans="2:15" x14ac:dyDescent="0.2">
      <c r="B4593" s="1">
        <f>B4592+1</f>
        <v>4578</v>
      </c>
      <c r="C4593" s="5">
        <f ca="1"/>
        <v>-0.16303147133746304</v>
      </c>
      <c r="D4593" s="5">
        <f ca="1">S0*EXP((μ-0.5*σ*σ)*T+σ*SQRT(T)*$C4593)</f>
        <v>0.65391056203830078</v>
      </c>
      <c r="E4593" s="5">
        <f ca="1">MAX(0,CP*(D4593-K))</f>
        <v>0</v>
      </c>
      <c r="F4593" s="4">
        <f ca="1">(CP*(D4593-K)&gt;0)*1</f>
        <v>0</v>
      </c>
      <c r="H4593" s="4">
        <v>4578</v>
      </c>
      <c r="I4593" s="3">
        <v>0.66772115780597907</v>
      </c>
      <c r="J4593" s="128">
        <v>1.3152653813657148E-3</v>
      </c>
      <c r="K4593" s="128"/>
      <c r="L4593" s="128">
        <v>4.3200000000000002E-2</v>
      </c>
      <c r="O4593" s="2"/>
    </row>
    <row r="4594" spans="2:15" x14ac:dyDescent="0.2">
      <c r="B4594" s="1">
        <f>B4593+1</f>
        <v>4579</v>
      </c>
      <c r="C4594" s="5">
        <f ca="1"/>
        <v>-0.15597729774197433</v>
      </c>
      <c r="D4594" s="5">
        <f ca="1">S0*EXP((μ-0.5*σ*σ)*T+σ*SQRT(T)*$C4594)</f>
        <v>0.65436548435297115</v>
      </c>
      <c r="E4594" s="5">
        <f ca="1">MAX(0,CP*(D4594-K))</f>
        <v>0</v>
      </c>
      <c r="F4594" s="4">
        <f ca="1">(CP*(D4594-K)&gt;0)*1</f>
        <v>0</v>
      </c>
      <c r="H4594" s="4">
        <v>4579</v>
      </c>
      <c r="I4594" s="3">
        <v>0.66770371326133637</v>
      </c>
      <c r="J4594" s="128">
        <v>1.4192999305584317E-3</v>
      </c>
      <c r="K4594" s="128"/>
      <c r="L4594" s="128">
        <v>3.9600000000000003E-2</v>
      </c>
      <c r="O4594" s="2"/>
    </row>
    <row r="4595" spans="2:15" x14ac:dyDescent="0.2">
      <c r="B4595" s="1">
        <f>B4594+1</f>
        <v>4580</v>
      </c>
      <c r="C4595" s="5">
        <f ca="1"/>
        <v>0.3894099422218682</v>
      </c>
      <c r="D4595" s="5">
        <f ca="1">S0*EXP((μ-0.5*σ*σ)*T+σ*SQRT(T)*$C4595)</f>
        <v>0.69051271574839324</v>
      </c>
      <c r="E4595" s="5">
        <f ca="1">MAX(0,CP*(D4595-K))</f>
        <v>0</v>
      </c>
      <c r="F4595" s="4">
        <f ca="1">(CP*(D4595-K)&gt;0)*1</f>
        <v>0</v>
      </c>
      <c r="H4595" s="4">
        <v>4580</v>
      </c>
      <c r="I4595" s="3">
        <v>0.6676072628652534</v>
      </c>
      <c r="J4595" s="128">
        <v>1.1529210466278809E-3</v>
      </c>
      <c r="K4595" s="128"/>
      <c r="L4595" s="128">
        <v>3.8399999999999997E-2</v>
      </c>
      <c r="O4595" s="2"/>
    </row>
    <row r="4596" spans="2:15" x14ac:dyDescent="0.2">
      <c r="B4596" s="1">
        <f>B4595+1</f>
        <v>4581</v>
      </c>
      <c r="C4596" s="5">
        <f ca="1"/>
        <v>-0.73991159406083873</v>
      </c>
      <c r="D4596" s="5">
        <f ca="1">S0*EXP((μ-0.5*σ*σ)*T+σ*SQRT(T)*$C4596)</f>
        <v>0.61775839546438882</v>
      </c>
      <c r="E4596" s="5">
        <f ca="1">MAX(0,CP*(D4596-K))</f>
        <v>0</v>
      </c>
      <c r="F4596" s="4">
        <f ca="1">(CP*(D4596-K)&gt;0)*1</f>
        <v>0</v>
      </c>
      <c r="H4596" s="4">
        <v>4581</v>
      </c>
      <c r="I4596" s="3">
        <v>0.66775104453582979</v>
      </c>
      <c r="J4596" s="128">
        <v>1.3750602141176464E-3</v>
      </c>
      <c r="K4596" s="128"/>
      <c r="L4596" s="128">
        <v>4.3999999999999997E-2</v>
      </c>
      <c r="O4596" s="2"/>
    </row>
    <row r="4597" spans="2:15" x14ac:dyDescent="0.2">
      <c r="B4597" s="1">
        <f>B4596+1</f>
        <v>4582</v>
      </c>
      <c r="C4597" s="5">
        <f ca="1"/>
        <v>-0.68189722769125294</v>
      </c>
      <c r="D4597" s="5">
        <f ca="1">S0*EXP((μ-0.5*σ*σ)*T+σ*SQRT(T)*$C4597)</f>
        <v>0.62130178169673855</v>
      </c>
      <c r="E4597" s="5">
        <f ca="1">MAX(0,CP*(D4597-K))</f>
        <v>0</v>
      </c>
      <c r="F4597" s="4">
        <f ca="1">(CP*(D4597-K)&gt;0)*1</f>
        <v>0</v>
      </c>
      <c r="H4597" s="4">
        <v>4582</v>
      </c>
      <c r="I4597" s="3">
        <v>0.66772678223018322</v>
      </c>
      <c r="J4597" s="128">
        <v>1.2657228411605617E-3</v>
      </c>
      <c r="K4597" s="128"/>
      <c r="L4597" s="128">
        <v>4.02E-2</v>
      </c>
      <c r="O4597" s="2"/>
    </row>
    <row r="4598" spans="2:15" x14ac:dyDescent="0.2">
      <c r="B4598" s="1">
        <f>B4597+1</f>
        <v>4583</v>
      </c>
      <c r="C4598" s="5">
        <f ca="1"/>
        <v>-0.13125426144577548</v>
      </c>
      <c r="D4598" s="5">
        <f ca="1">S0*EXP((μ-0.5*σ*σ)*T+σ*SQRT(T)*$C4598)</f>
        <v>0.65596236805640451</v>
      </c>
      <c r="E4598" s="5">
        <f ca="1">MAX(0,CP*(D4598-K))</f>
        <v>0</v>
      </c>
      <c r="F4598" s="4">
        <f ca="1">(CP*(D4598-K)&gt;0)*1</f>
        <v>0</v>
      </c>
      <c r="H4598" s="4">
        <v>4583</v>
      </c>
      <c r="I4598" s="3">
        <v>0.66769436999634091</v>
      </c>
      <c r="J4598" s="128">
        <v>1.3552772877822288E-3</v>
      </c>
      <c r="K4598" s="128"/>
      <c r="L4598" s="128">
        <v>4.02E-2</v>
      </c>
      <c r="O4598" s="2"/>
    </row>
    <row r="4599" spans="2:15" x14ac:dyDescent="0.2">
      <c r="B4599" s="1">
        <f>B4598+1</f>
        <v>4584</v>
      </c>
      <c r="C4599" s="5">
        <f ca="1"/>
        <v>1.644852055427696</v>
      </c>
      <c r="D4599" s="5">
        <f ca="1">S0*EXP((μ-0.5*σ*σ)*T+σ*SQRT(T)*$C4599)</f>
        <v>0.78149226275409311</v>
      </c>
      <c r="E4599" s="5">
        <f ca="1">MAX(0,CP*(D4599-K))</f>
        <v>0</v>
      </c>
      <c r="F4599" s="4">
        <f ca="1">(CP*(D4599-K)&gt;0)*1</f>
        <v>0</v>
      </c>
      <c r="H4599" s="4">
        <v>4584</v>
      </c>
      <c r="I4599" s="3">
        <v>0.66791740512641007</v>
      </c>
      <c r="J4599" s="128">
        <v>1.5836257945406303E-3</v>
      </c>
      <c r="K4599" s="128"/>
      <c r="L4599" s="128">
        <v>4.2599999999999999E-2</v>
      </c>
      <c r="O4599" s="2"/>
    </row>
    <row r="4600" spans="2:15" x14ac:dyDescent="0.2">
      <c r="B4600" s="1">
        <f>B4599+1</f>
        <v>4585</v>
      </c>
      <c r="C4600" s="5">
        <f ca="1"/>
        <v>-2.2255166263811983</v>
      </c>
      <c r="D4600" s="5">
        <f ca="1">S0*EXP((μ-0.5*σ*σ)*T+σ*SQRT(T)*$C4600)</f>
        <v>0.53359407674881798</v>
      </c>
      <c r="E4600" s="5">
        <f ca="1">MAX(0,CP*(D4600-K))</f>
        <v>0</v>
      </c>
      <c r="F4600" s="4">
        <f ca="1">(CP*(D4600-K)&gt;0)*1</f>
        <v>0</v>
      </c>
      <c r="H4600" s="4">
        <v>4585</v>
      </c>
      <c r="I4600" s="3">
        <v>0.66758884210278158</v>
      </c>
      <c r="J4600" s="128">
        <v>1.255425772264893E-3</v>
      </c>
      <c r="K4600" s="128"/>
      <c r="L4600" s="128">
        <v>3.7999999999999999E-2</v>
      </c>
      <c r="O4600" s="2"/>
    </row>
    <row r="4601" spans="2:15" x14ac:dyDescent="0.2">
      <c r="B4601" s="1">
        <f>B4600+1</f>
        <v>4586</v>
      </c>
      <c r="C4601" s="5">
        <f ca="1"/>
        <v>-1.5227845111059821</v>
      </c>
      <c r="D4601" s="5">
        <f ca="1">S0*EXP((μ-0.5*σ*σ)*T+σ*SQRT(T)*$C4601)</f>
        <v>0.57187244893788292</v>
      </c>
      <c r="E4601" s="5">
        <f ca="1">MAX(0,CP*(D4601-K))</f>
        <v>0</v>
      </c>
      <c r="F4601" s="4">
        <f ca="1">(CP*(D4601-K)&gt;0)*1</f>
        <v>0</v>
      </c>
      <c r="H4601" s="4">
        <v>4586</v>
      </c>
      <c r="I4601" s="3">
        <v>0.66755538537460202</v>
      </c>
      <c r="J4601" s="128">
        <v>1.1600246002075056E-3</v>
      </c>
      <c r="K4601" s="128"/>
      <c r="L4601" s="128">
        <v>3.5000000000000003E-2</v>
      </c>
      <c r="O4601" s="2"/>
    </row>
    <row r="4602" spans="2:15" x14ac:dyDescent="0.2">
      <c r="B4602" s="1">
        <f>B4601+1</f>
        <v>4587</v>
      </c>
      <c r="C4602" s="5">
        <f ca="1"/>
        <v>7.9131103222611826E-2</v>
      </c>
      <c r="D4602" s="5">
        <f ca="1">S0*EXP((μ-0.5*σ*σ)*T+σ*SQRT(T)*$C4602)</f>
        <v>0.66970999962555211</v>
      </c>
      <c r="E4602" s="5">
        <f ca="1">MAX(0,CP*(D4602-K))</f>
        <v>0</v>
      </c>
      <c r="F4602" s="4">
        <f ca="1">(CP*(D4602-K)&gt;0)*1</f>
        <v>0</v>
      </c>
      <c r="H4602" s="4">
        <v>4587</v>
      </c>
      <c r="I4602" s="3">
        <v>0.66777760174421763</v>
      </c>
      <c r="J4602" s="128">
        <v>1.4750144338951171E-3</v>
      </c>
      <c r="K4602" s="128"/>
      <c r="L4602" s="128">
        <v>4.4200000000000003E-2</v>
      </c>
      <c r="O4602" s="2"/>
    </row>
    <row r="4603" spans="2:15" x14ac:dyDescent="0.2">
      <c r="B4603" s="1">
        <f>B4602+1</f>
        <v>4588</v>
      </c>
      <c r="C4603" s="5">
        <f ca="1"/>
        <v>0.36324846595995863</v>
      </c>
      <c r="D4603" s="5">
        <f ca="1">S0*EXP((μ-0.5*σ*σ)*T+σ*SQRT(T)*$C4603)</f>
        <v>0.68873404442304742</v>
      </c>
      <c r="E4603" s="5">
        <f ca="1">MAX(0,CP*(D4603-K))</f>
        <v>0</v>
      </c>
      <c r="F4603" s="4">
        <f ca="1">(CP*(D4603-K)&gt;0)*1</f>
        <v>0</v>
      </c>
      <c r="H4603" s="4">
        <v>4588</v>
      </c>
      <c r="I4603" s="3">
        <v>0.66767634074706794</v>
      </c>
      <c r="J4603" s="128">
        <v>1.3131597577809876E-3</v>
      </c>
      <c r="K4603" s="128"/>
      <c r="L4603" s="128">
        <v>4.0399999999999998E-2</v>
      </c>
      <c r="O4603" s="2"/>
    </row>
    <row r="4604" spans="2:15" x14ac:dyDescent="0.2">
      <c r="B4604" s="1">
        <f>B4603+1</f>
        <v>4589</v>
      </c>
      <c r="C4604" s="5">
        <f ca="1"/>
        <v>-0.89452120523348644</v>
      </c>
      <c r="D4604" s="5">
        <f ca="1">S0*EXP((μ-0.5*σ*σ)*T+σ*SQRT(T)*$C4604)</f>
        <v>0.60841357016006792</v>
      </c>
      <c r="E4604" s="5">
        <f ca="1">MAX(0,CP*(D4604-K))</f>
        <v>0</v>
      </c>
      <c r="F4604" s="4">
        <f ca="1">(CP*(D4604-K)&gt;0)*1</f>
        <v>0</v>
      </c>
      <c r="H4604" s="4">
        <v>4589</v>
      </c>
      <c r="I4604" s="3">
        <v>0.66774003563877671</v>
      </c>
      <c r="J4604" s="128">
        <v>1.2688325236024731E-3</v>
      </c>
      <c r="K4604" s="128"/>
      <c r="L4604" s="128">
        <v>3.9600000000000003E-2</v>
      </c>
      <c r="O4604" s="2"/>
    </row>
    <row r="4605" spans="2:15" x14ac:dyDescent="0.2">
      <c r="B4605" s="1">
        <f>B4604+1</f>
        <v>4590</v>
      </c>
      <c r="C4605" s="5">
        <f ca="1"/>
        <v>0.54068979479674972</v>
      </c>
      <c r="D4605" s="5">
        <f ca="1">S0*EXP((μ-0.5*σ*σ)*T+σ*SQRT(T)*$C4605)</f>
        <v>0.7008884088488343</v>
      </c>
      <c r="E4605" s="5">
        <f ca="1">MAX(0,CP*(D4605-K))</f>
        <v>0</v>
      </c>
      <c r="F4605" s="4">
        <f ca="1">(CP*(D4605-K)&gt;0)*1</f>
        <v>0</v>
      </c>
      <c r="H4605" s="4">
        <v>4590</v>
      </c>
      <c r="I4605" s="3">
        <v>0.66764491888131183</v>
      </c>
      <c r="J4605" s="128">
        <v>1.1982239291226512E-3</v>
      </c>
      <c r="K4605" s="128"/>
      <c r="L4605" s="128">
        <v>3.4799999999999998E-2</v>
      </c>
      <c r="O4605" s="2"/>
    </row>
    <row r="4606" spans="2:15" x14ac:dyDescent="0.2">
      <c r="B4606" s="1">
        <f>B4605+1</f>
        <v>4591</v>
      </c>
      <c r="C4606" s="5">
        <f ca="1"/>
        <v>1.6980191937352516</v>
      </c>
      <c r="D4606" s="5">
        <f ca="1">S0*EXP((μ-0.5*σ*σ)*T+σ*SQRT(T)*$C4606)</f>
        <v>0.78559929759918812</v>
      </c>
      <c r="E4606" s="5">
        <f ca="1">MAX(0,CP*(D4606-K))</f>
        <v>0</v>
      </c>
      <c r="F4606" s="4">
        <f ca="1">(CP*(D4606-K)&gt;0)*1</f>
        <v>0</v>
      </c>
      <c r="H4606" s="4">
        <v>4591</v>
      </c>
      <c r="I4606" s="3">
        <v>0.66778755230855025</v>
      </c>
      <c r="J4606" s="128">
        <v>1.4027203719759469E-3</v>
      </c>
      <c r="K4606" s="128"/>
      <c r="L4606" s="128">
        <v>4.2000000000000003E-2</v>
      </c>
      <c r="O4606" s="2"/>
    </row>
    <row r="4607" spans="2:15" x14ac:dyDescent="0.2">
      <c r="B4607" s="1">
        <f>B4606+1</f>
        <v>4592</v>
      </c>
      <c r="C4607" s="5">
        <f ca="1"/>
        <v>0.56551201752841929</v>
      </c>
      <c r="D4607" s="5">
        <f ca="1">S0*EXP((μ-0.5*σ*σ)*T+σ*SQRT(T)*$C4607)</f>
        <v>0.70260569540089046</v>
      </c>
      <c r="E4607" s="5">
        <f ca="1">MAX(0,CP*(D4607-K))</f>
        <v>0</v>
      </c>
      <c r="F4607" s="4">
        <f ca="1">(CP*(D4607-K)&gt;0)*1</f>
        <v>0</v>
      </c>
      <c r="H4607" s="4">
        <v>4592</v>
      </c>
      <c r="I4607" s="3">
        <v>0.66770555387680874</v>
      </c>
      <c r="J4607" s="128">
        <v>1.3703481782036855E-3</v>
      </c>
      <c r="K4607" s="128"/>
      <c r="L4607" s="128">
        <v>4.0800000000000003E-2</v>
      </c>
      <c r="O4607" s="2"/>
    </row>
    <row r="4608" spans="2:15" x14ac:dyDescent="0.2">
      <c r="B4608" s="1">
        <f>B4607+1</f>
        <v>4593</v>
      </c>
      <c r="C4608" s="5">
        <f ca="1"/>
        <v>1.3214802930231595</v>
      </c>
      <c r="D4608" s="5">
        <f ca="1">S0*EXP((μ-0.5*σ*σ)*T+σ*SQRT(T)*$C4608)</f>
        <v>0.75697092572255664</v>
      </c>
      <c r="E4608" s="5">
        <f ca="1">MAX(0,CP*(D4608-K))</f>
        <v>0</v>
      </c>
      <c r="F4608" s="4">
        <f ca="1">(CP*(D4608-K)&gt;0)*1</f>
        <v>0</v>
      </c>
      <c r="H4608" s="4">
        <v>4593</v>
      </c>
      <c r="I4608" s="3">
        <v>0.66766076369296667</v>
      </c>
      <c r="J4608" s="128">
        <v>1.3349069377718255E-3</v>
      </c>
      <c r="K4608" s="128"/>
      <c r="L4608" s="128">
        <v>3.8199999999999998E-2</v>
      </c>
      <c r="O4608" s="2"/>
    </row>
    <row r="4609" spans="2:15" x14ac:dyDescent="0.2">
      <c r="B4609" s="1">
        <f>B4608+1</f>
        <v>4594</v>
      </c>
      <c r="C4609" s="5">
        <f ca="1"/>
        <v>0.70533726855556456</v>
      </c>
      <c r="D4609" s="5">
        <f ca="1">S0*EXP((μ-0.5*σ*σ)*T+σ*SQRT(T)*$C4609)</f>
        <v>0.71235819208556173</v>
      </c>
      <c r="E4609" s="5">
        <f ca="1">MAX(0,CP*(D4609-K))</f>
        <v>0</v>
      </c>
      <c r="F4609" s="4">
        <f ca="1">(CP*(D4609-K)&gt;0)*1</f>
        <v>0</v>
      </c>
      <c r="H4609" s="4">
        <v>4594</v>
      </c>
      <c r="I4609" s="3">
        <v>0.66784313146811547</v>
      </c>
      <c r="J4609" s="128">
        <v>1.495720723409741E-3</v>
      </c>
      <c r="K4609" s="128"/>
      <c r="L4609" s="128">
        <v>4.7600000000000003E-2</v>
      </c>
      <c r="O4609" s="2"/>
    </row>
    <row r="4610" spans="2:15" x14ac:dyDescent="0.2">
      <c r="B4610" s="1">
        <f>B4609+1</f>
        <v>4595</v>
      </c>
      <c r="C4610" s="5">
        <f ca="1"/>
        <v>1.5199861702283872</v>
      </c>
      <c r="D4610" s="5">
        <f ca="1">S0*EXP((μ-0.5*σ*σ)*T+σ*SQRT(T)*$C4610)</f>
        <v>0.77193089952156946</v>
      </c>
      <c r="E4610" s="5">
        <f ca="1">MAX(0,CP*(D4610-K))</f>
        <v>0</v>
      </c>
      <c r="F4610" s="4">
        <f ca="1">(CP*(D4610-K)&gt;0)*1</f>
        <v>0</v>
      </c>
      <c r="H4610" s="4">
        <v>4595</v>
      </c>
      <c r="I4610" s="3">
        <v>0.66772088342591418</v>
      </c>
      <c r="J4610" s="128">
        <v>1.3422656367307112E-3</v>
      </c>
      <c r="K4610" s="128"/>
      <c r="L4610" s="128">
        <v>4.58E-2</v>
      </c>
      <c r="O4610" s="2"/>
    </row>
    <row r="4611" spans="2:15" x14ac:dyDescent="0.2">
      <c r="B4611" s="1">
        <f>B4610+1</f>
        <v>4596</v>
      </c>
      <c r="C4611" s="5">
        <f ca="1"/>
        <v>-0.46332113091919036</v>
      </c>
      <c r="D4611" s="5">
        <f ca="1">S0*EXP((μ-0.5*σ*σ)*T+σ*SQRT(T)*$C4611)</f>
        <v>0.63483542310243568</v>
      </c>
      <c r="E4611" s="5">
        <f ca="1">MAX(0,CP*(D4611-K))</f>
        <v>0</v>
      </c>
      <c r="F4611" s="4">
        <f ca="1">(CP*(D4611-K)&gt;0)*1</f>
        <v>0</v>
      </c>
      <c r="H4611" s="4">
        <v>4596</v>
      </c>
      <c r="I4611" s="3">
        <v>0.66781573608657896</v>
      </c>
      <c r="J4611" s="128">
        <v>1.3794413754288815E-3</v>
      </c>
      <c r="K4611" s="128"/>
      <c r="L4611" s="128">
        <v>4.1799999999999997E-2</v>
      </c>
      <c r="O4611" s="2"/>
    </row>
    <row r="4612" spans="2:15" x14ac:dyDescent="0.2">
      <c r="B4612" s="1">
        <f>B4611+1</f>
        <v>4597</v>
      </c>
      <c r="C4612" s="5">
        <f ca="1"/>
        <v>1.2108082703033052</v>
      </c>
      <c r="D4612" s="5">
        <f ca="1">S0*EXP((μ-0.5*σ*σ)*T+σ*SQRT(T)*$C4612)</f>
        <v>0.74875660500985797</v>
      </c>
      <c r="E4612" s="5">
        <f ca="1">MAX(0,CP*(D4612-K))</f>
        <v>0</v>
      </c>
      <c r="F4612" s="4">
        <f ca="1">(CP*(D4612-K)&gt;0)*1</f>
        <v>0</v>
      </c>
      <c r="H4612" s="4">
        <v>4597</v>
      </c>
      <c r="I4612" s="3">
        <v>0.6676678790033862</v>
      </c>
      <c r="J4612" s="128">
        <v>1.1727315031018766E-3</v>
      </c>
      <c r="K4612" s="128"/>
      <c r="L4612" s="128">
        <v>3.9E-2</v>
      </c>
      <c r="O4612" s="2"/>
    </row>
    <row r="4613" spans="2:15" x14ac:dyDescent="0.2">
      <c r="B4613" s="1">
        <f>B4612+1</f>
        <v>4598</v>
      </c>
      <c r="C4613" s="5">
        <f ca="1"/>
        <v>-0.80651939856497257</v>
      </c>
      <c r="D4613" s="5">
        <f ca="1">S0*EXP((μ-0.5*σ*σ)*T+σ*SQRT(T)*$C4613)</f>
        <v>0.61371505477447152</v>
      </c>
      <c r="E4613" s="5">
        <f ca="1">MAX(0,CP*(D4613-K))</f>
        <v>0</v>
      </c>
      <c r="F4613" s="4">
        <f ca="1">(CP*(D4613-K)&gt;0)*1</f>
        <v>0</v>
      </c>
      <c r="H4613" s="4">
        <v>4598</v>
      </c>
      <c r="I4613" s="3">
        <v>0.66766183209846319</v>
      </c>
      <c r="J4613" s="128">
        <v>1.2936147388234297E-3</v>
      </c>
      <c r="K4613" s="128"/>
      <c r="L4613" s="128">
        <v>3.9E-2</v>
      </c>
      <c r="O4613" s="2"/>
    </row>
    <row r="4614" spans="2:15" x14ac:dyDescent="0.2">
      <c r="B4614" s="1">
        <f>B4613+1</f>
        <v>4599</v>
      </c>
      <c r="C4614" s="5">
        <f ca="1"/>
        <v>-0.27317276502460019</v>
      </c>
      <c r="D4614" s="5">
        <f ca="1">S0*EXP((μ-0.5*σ*σ)*T+σ*SQRT(T)*$C4614)</f>
        <v>0.64684845208300001</v>
      </c>
      <c r="E4614" s="5">
        <f ca="1">MAX(0,CP*(D4614-K))</f>
        <v>0</v>
      </c>
      <c r="F4614" s="4">
        <f ca="1">(CP*(D4614-K)&gt;0)*1</f>
        <v>0</v>
      </c>
      <c r="H4614" s="4">
        <v>4599</v>
      </c>
      <c r="I4614" s="3">
        <v>0.66778688140076081</v>
      </c>
      <c r="J4614" s="128">
        <v>1.3038709036869926E-3</v>
      </c>
      <c r="K4614" s="128"/>
      <c r="L4614" s="128">
        <v>4.36E-2</v>
      </c>
      <c r="O4614" s="2"/>
    </row>
    <row r="4615" spans="2:15" x14ac:dyDescent="0.2">
      <c r="B4615" s="1">
        <f>B4614+1</f>
        <v>4600</v>
      </c>
      <c r="C4615" s="5">
        <f ca="1"/>
        <v>1.0640556327448669</v>
      </c>
      <c r="D4615" s="5">
        <f ca="1">S0*EXP((μ-0.5*σ*σ)*T+σ*SQRT(T)*$C4615)</f>
        <v>0.73800160512031054</v>
      </c>
      <c r="E4615" s="5">
        <f ca="1">MAX(0,CP*(D4615-K))</f>
        <v>0</v>
      </c>
      <c r="F4615" s="4">
        <f ca="1">(CP*(D4615-K)&gt;0)*1</f>
        <v>0</v>
      </c>
      <c r="H4615" s="4">
        <v>4600</v>
      </c>
      <c r="I4615" s="3">
        <v>0.66776494028228728</v>
      </c>
      <c r="J4615" s="128">
        <v>1.4536328494153079E-3</v>
      </c>
      <c r="K4615" s="128"/>
      <c r="L4615" s="128">
        <v>4.36E-2</v>
      </c>
      <c r="O4615" s="2"/>
    </row>
    <row r="4616" spans="2:15" x14ac:dyDescent="0.2">
      <c r="B4616" s="1">
        <f>B4615+1</f>
        <v>4601</v>
      </c>
      <c r="C4616" s="5">
        <f ca="1"/>
        <v>2.123685094700086</v>
      </c>
      <c r="D4616" s="5">
        <f ca="1">S0*EXP((μ-0.5*σ*σ)*T+σ*SQRT(T)*$C4616)</f>
        <v>0.81926876062868736</v>
      </c>
      <c r="E4616" s="5">
        <f ca="1">MAX(0,CP*(D4616-K))</f>
        <v>3.1068760628687353E-2</v>
      </c>
      <c r="F4616" s="4">
        <f ca="1">(CP*(D4616-K)&gt;0)*1</f>
        <v>1</v>
      </c>
      <c r="H4616" s="4">
        <v>4601</v>
      </c>
      <c r="I4616" s="3">
        <v>0.66796893549416358</v>
      </c>
      <c r="J4616" s="128">
        <v>1.6387821556089837E-3</v>
      </c>
      <c r="K4616" s="128"/>
      <c r="L4616" s="128">
        <v>4.58E-2</v>
      </c>
      <c r="O4616" s="2"/>
    </row>
    <row r="4617" spans="2:15" x14ac:dyDescent="0.2">
      <c r="B4617" s="1">
        <f>B4616+1</f>
        <v>4602</v>
      </c>
      <c r="C4617" s="5">
        <f ca="1"/>
        <v>-0.72298858165244329</v>
      </c>
      <c r="D4617" s="5">
        <f ca="1">S0*EXP((μ-0.5*σ*σ)*T+σ*SQRT(T)*$C4617)</f>
        <v>0.61878992196047067</v>
      </c>
      <c r="E4617" s="5">
        <f ca="1">MAX(0,CP*(D4617-K))</f>
        <v>0</v>
      </c>
      <c r="F4617" s="4">
        <f ca="1">(CP*(D4617-K)&gt;0)*1</f>
        <v>0</v>
      </c>
      <c r="H4617" s="4">
        <v>4602</v>
      </c>
      <c r="I4617" s="3">
        <v>0.66772530719078071</v>
      </c>
      <c r="J4617" s="128">
        <v>1.3206792780752728E-3</v>
      </c>
      <c r="K4617" s="128"/>
      <c r="L4617" s="128">
        <v>4.02E-2</v>
      </c>
      <c r="O4617" s="2"/>
    </row>
    <row r="4618" spans="2:15" x14ac:dyDescent="0.2">
      <c r="B4618" s="1">
        <f>B4617+1</f>
        <v>4603</v>
      </c>
      <c r="C4618" s="5">
        <f ca="1"/>
        <v>1.7117101621549455</v>
      </c>
      <c r="D4618" s="5">
        <f ca="1">S0*EXP((μ-0.5*σ*σ)*T+σ*SQRT(T)*$C4618)</f>
        <v>0.78666038242745673</v>
      </c>
      <c r="E4618" s="5">
        <f ca="1">MAX(0,CP*(D4618-K))</f>
        <v>0</v>
      </c>
      <c r="F4618" s="4">
        <f ca="1">(CP*(D4618-K)&gt;0)*1</f>
        <v>0</v>
      </c>
      <c r="H4618" s="4">
        <v>4603</v>
      </c>
      <c r="I4618" s="3">
        <v>0.66764968211297815</v>
      </c>
      <c r="J4618" s="128">
        <v>1.1560218827556276E-3</v>
      </c>
      <c r="K4618" s="128"/>
      <c r="L4618" s="128">
        <v>4.0599999999999997E-2</v>
      </c>
      <c r="O4618" s="2"/>
    </row>
    <row r="4619" spans="2:15" x14ac:dyDescent="0.2">
      <c r="B4619" s="1">
        <f>B4618+1</f>
        <v>4604</v>
      </c>
      <c r="C4619" s="5">
        <f ca="1"/>
        <v>1.3392683754827186</v>
      </c>
      <c r="D4619" s="5">
        <f ca="1">S0*EXP((μ-0.5*σ*σ)*T+σ*SQRT(T)*$C4619)</f>
        <v>0.75829957671593906</v>
      </c>
      <c r="E4619" s="5">
        <f ca="1">MAX(0,CP*(D4619-K))</f>
        <v>0</v>
      </c>
      <c r="F4619" s="4">
        <f ca="1">(CP*(D4619-K)&gt;0)*1</f>
        <v>0</v>
      </c>
      <c r="H4619" s="4">
        <v>4604</v>
      </c>
      <c r="I4619" s="3">
        <v>0.6677993506288592</v>
      </c>
      <c r="J4619" s="128">
        <v>1.4402805780747584E-3</v>
      </c>
      <c r="K4619" s="128"/>
      <c r="L4619" s="128">
        <v>4.5199999999999997E-2</v>
      </c>
      <c r="O4619" s="2"/>
    </row>
    <row r="4620" spans="2:15" x14ac:dyDescent="0.2">
      <c r="B4620" s="1">
        <f>B4619+1</f>
        <v>4605</v>
      </c>
      <c r="C4620" s="5">
        <f ca="1"/>
        <v>0.14709588793378855</v>
      </c>
      <c r="D4620" s="5">
        <f ca="1">S0*EXP((μ-0.5*σ*σ)*T+σ*SQRT(T)*$C4620)</f>
        <v>0.67421244292138038</v>
      </c>
      <c r="E4620" s="5">
        <f ca="1">MAX(0,CP*(D4620-K))</f>
        <v>0</v>
      </c>
      <c r="F4620" s="4">
        <f ca="1">(CP*(D4620-K)&gt;0)*1</f>
        <v>0</v>
      </c>
      <c r="H4620" s="4">
        <v>4605</v>
      </c>
      <c r="I4620" s="3">
        <v>0.66786910623410511</v>
      </c>
      <c r="J4620" s="128">
        <v>1.3585329124509245E-3</v>
      </c>
      <c r="K4620" s="128"/>
      <c r="L4620" s="128">
        <v>4.6199999999999998E-2</v>
      </c>
      <c r="O4620" s="2"/>
    </row>
    <row r="4621" spans="2:15" x14ac:dyDescent="0.2">
      <c r="B4621" s="1">
        <f>B4620+1</f>
        <v>4606</v>
      </c>
      <c r="C4621" s="5">
        <f ca="1"/>
        <v>7.3805398561038335E-2</v>
      </c>
      <c r="D4621" s="5">
        <f ca="1">S0*EXP((μ-0.5*σ*σ)*T+σ*SQRT(T)*$C4621)</f>
        <v>0.66935846219402717</v>
      </c>
      <c r="E4621" s="5">
        <f ca="1">MAX(0,CP*(D4621-K))</f>
        <v>0</v>
      </c>
      <c r="F4621" s="4">
        <f ca="1">(CP*(D4621-K)&gt;0)*1</f>
        <v>0</v>
      </c>
      <c r="H4621" s="4">
        <v>4606</v>
      </c>
      <c r="I4621" s="3">
        <v>0.66779028136600582</v>
      </c>
      <c r="J4621" s="128">
        <v>1.3756434512885785E-3</v>
      </c>
      <c r="K4621" s="128"/>
      <c r="L4621" s="128">
        <v>4.3400000000000001E-2</v>
      </c>
      <c r="O4621" s="2"/>
    </row>
    <row r="4622" spans="2:15" x14ac:dyDescent="0.2">
      <c r="B4622" s="1">
        <f>B4621+1</f>
        <v>4607</v>
      </c>
      <c r="C4622" s="5">
        <f ca="1"/>
        <v>0.63367375210108112</v>
      </c>
      <c r="D4622" s="5">
        <f ca="1">S0*EXP((μ-0.5*σ*σ)*T+σ*SQRT(T)*$C4622)</f>
        <v>0.70734302981950981</v>
      </c>
      <c r="E4622" s="5">
        <f ca="1">MAX(0,CP*(D4622-K))</f>
        <v>0</v>
      </c>
      <c r="F4622" s="4">
        <f ca="1">(CP*(D4622-K)&gt;0)*1</f>
        <v>0</v>
      </c>
      <c r="H4622" s="4">
        <v>4607</v>
      </c>
      <c r="I4622" s="3">
        <v>0.66778045261986219</v>
      </c>
      <c r="J4622" s="128">
        <v>1.4154092903562784E-3</v>
      </c>
      <c r="K4622" s="128"/>
      <c r="L4622" s="128">
        <v>4.2000000000000003E-2</v>
      </c>
      <c r="O4622" s="2"/>
    </row>
    <row r="4623" spans="2:15" x14ac:dyDescent="0.2">
      <c r="B4623" s="1">
        <f>B4622+1</f>
        <v>4608</v>
      </c>
      <c r="C4623" s="5">
        <f ca="1"/>
        <v>-0.4707550373886108</v>
      </c>
      <c r="D4623" s="5">
        <f ca="1">S0*EXP((μ-0.5*σ*σ)*T+σ*SQRT(T)*$C4623)</f>
        <v>0.6343703290029401</v>
      </c>
      <c r="E4623" s="5">
        <f ca="1">MAX(0,CP*(D4623-K))</f>
        <v>0</v>
      </c>
      <c r="F4623" s="4">
        <f ca="1">(CP*(D4623-K)&gt;0)*1</f>
        <v>0</v>
      </c>
      <c r="H4623" s="4">
        <v>4608</v>
      </c>
      <c r="I4623" s="3">
        <v>0.66766820932559934</v>
      </c>
      <c r="J4623" s="128">
        <v>1.248741474148422E-3</v>
      </c>
      <c r="K4623" s="128"/>
      <c r="L4623" s="128">
        <v>0.04</v>
      </c>
      <c r="O4623" s="2"/>
    </row>
    <row r="4624" spans="2:15" x14ac:dyDescent="0.2">
      <c r="B4624" s="1">
        <f>B4623+1</f>
        <v>4609</v>
      </c>
      <c r="C4624" s="5">
        <f ca="1"/>
        <v>-0.32536501549179636</v>
      </c>
      <c r="D4624" s="5">
        <f ca="1">S0*EXP((μ-0.5*σ*σ)*T+σ*SQRT(T)*$C4624)</f>
        <v>0.64352864050796732</v>
      </c>
      <c r="E4624" s="5">
        <f ca="1">MAX(0,CP*(D4624-K))</f>
        <v>0</v>
      </c>
      <c r="F4624" s="4">
        <f ca="1">(CP*(D4624-K)&gt;0)*1</f>
        <v>0</v>
      </c>
      <c r="H4624" s="4">
        <v>4609</v>
      </c>
      <c r="I4624" s="3">
        <v>0.66794681183202498</v>
      </c>
      <c r="J4624" s="128">
        <v>1.645180015867005E-3</v>
      </c>
      <c r="K4624" s="128"/>
      <c r="L4624" s="128">
        <v>4.8800000000000003E-2</v>
      </c>
      <c r="O4624" s="2"/>
    </row>
    <row r="4625" spans="2:15" x14ac:dyDescent="0.2">
      <c r="B4625" s="1">
        <f>B4624+1</f>
        <v>4610</v>
      </c>
      <c r="C4625" s="5">
        <f ca="1"/>
        <v>0.21237574981812246</v>
      </c>
      <c r="D4625" s="5">
        <f ca="1">S0*EXP((μ-0.5*σ*σ)*T+σ*SQRT(T)*$C4625)</f>
        <v>0.67856551613362392</v>
      </c>
      <c r="E4625" s="5">
        <f ca="1">MAX(0,CP*(D4625-K))</f>
        <v>0</v>
      </c>
      <c r="F4625" s="4">
        <f ca="1">(CP*(D4625-K)&gt;0)*1</f>
        <v>0</v>
      </c>
      <c r="H4625" s="4">
        <v>4610</v>
      </c>
      <c r="I4625" s="3">
        <v>0.66777036602114936</v>
      </c>
      <c r="J4625" s="128">
        <v>1.3118776350472161E-3</v>
      </c>
      <c r="K4625" s="128"/>
      <c r="L4625" s="128">
        <v>4.2000000000000003E-2</v>
      </c>
      <c r="O4625" s="2"/>
    </row>
    <row r="4626" spans="2:15" x14ac:dyDescent="0.2">
      <c r="B4626" s="1">
        <f>B4625+1</f>
        <v>4611</v>
      </c>
      <c r="C4626" s="5">
        <f ca="1"/>
        <v>-1.2966395354261273</v>
      </c>
      <c r="D4626" s="5">
        <f ca="1">S0*EXP((μ-0.5*σ*σ)*T+σ*SQRT(T)*$C4626)</f>
        <v>0.58476557246780725</v>
      </c>
      <c r="E4626" s="5">
        <f ca="1">MAX(0,CP*(D4626-K))</f>
        <v>0</v>
      </c>
      <c r="F4626" s="4">
        <f ca="1">(CP*(D4626-K)&gt;0)*1</f>
        <v>0</v>
      </c>
      <c r="H4626" s="4">
        <v>4611</v>
      </c>
      <c r="I4626" s="3">
        <v>0.66789756010116463</v>
      </c>
      <c r="J4626" s="128">
        <v>1.5689127228713518E-3</v>
      </c>
      <c r="K4626" s="128"/>
      <c r="L4626" s="128">
        <v>4.5400000000000003E-2</v>
      </c>
      <c r="O4626" s="2"/>
    </row>
    <row r="4627" spans="2:15" x14ac:dyDescent="0.2">
      <c r="B4627" s="1">
        <f>B4626+1</f>
        <v>4612</v>
      </c>
      <c r="C4627" s="5">
        <f ca="1"/>
        <v>-1.7326824802508287</v>
      </c>
      <c r="D4627" s="5">
        <f ca="1">S0*EXP((μ-0.5*σ*σ)*T+σ*SQRT(T)*$C4627)</f>
        <v>0.56016011665762488</v>
      </c>
      <c r="E4627" s="5">
        <f ca="1">MAX(0,CP*(D4627-K))</f>
        <v>0</v>
      </c>
      <c r="F4627" s="4">
        <f ca="1">(CP*(D4627-K)&gt;0)*1</f>
        <v>0</v>
      </c>
      <c r="H4627" s="4">
        <v>4612</v>
      </c>
      <c r="I4627" s="3">
        <v>0.66769356266217383</v>
      </c>
      <c r="J4627" s="128">
        <v>1.3316285828319603E-3</v>
      </c>
      <c r="K4627" s="128"/>
      <c r="L4627" s="128">
        <v>3.6600000000000001E-2</v>
      </c>
      <c r="O4627" s="2"/>
    </row>
    <row r="4628" spans="2:15" x14ac:dyDescent="0.2">
      <c r="B4628" s="1">
        <f>B4627+1</f>
        <v>4613</v>
      </c>
      <c r="C4628" s="5">
        <f ca="1"/>
        <v>0.33949998246911106</v>
      </c>
      <c r="D4628" s="5">
        <f ca="1">S0*EXP((μ-0.5*σ*σ)*T+σ*SQRT(T)*$C4628)</f>
        <v>0.68712339565324143</v>
      </c>
      <c r="E4628" s="5">
        <f ca="1">MAX(0,CP*(D4628-K))</f>
        <v>0</v>
      </c>
      <c r="F4628" s="4">
        <f ca="1">(CP*(D4628-K)&gt;0)*1</f>
        <v>0</v>
      </c>
      <c r="H4628" s="4">
        <v>4613</v>
      </c>
      <c r="I4628" s="3">
        <v>0.66798189866056568</v>
      </c>
      <c r="J4628" s="128">
        <v>1.5827485291365819E-3</v>
      </c>
      <c r="K4628" s="128"/>
      <c r="L4628" s="128">
        <v>4.8000000000000001E-2</v>
      </c>
      <c r="O4628" s="2"/>
    </row>
    <row r="4629" spans="2:15" x14ac:dyDescent="0.2">
      <c r="B4629" s="1">
        <f>B4628+1</f>
        <v>4614</v>
      </c>
      <c r="C4629" s="5">
        <f ca="1"/>
        <v>1.433717487751351</v>
      </c>
      <c r="D4629" s="5">
        <f ca="1">S0*EXP((μ-0.5*σ*σ)*T+σ*SQRT(T)*$C4629)</f>
        <v>0.76539345854591745</v>
      </c>
      <c r="E4629" s="5">
        <f ca="1">MAX(0,CP*(D4629-K))</f>
        <v>0</v>
      </c>
      <c r="F4629" s="4">
        <f ca="1">(CP*(D4629-K)&gt;0)*1</f>
        <v>0</v>
      </c>
      <c r="H4629" s="4">
        <v>4614</v>
      </c>
      <c r="I4629" s="3">
        <v>0.66773286219939754</v>
      </c>
      <c r="J4629" s="128">
        <v>1.2950832222697651E-3</v>
      </c>
      <c r="K4629" s="128"/>
      <c r="L4629" s="128">
        <v>4.2599999999999999E-2</v>
      </c>
      <c r="O4629" s="2"/>
    </row>
    <row r="4630" spans="2:15" x14ac:dyDescent="0.2">
      <c r="B4630" s="1">
        <f>B4629+1</f>
        <v>4615</v>
      </c>
      <c r="C4630" s="5">
        <f ca="1"/>
        <v>-1.8211329704081376</v>
      </c>
      <c r="D4630" s="5">
        <f ca="1">S0*EXP((μ-0.5*σ*σ)*T+σ*SQRT(T)*$C4630)</f>
        <v>0.55529669441684837</v>
      </c>
      <c r="E4630" s="5">
        <f ca="1">MAX(0,CP*(D4630-K))</f>
        <v>0</v>
      </c>
      <c r="F4630" s="4">
        <f ca="1">(CP*(D4630-K)&gt;0)*1</f>
        <v>0</v>
      </c>
      <c r="H4630" s="4">
        <v>4615</v>
      </c>
      <c r="I4630" s="3">
        <v>0.667736939411956</v>
      </c>
      <c r="J4630" s="128">
        <v>1.442362839686824E-3</v>
      </c>
      <c r="K4630" s="128"/>
      <c r="L4630" s="128">
        <v>4.1399999999999999E-2</v>
      </c>
      <c r="O4630" s="2"/>
    </row>
    <row r="4631" spans="2:15" x14ac:dyDescent="0.2">
      <c r="B4631" s="1">
        <f>B4630+1</f>
        <v>4616</v>
      </c>
      <c r="C4631" s="5">
        <f ca="1"/>
        <v>-1.0959531274289882</v>
      </c>
      <c r="D4631" s="5">
        <f ca="1">S0*EXP((μ-0.5*σ*σ)*T+σ*SQRT(T)*$C4631)</f>
        <v>0.59645046853660366</v>
      </c>
      <c r="E4631" s="5">
        <f ca="1">MAX(0,CP*(D4631-K))</f>
        <v>0</v>
      </c>
      <c r="F4631" s="4">
        <f ca="1">(CP*(D4631-K)&gt;0)*1</f>
        <v>0</v>
      </c>
      <c r="H4631" s="4">
        <v>4616</v>
      </c>
      <c r="I4631" s="3">
        <v>0.66786131778086877</v>
      </c>
      <c r="J4631" s="128">
        <v>1.4090606070698202E-3</v>
      </c>
      <c r="K4631" s="128"/>
      <c r="L4631" s="128">
        <v>4.58E-2</v>
      </c>
      <c r="O4631" s="2"/>
    </row>
    <row r="4632" spans="2:15" x14ac:dyDescent="0.2">
      <c r="B4632" s="1">
        <f>B4631+1</f>
        <v>4617</v>
      </c>
      <c r="C4632" s="5">
        <f ca="1"/>
        <v>-1.6309689647054832</v>
      </c>
      <c r="D4632" s="5">
        <f ca="1">S0*EXP((μ-0.5*σ*σ)*T+σ*SQRT(T)*$C4632)</f>
        <v>0.56580547964836725</v>
      </c>
      <c r="E4632" s="5">
        <f ca="1">MAX(0,CP*(D4632-K))</f>
        <v>0</v>
      </c>
      <c r="F4632" s="4">
        <f ca="1">(CP*(D4632-K)&gt;0)*1</f>
        <v>0</v>
      </c>
      <c r="H4632" s="4">
        <v>4617</v>
      </c>
      <c r="I4632" s="3">
        <v>0.66789771092914307</v>
      </c>
      <c r="J4632" s="128">
        <v>1.5240886473848012E-3</v>
      </c>
      <c r="K4632" s="128"/>
      <c r="L4632" s="128">
        <v>4.4999999999999998E-2</v>
      </c>
      <c r="O4632" s="2"/>
    </row>
    <row r="4633" spans="2:15" x14ac:dyDescent="0.2">
      <c r="B4633" s="1">
        <f>B4632+1</f>
        <v>4618</v>
      </c>
      <c r="C4633" s="5">
        <f ca="1"/>
        <v>0.80117745936496476</v>
      </c>
      <c r="D4633" s="5">
        <f ca="1">S0*EXP((μ-0.5*σ*σ)*T+σ*SQRT(T)*$C4633)</f>
        <v>0.71912090848541255</v>
      </c>
      <c r="E4633" s="5">
        <f ca="1">MAX(0,CP*(D4633-K))</f>
        <v>0</v>
      </c>
      <c r="F4633" s="4">
        <f ca="1">(CP*(D4633-K)&gt;0)*1</f>
        <v>0</v>
      </c>
      <c r="H4633" s="4">
        <v>4618</v>
      </c>
      <c r="I4633" s="3">
        <v>0.66781057982179259</v>
      </c>
      <c r="J4633" s="128">
        <v>1.2909363050126004E-3</v>
      </c>
      <c r="K4633" s="128"/>
      <c r="L4633" s="128">
        <v>4.4600000000000001E-2</v>
      </c>
      <c r="O4633" s="2"/>
    </row>
    <row r="4634" spans="2:15" x14ac:dyDescent="0.2">
      <c r="B4634" s="1">
        <f>B4633+1</f>
        <v>4619</v>
      </c>
      <c r="C4634" s="5">
        <f ca="1"/>
        <v>1.9337569503417693</v>
      </c>
      <c r="D4634" s="5">
        <f ca="1">S0*EXP((μ-0.5*σ*σ)*T+σ*SQRT(T)*$C4634)</f>
        <v>0.80407106284147356</v>
      </c>
      <c r="E4634" s="5">
        <f ca="1">MAX(0,CP*(D4634-K))</f>
        <v>1.5871062841473549E-2</v>
      </c>
      <c r="F4634" s="4">
        <f ca="1">(CP*(D4634-K)&gt;0)*1</f>
        <v>1</v>
      </c>
      <c r="H4634" s="4">
        <v>4619</v>
      </c>
      <c r="I4634" s="3">
        <v>0.66784344585607791</v>
      </c>
      <c r="J4634" s="128">
        <v>1.533527298019629E-3</v>
      </c>
      <c r="K4634" s="128"/>
      <c r="L4634" s="128">
        <v>4.5199999999999997E-2</v>
      </c>
      <c r="O4634" s="2"/>
    </row>
    <row r="4635" spans="2:15" x14ac:dyDescent="0.2">
      <c r="B4635" s="1">
        <f>B4634+1</f>
        <v>4620</v>
      </c>
      <c r="C4635" s="5">
        <f ca="1"/>
        <v>1.3092683106377179</v>
      </c>
      <c r="D4635" s="5">
        <f ca="1">S0*EXP((μ-0.5*σ*σ)*T+σ*SQRT(T)*$C4635)</f>
        <v>0.75606012014593116</v>
      </c>
      <c r="E4635" s="5">
        <f ca="1">MAX(0,CP*(D4635-K))</f>
        <v>0</v>
      </c>
      <c r="F4635" s="4">
        <f ca="1">(CP*(D4635-K)&gt;0)*1</f>
        <v>0</v>
      </c>
      <c r="H4635" s="4">
        <v>4620</v>
      </c>
      <c r="I4635" s="3">
        <v>0.66768221107353753</v>
      </c>
      <c r="J4635" s="128">
        <v>1.4481397121875418E-3</v>
      </c>
      <c r="K4635" s="128"/>
      <c r="L4635" s="128">
        <v>4.4400000000000002E-2</v>
      </c>
      <c r="O4635" s="2"/>
    </row>
    <row r="4636" spans="2:15" x14ac:dyDescent="0.2">
      <c r="B4636" s="1">
        <f>B4635+1</f>
        <v>4621</v>
      </c>
      <c r="C4636" s="5">
        <f ca="1"/>
        <v>-1.260675851516369</v>
      </c>
      <c r="D4636" s="5">
        <f ca="1">S0*EXP((μ-0.5*σ*σ)*T+σ*SQRT(T)*$C4636)</f>
        <v>0.58684257882791824</v>
      </c>
      <c r="E4636" s="5">
        <f ca="1">MAX(0,CP*(D4636-K))</f>
        <v>0</v>
      </c>
      <c r="F4636" s="4">
        <f ca="1">(CP*(D4636-K)&gt;0)*1</f>
        <v>0</v>
      </c>
      <c r="H4636" s="4">
        <v>4621</v>
      </c>
      <c r="I4636" s="3">
        <v>0.66771231447916801</v>
      </c>
      <c r="J4636" s="128">
        <v>1.337559556740055E-3</v>
      </c>
      <c r="K4636" s="128"/>
      <c r="L4636" s="128">
        <v>4.2999999999999997E-2</v>
      </c>
      <c r="O4636" s="2"/>
    </row>
    <row r="4637" spans="2:15" x14ac:dyDescent="0.2">
      <c r="B4637" s="1">
        <f>B4636+1</f>
        <v>4622</v>
      </c>
      <c r="C4637" s="5">
        <f ca="1"/>
        <v>1.1924997334607323</v>
      </c>
      <c r="D4637" s="5">
        <f ca="1">S0*EXP((μ-0.5*σ*σ)*T+σ*SQRT(T)*$C4637)</f>
        <v>0.74740632407672447</v>
      </c>
      <c r="E4637" s="5">
        <f ca="1">MAX(0,CP*(D4637-K))</f>
        <v>0</v>
      </c>
      <c r="F4637" s="4">
        <f ca="1">(CP*(D4637-K)&gt;0)*1</f>
        <v>0</v>
      </c>
      <c r="H4637" s="4">
        <v>4622</v>
      </c>
      <c r="I4637" s="3">
        <v>0.66775555744748238</v>
      </c>
      <c r="J4637" s="128">
        <v>1.2388084164122657E-3</v>
      </c>
      <c r="K4637" s="128"/>
      <c r="L4637" s="128">
        <v>3.9E-2</v>
      </c>
      <c r="O4637" s="2"/>
    </row>
    <row r="4638" spans="2:15" x14ac:dyDescent="0.2">
      <c r="B4638" s="1">
        <f>B4637+1</f>
        <v>4623</v>
      </c>
      <c r="C4638" s="5">
        <f ca="1"/>
        <v>0.28433063107684342</v>
      </c>
      <c r="D4638" s="5">
        <f ca="1">S0*EXP((μ-0.5*σ*σ)*T+σ*SQRT(T)*$C4638)</f>
        <v>0.68339627197223174</v>
      </c>
      <c r="E4638" s="5">
        <f ca="1">MAX(0,CP*(D4638-K))</f>
        <v>0</v>
      </c>
      <c r="F4638" s="4">
        <f ca="1">(CP*(D4638-K)&gt;0)*1</f>
        <v>0</v>
      </c>
      <c r="H4638" s="4">
        <v>4623</v>
      </c>
      <c r="I4638" s="3">
        <v>0.66769632039918814</v>
      </c>
      <c r="J4638" s="128">
        <v>1.4638737142058963E-3</v>
      </c>
      <c r="K4638" s="128"/>
      <c r="L4638" s="128">
        <v>4.1799999999999997E-2</v>
      </c>
      <c r="O4638" s="2"/>
    </row>
    <row r="4639" spans="2:15" x14ac:dyDescent="0.2">
      <c r="B4639" s="1">
        <f>B4638+1</f>
        <v>4624</v>
      </c>
      <c r="C4639" s="5">
        <f ca="1"/>
        <v>-1.1782079144882334</v>
      </c>
      <c r="D4639" s="5">
        <f ca="1">S0*EXP((μ-0.5*σ*σ)*T+σ*SQRT(T)*$C4639)</f>
        <v>0.59163323649075716</v>
      </c>
      <c r="E4639" s="5">
        <f ca="1">MAX(0,CP*(D4639-K))</f>
        <v>0</v>
      </c>
      <c r="F4639" s="4">
        <f ca="1">(CP*(D4639-K)&gt;0)*1</f>
        <v>0</v>
      </c>
      <c r="H4639" s="4">
        <v>4624</v>
      </c>
      <c r="I4639" s="3">
        <v>0.66767097150612698</v>
      </c>
      <c r="J4639" s="128">
        <v>1.3206405148856503E-3</v>
      </c>
      <c r="K4639" s="128"/>
      <c r="L4639" s="128">
        <v>4.0399999999999998E-2</v>
      </c>
      <c r="O4639" s="2"/>
    </row>
    <row r="4640" spans="2:15" x14ac:dyDescent="0.2">
      <c r="B4640" s="1">
        <f>B4639+1</f>
        <v>4625</v>
      </c>
      <c r="C4640" s="5">
        <f ca="1"/>
        <v>0.18271663175022432</v>
      </c>
      <c r="D4640" s="5">
        <f ca="1">S0*EXP((μ-0.5*σ*σ)*T+σ*SQRT(T)*$C4640)</f>
        <v>0.67658427675476074</v>
      </c>
      <c r="E4640" s="5">
        <f ca="1">MAX(0,CP*(D4640-K))</f>
        <v>0</v>
      </c>
      <c r="F4640" s="4">
        <f ca="1">(CP*(D4640-K)&gt;0)*1</f>
        <v>0</v>
      </c>
      <c r="H4640" s="4">
        <v>4625</v>
      </c>
      <c r="I4640" s="3">
        <v>0.66777050904102253</v>
      </c>
      <c r="J4640" s="128">
        <v>1.3306436909368278E-3</v>
      </c>
      <c r="K4640" s="128"/>
      <c r="L4640" s="128">
        <v>4.24E-2</v>
      </c>
      <c r="O4640" s="2"/>
    </row>
    <row r="4641" spans="2:15" x14ac:dyDescent="0.2">
      <c r="B4641" s="1">
        <f>B4640+1</f>
        <v>4626</v>
      </c>
      <c r="C4641" s="5">
        <f ca="1"/>
        <v>-0.12095218145000794</v>
      </c>
      <c r="D4641" s="5">
        <f ca="1">S0*EXP((μ-0.5*σ*σ)*T+σ*SQRT(T)*$C4641)</f>
        <v>0.65662893861710536</v>
      </c>
      <c r="E4641" s="5">
        <f ca="1">MAX(0,CP*(D4641-K))</f>
        <v>0</v>
      </c>
      <c r="F4641" s="4">
        <f ca="1">(CP*(D4641-K)&gt;0)*1</f>
        <v>0</v>
      </c>
      <c r="H4641" s="4">
        <v>4626</v>
      </c>
      <c r="I4641" s="3">
        <v>0.66789317752427879</v>
      </c>
      <c r="J4641" s="128">
        <v>1.4649653662822117E-3</v>
      </c>
      <c r="K4641" s="128"/>
      <c r="L4641" s="128">
        <v>4.36E-2</v>
      </c>
      <c r="O4641" s="2"/>
    </row>
    <row r="4642" spans="2:15" x14ac:dyDescent="0.2">
      <c r="B4642" s="1">
        <f>B4641+1</f>
        <v>4627</v>
      </c>
      <c r="C4642" s="5">
        <f ca="1"/>
        <v>1.240031609919966</v>
      </c>
      <c r="D4642" s="5">
        <f ca="1">S0*EXP((μ-0.5*σ*σ)*T+σ*SQRT(T)*$C4642)</f>
        <v>0.75091692455858206</v>
      </c>
      <c r="E4642" s="5">
        <f ca="1">MAX(0,CP*(D4642-K))</f>
        <v>0</v>
      </c>
      <c r="F4642" s="4">
        <f ca="1">(CP*(D4642-K)&gt;0)*1</f>
        <v>0</v>
      </c>
      <c r="H4642" s="4">
        <v>4627</v>
      </c>
      <c r="I4642" s="3">
        <v>0.66785404250584091</v>
      </c>
      <c r="J4642" s="128">
        <v>1.5167718167720357E-3</v>
      </c>
      <c r="K4642" s="128"/>
      <c r="L4642" s="128">
        <v>4.5999999999999999E-2</v>
      </c>
      <c r="O4642" s="2"/>
    </row>
    <row r="4643" spans="2:15" x14ac:dyDescent="0.2">
      <c r="B4643" s="1">
        <f>B4642+1</f>
        <v>4628</v>
      </c>
      <c r="C4643" s="5">
        <f ca="1"/>
        <v>-2.6211072475091357</v>
      </c>
      <c r="D4643" s="5">
        <f ca="1">S0*EXP((μ-0.5*σ*σ)*T+σ*SQRT(T)*$C4643)</f>
        <v>0.51318433884353643</v>
      </c>
      <c r="E4643" s="5">
        <f ca="1">MAX(0,CP*(D4643-K))</f>
        <v>0</v>
      </c>
      <c r="F4643" s="4">
        <f ca="1">(CP*(D4643-K)&gt;0)*1</f>
        <v>0</v>
      </c>
      <c r="H4643" s="4">
        <v>4628</v>
      </c>
      <c r="I4643" s="3">
        <v>0.66766780422473471</v>
      </c>
      <c r="J4643" s="128">
        <v>1.316902105417963E-3</v>
      </c>
      <c r="K4643" s="128"/>
      <c r="L4643" s="128">
        <v>3.9399999999999998E-2</v>
      </c>
      <c r="O4643" s="2"/>
    </row>
    <row r="4644" spans="2:15" x14ac:dyDescent="0.2">
      <c r="B4644" s="1">
        <f>B4643+1</f>
        <v>4629</v>
      </c>
      <c r="C4644" s="5">
        <f ca="1"/>
        <v>0.25416930958986689</v>
      </c>
      <c r="D4644" s="5">
        <f ca="1">S0*EXP((μ-0.5*σ*σ)*T+σ*SQRT(T)*$C4644)</f>
        <v>0.68136719202836926</v>
      </c>
      <c r="E4644" s="5">
        <f ca="1">MAX(0,CP*(D4644-K))</f>
        <v>0</v>
      </c>
      <c r="F4644" s="4">
        <f ca="1">(CP*(D4644-K)&gt;0)*1</f>
        <v>0</v>
      </c>
      <c r="H4644" s="4">
        <v>4629</v>
      </c>
      <c r="I4644" s="3">
        <v>0.66782651574224161</v>
      </c>
      <c r="J4644" s="128">
        <v>1.5008969102556819E-3</v>
      </c>
      <c r="K4644" s="128"/>
      <c r="L4644" s="128">
        <v>4.3400000000000001E-2</v>
      </c>
      <c r="O4644" s="2"/>
    </row>
    <row r="4645" spans="2:15" x14ac:dyDescent="0.2">
      <c r="B4645" s="1">
        <f>B4644+1</f>
        <v>4630</v>
      </c>
      <c r="C4645" s="5">
        <f ca="1"/>
        <v>0.77271570033473291</v>
      </c>
      <c r="D4645" s="5">
        <f ca="1">S0*EXP((μ-0.5*σ*σ)*T+σ*SQRT(T)*$C4645)</f>
        <v>0.71710590311832223</v>
      </c>
      <c r="E4645" s="5">
        <f ca="1">MAX(0,CP*(D4645-K))</f>
        <v>0</v>
      </c>
      <c r="F4645" s="4">
        <f ca="1">(CP*(D4645-K)&gt;0)*1</f>
        <v>0</v>
      </c>
      <c r="H4645" s="4">
        <v>4630</v>
      </c>
      <c r="I4645" s="3">
        <v>0.66763693286423964</v>
      </c>
      <c r="J4645" s="128">
        <v>1.2018460888444211E-3</v>
      </c>
      <c r="K4645" s="128"/>
      <c r="L4645" s="128">
        <v>4.1000000000000002E-2</v>
      </c>
      <c r="O4645" s="2"/>
    </row>
    <row r="4646" spans="2:15" x14ac:dyDescent="0.2">
      <c r="B4646" s="1">
        <f>B4645+1</f>
        <v>4631</v>
      </c>
      <c r="C4646" s="5">
        <f ca="1"/>
        <v>0.16065253968068893</v>
      </c>
      <c r="D4646" s="5">
        <f ca="1">S0*EXP((μ-0.5*σ*σ)*T+σ*SQRT(T)*$C4646)</f>
        <v>0.67511414106741352</v>
      </c>
      <c r="E4646" s="5">
        <f ca="1">MAX(0,CP*(D4646-K))</f>
        <v>0</v>
      </c>
      <c r="F4646" s="4">
        <f ca="1">(CP*(D4646-K)&gt;0)*1</f>
        <v>0</v>
      </c>
      <c r="H4646" s="4">
        <v>4631</v>
      </c>
      <c r="I4646" s="3">
        <v>0.66763381342499795</v>
      </c>
      <c r="J4646" s="128">
        <v>1.240852990010611E-3</v>
      </c>
      <c r="K4646" s="128"/>
      <c r="L4646" s="128">
        <v>3.9399999999999998E-2</v>
      </c>
      <c r="O4646" s="2"/>
    </row>
    <row r="4647" spans="2:15" x14ac:dyDescent="0.2">
      <c r="B4647" s="1">
        <f>B4646+1</f>
        <v>4632</v>
      </c>
      <c r="C4647" s="5">
        <f ca="1"/>
        <v>0.40138325164126937</v>
      </c>
      <c r="D4647" s="5">
        <f ca="1">S0*EXP((μ-0.5*σ*σ)*T+σ*SQRT(T)*$C4647)</f>
        <v>0.69132829084588565</v>
      </c>
      <c r="E4647" s="5">
        <f ca="1">MAX(0,CP*(D4647-K))</f>
        <v>0</v>
      </c>
      <c r="F4647" s="4">
        <f ca="1">(CP*(D4647-K)&gt;0)*1</f>
        <v>0</v>
      </c>
      <c r="H4647" s="4">
        <v>4632</v>
      </c>
      <c r="I4647" s="3">
        <v>0.66787925748843369</v>
      </c>
      <c r="J4647" s="128">
        <v>1.5135304738076916E-3</v>
      </c>
      <c r="K4647" s="128"/>
      <c r="L4647" s="128">
        <v>4.2999999999999997E-2</v>
      </c>
      <c r="O4647" s="2"/>
    </row>
    <row r="4648" spans="2:15" x14ac:dyDescent="0.2">
      <c r="B4648" s="1">
        <f>B4647+1</f>
        <v>4633</v>
      </c>
      <c r="C4648" s="5">
        <f ca="1"/>
        <v>2.5142661889665352E-2</v>
      </c>
      <c r="D4648" s="5">
        <f ca="1">S0*EXP((μ-0.5*σ*σ)*T+σ*SQRT(T)*$C4648)</f>
        <v>0.66615488161300485</v>
      </c>
      <c r="E4648" s="5">
        <f ca="1">MAX(0,CP*(D4648-K))</f>
        <v>0</v>
      </c>
      <c r="F4648" s="4">
        <f ca="1">(CP*(D4648-K)&gt;0)*1</f>
        <v>0</v>
      </c>
      <c r="H4648" s="4">
        <v>4633</v>
      </c>
      <c r="I4648" s="3">
        <v>0.66766805968656318</v>
      </c>
      <c r="J4648" s="128">
        <v>1.2846615169445688E-3</v>
      </c>
      <c r="K4648" s="128"/>
      <c r="L4648" s="128">
        <v>0.04</v>
      </c>
      <c r="O4648" s="2"/>
    </row>
    <row r="4649" spans="2:15" x14ac:dyDescent="0.2">
      <c r="B4649" s="1">
        <f>B4648+1</f>
        <v>4634</v>
      </c>
      <c r="C4649" s="5">
        <f ca="1"/>
        <v>-0.41461275315751783</v>
      </c>
      <c r="D4649" s="5">
        <f ca="1">S0*EXP((μ-0.5*σ*σ)*T+σ*SQRT(T)*$C4649)</f>
        <v>0.63789125671864888</v>
      </c>
      <c r="E4649" s="5">
        <f ca="1">MAX(0,CP*(D4649-K))</f>
        <v>0</v>
      </c>
      <c r="F4649" s="4">
        <f ca="1">(CP*(D4649-K)&gt;0)*1</f>
        <v>0</v>
      </c>
      <c r="H4649" s="4">
        <v>4634</v>
      </c>
      <c r="I4649" s="3">
        <v>0.66771876972275801</v>
      </c>
      <c r="J4649" s="128">
        <v>1.1282906859006573E-3</v>
      </c>
      <c r="K4649" s="128"/>
      <c r="L4649" s="128">
        <v>4.0800000000000003E-2</v>
      </c>
      <c r="O4649" s="2"/>
    </row>
    <row r="4650" spans="2:15" x14ac:dyDescent="0.2">
      <c r="B4650" s="1">
        <f>B4649+1</f>
        <v>4635</v>
      </c>
      <c r="C4650" s="5">
        <f ca="1"/>
        <v>0.67566676023214212</v>
      </c>
      <c r="D4650" s="5">
        <f ca="1">S0*EXP((μ-0.5*σ*σ)*T+σ*SQRT(T)*$C4650)</f>
        <v>0.71027748905802901</v>
      </c>
      <c r="E4650" s="5">
        <f ca="1">MAX(0,CP*(D4650-K))</f>
        <v>0</v>
      </c>
      <c r="F4650" s="4">
        <f ca="1">(CP*(D4650-K)&gt;0)*1</f>
        <v>0</v>
      </c>
      <c r="H4650" s="4">
        <v>4635</v>
      </c>
      <c r="I4650" s="3">
        <v>0.66770078259041854</v>
      </c>
      <c r="J4650" s="128">
        <v>1.3259613323348179E-3</v>
      </c>
      <c r="K4650" s="128"/>
      <c r="L4650" s="128">
        <v>4.2200000000000001E-2</v>
      </c>
      <c r="O4650" s="2"/>
    </row>
    <row r="4651" spans="2:15" x14ac:dyDescent="0.2">
      <c r="B4651" s="1">
        <f>B4650+1</f>
        <v>4636</v>
      </c>
      <c r="C4651" s="5">
        <f ca="1"/>
        <v>0.15655964959929336</v>
      </c>
      <c r="D4651" s="5">
        <f ca="1">S0*EXP((μ-0.5*σ*σ)*T+σ*SQRT(T)*$C4651)</f>
        <v>0.67484178228172642</v>
      </c>
      <c r="E4651" s="5">
        <f ca="1">MAX(0,CP*(D4651-K))</f>
        <v>0</v>
      </c>
      <c r="F4651" s="4">
        <f ca="1">(CP*(D4651-K)&gt;0)*1</f>
        <v>0</v>
      </c>
      <c r="H4651" s="4">
        <v>4636</v>
      </c>
      <c r="I4651" s="3">
        <v>0.66776024894235331</v>
      </c>
      <c r="J4651" s="128">
        <v>1.3758960185116049E-3</v>
      </c>
      <c r="K4651" s="128"/>
      <c r="L4651" s="128">
        <v>4.2999999999999997E-2</v>
      </c>
      <c r="O4651" s="2"/>
    </row>
    <row r="4652" spans="2:15" x14ac:dyDescent="0.2">
      <c r="B4652" s="1">
        <f>B4651+1</f>
        <v>4637</v>
      </c>
      <c r="C4652" s="5">
        <f ca="1"/>
        <v>3.8964914046485374E-2</v>
      </c>
      <c r="D4652" s="5">
        <f ca="1">S0*EXP((μ-0.5*σ*σ)*T+σ*SQRT(T)*$C4652)</f>
        <v>0.66706327023767509</v>
      </c>
      <c r="E4652" s="5">
        <f ca="1">MAX(0,CP*(D4652-K))</f>
        <v>0</v>
      </c>
      <c r="F4652" s="4">
        <f ca="1">(CP*(D4652-K)&gt;0)*1</f>
        <v>0</v>
      </c>
      <c r="H4652" s="4">
        <v>4637</v>
      </c>
      <c r="I4652" s="3">
        <v>0.66763832095333864</v>
      </c>
      <c r="J4652" s="128">
        <v>1.2761803983886465E-3</v>
      </c>
      <c r="K4652" s="128"/>
      <c r="L4652" s="128">
        <v>3.8800000000000001E-2</v>
      </c>
      <c r="O4652" s="2"/>
    </row>
    <row r="4653" spans="2:15" x14ac:dyDescent="0.2">
      <c r="B4653" s="1">
        <f>B4652+1</f>
        <v>4638</v>
      </c>
      <c r="C4653" s="5">
        <f ca="1"/>
        <v>0.94600647940971627</v>
      </c>
      <c r="D4653" s="5">
        <f ca="1">S0*EXP((μ-0.5*σ*σ)*T+σ*SQRT(T)*$C4653)</f>
        <v>0.72946240564817721</v>
      </c>
      <c r="E4653" s="5">
        <f ca="1">MAX(0,CP*(D4653-K))</f>
        <v>0</v>
      </c>
      <c r="F4653" s="4">
        <f ca="1">(CP*(D4653-K)&gt;0)*1</f>
        <v>0</v>
      </c>
      <c r="H4653" s="4">
        <v>4638</v>
      </c>
      <c r="I4653" s="3">
        <v>0.66767161268674591</v>
      </c>
      <c r="J4653" s="128">
        <v>1.262387029562234E-3</v>
      </c>
      <c r="K4653" s="128"/>
      <c r="L4653" s="128">
        <v>3.6600000000000001E-2</v>
      </c>
      <c r="O4653" s="2"/>
    </row>
    <row r="4654" spans="2:15" x14ac:dyDescent="0.2">
      <c r="B4654" s="1">
        <f>B4653+1</f>
        <v>4639</v>
      </c>
      <c r="C4654" s="5">
        <f ca="1"/>
        <v>-0.65758895538066398</v>
      </c>
      <c r="D4654" s="5">
        <f ca="1">S0*EXP((μ-0.5*σ*σ)*T+σ*SQRT(T)*$C4654)</f>
        <v>0.62279251140946634</v>
      </c>
      <c r="E4654" s="5">
        <f ca="1">MAX(0,CP*(D4654-K))</f>
        <v>0</v>
      </c>
      <c r="F4654" s="4">
        <f ca="1">(CP*(D4654-K)&gt;0)*1</f>
        <v>0</v>
      </c>
      <c r="H4654" s="4">
        <v>4639</v>
      </c>
      <c r="I4654" s="3">
        <v>0.6678408469939211</v>
      </c>
      <c r="J4654" s="128">
        <v>1.4559894950866999E-3</v>
      </c>
      <c r="K4654" s="128"/>
      <c r="L4654" s="128">
        <v>4.4400000000000002E-2</v>
      </c>
      <c r="O4654" s="2"/>
    </row>
    <row r="4655" spans="2:15" x14ac:dyDescent="0.2">
      <c r="B4655" s="1">
        <f>B4654+1</f>
        <v>4640</v>
      </c>
      <c r="C4655" s="5">
        <f ca="1"/>
        <v>0.85767988068619905</v>
      </c>
      <c r="D4655" s="5">
        <f ca="1">S0*EXP((μ-0.5*σ*σ)*T+σ*SQRT(T)*$C4655)</f>
        <v>0.72313789950673579</v>
      </c>
      <c r="E4655" s="5">
        <f ca="1">MAX(0,CP*(D4655-K))</f>
        <v>0</v>
      </c>
      <c r="F4655" s="4">
        <f ca="1">(CP*(D4655-K)&gt;0)*1</f>
        <v>0</v>
      </c>
      <c r="H4655" s="4">
        <v>4640</v>
      </c>
      <c r="I4655" s="3">
        <v>0.667490853105557</v>
      </c>
      <c r="J4655" s="128">
        <v>1.0409420800653198E-3</v>
      </c>
      <c r="K4655" s="128"/>
      <c r="L4655" s="128">
        <v>3.7199999999999997E-2</v>
      </c>
      <c r="O4655" s="2"/>
    </row>
    <row r="4656" spans="2:15" x14ac:dyDescent="0.2">
      <c r="B4656" s="1">
        <f>B4655+1</f>
        <v>4641</v>
      </c>
      <c r="C4656" s="5">
        <f ca="1"/>
        <v>1.0745776593508161</v>
      </c>
      <c r="D4656" s="5">
        <f ca="1">S0*EXP((μ-0.5*σ*σ)*T+σ*SQRT(T)*$C4656)</f>
        <v>0.73876756089993745</v>
      </c>
      <c r="E4656" s="5">
        <f ca="1">MAX(0,CP*(D4656-K))</f>
        <v>0</v>
      </c>
      <c r="F4656" s="4">
        <f ca="1">(CP*(D4656-K)&gt;0)*1</f>
        <v>0</v>
      </c>
      <c r="H4656" s="4">
        <v>4641</v>
      </c>
      <c r="I4656" s="3">
        <v>0.66758831267274021</v>
      </c>
      <c r="J4656" s="128">
        <v>1.1989442329629336E-3</v>
      </c>
      <c r="K4656" s="128"/>
      <c r="L4656" s="128">
        <v>3.78E-2</v>
      </c>
      <c r="O4656" s="2"/>
    </row>
    <row r="4657" spans="2:15" x14ac:dyDescent="0.2">
      <c r="B4657" s="1">
        <f>B4656+1</f>
        <v>4642</v>
      </c>
      <c r="C4657" s="5">
        <f ca="1"/>
        <v>-0.8223768405510814</v>
      </c>
      <c r="D4657" s="5">
        <f ca="1">S0*EXP((μ-0.5*σ*σ)*T+σ*SQRT(T)*$C4657)</f>
        <v>0.61275635594564526</v>
      </c>
      <c r="E4657" s="5">
        <f ca="1">MAX(0,CP*(D4657-K))</f>
        <v>0</v>
      </c>
      <c r="F4657" s="4">
        <f ca="1">(CP*(D4657-K)&gt;0)*1</f>
        <v>0</v>
      </c>
      <c r="H4657" s="4">
        <v>4642</v>
      </c>
      <c r="I4657" s="3">
        <v>0.6678024750464584</v>
      </c>
      <c r="J4657" s="128">
        <v>1.5136621282091228E-3</v>
      </c>
      <c r="K4657" s="128"/>
      <c r="L4657" s="128">
        <v>4.3999999999999997E-2</v>
      </c>
      <c r="O4657" s="2"/>
    </row>
    <row r="4658" spans="2:15" x14ac:dyDescent="0.2">
      <c r="B4658" s="1">
        <f>B4657+1</f>
        <v>4643</v>
      </c>
      <c r="C4658" s="5">
        <f ca="1"/>
        <v>0.81128885511634097</v>
      </c>
      <c r="D4658" s="5">
        <f ca="1">S0*EXP((μ-0.5*σ*σ)*T+σ*SQRT(T)*$C4658)</f>
        <v>0.71983812656380297</v>
      </c>
      <c r="E4658" s="5">
        <f ca="1">MAX(0,CP*(D4658-K))</f>
        <v>0</v>
      </c>
      <c r="F4658" s="4">
        <f ca="1">(CP*(D4658-K)&gt;0)*1</f>
        <v>0</v>
      </c>
      <c r="H4658" s="4">
        <v>4643</v>
      </c>
      <c r="I4658" s="3">
        <v>0.66764440971767358</v>
      </c>
      <c r="J4658" s="128">
        <v>1.2241488236128379E-3</v>
      </c>
      <c r="K4658" s="128"/>
      <c r="L4658" s="128">
        <v>3.9E-2</v>
      </c>
      <c r="O4658" s="2"/>
    </row>
    <row r="4659" spans="2:15" x14ac:dyDescent="0.2">
      <c r="B4659" s="1">
        <f>B4658+1</f>
        <v>4644</v>
      </c>
      <c r="C4659" s="5">
        <f ca="1"/>
        <v>1.9508272095071695</v>
      </c>
      <c r="D4659" s="5">
        <f ca="1">S0*EXP((μ-0.5*σ*σ)*T+σ*SQRT(T)*$C4659)</f>
        <v>0.80542538429931199</v>
      </c>
      <c r="E4659" s="5">
        <f ca="1">MAX(0,CP*(D4659-K))</f>
        <v>1.7225384299311974E-2</v>
      </c>
      <c r="F4659" s="4">
        <f ca="1">(CP*(D4659-K)&gt;0)*1</f>
        <v>1</v>
      </c>
      <c r="H4659" s="4">
        <v>4644</v>
      </c>
      <c r="I4659" s="3">
        <v>0.66779712615054465</v>
      </c>
      <c r="J4659" s="128">
        <v>1.4513174953235204E-3</v>
      </c>
      <c r="K4659" s="128"/>
      <c r="L4659" s="128">
        <v>4.3799999999999999E-2</v>
      </c>
      <c r="O4659" s="2"/>
    </row>
    <row r="4660" spans="2:15" x14ac:dyDescent="0.2">
      <c r="B4660" s="1">
        <f>B4659+1</f>
        <v>4645</v>
      </c>
      <c r="C4660" s="5">
        <f ca="1"/>
        <v>1.345090842840045</v>
      </c>
      <c r="D4660" s="5">
        <f ca="1">S0*EXP((μ-0.5*σ*σ)*T+σ*SQRT(T)*$C4660)</f>
        <v>0.75873498255595251</v>
      </c>
      <c r="E4660" s="5">
        <f ca="1">MAX(0,CP*(D4660-K))</f>
        <v>0</v>
      </c>
      <c r="F4660" s="4">
        <f ca="1">(CP*(D4660-K)&gt;0)*1</f>
        <v>0</v>
      </c>
      <c r="H4660" s="4">
        <v>4645</v>
      </c>
      <c r="I4660" s="3">
        <v>0.66780996089605738</v>
      </c>
      <c r="J4660" s="128">
        <v>1.4833029620097103E-3</v>
      </c>
      <c r="K4660" s="128"/>
      <c r="L4660" s="128">
        <v>4.5600000000000002E-2</v>
      </c>
      <c r="O4660" s="2"/>
    </row>
    <row r="4661" spans="2:15" x14ac:dyDescent="0.2">
      <c r="B4661" s="1">
        <f>B4660+1</f>
        <v>4646</v>
      </c>
      <c r="C4661" s="5">
        <f ca="1"/>
        <v>9.2261131731665696E-2</v>
      </c>
      <c r="D4661" s="5">
        <f ca="1">S0*EXP((μ-0.5*σ*σ)*T+σ*SQRT(T)*$C4661)</f>
        <v>0.67057747127688294</v>
      </c>
      <c r="E4661" s="5">
        <f ca="1">MAX(0,CP*(D4661-K))</f>
        <v>0</v>
      </c>
      <c r="F4661" s="4">
        <f ca="1">(CP*(D4661-K)&gt;0)*1</f>
        <v>0</v>
      </c>
      <c r="H4661" s="4">
        <v>4646</v>
      </c>
      <c r="I4661" s="3">
        <v>0.66771420690928074</v>
      </c>
      <c r="J4661" s="128">
        <v>1.4590183927841217E-3</v>
      </c>
      <c r="K4661" s="128"/>
      <c r="L4661" s="128">
        <v>4.2799999999999998E-2</v>
      </c>
      <c r="O4661" s="2"/>
    </row>
    <row r="4662" spans="2:15" x14ac:dyDescent="0.2">
      <c r="B4662" s="1">
        <f>B4661+1</f>
        <v>4647</v>
      </c>
      <c r="C4662" s="5">
        <f ca="1"/>
        <v>0.3790096725151052</v>
      </c>
      <c r="D4662" s="5">
        <f ca="1">S0*EXP((μ-0.5*σ*σ)*T+σ*SQRT(T)*$C4662)</f>
        <v>0.68980507086154697</v>
      </c>
      <c r="E4662" s="5">
        <f ca="1">MAX(0,CP*(D4662-K))</f>
        <v>0</v>
      </c>
      <c r="F4662" s="4">
        <f ca="1">(CP*(D4662-K)&gt;0)*1</f>
        <v>0</v>
      </c>
      <c r="H4662" s="4">
        <v>4647</v>
      </c>
      <c r="I4662" s="3">
        <v>0.66784587442075816</v>
      </c>
      <c r="J4662" s="128">
        <v>1.4677122808212434E-3</v>
      </c>
      <c r="K4662" s="128"/>
      <c r="L4662" s="128">
        <v>4.5999999999999999E-2</v>
      </c>
      <c r="O4662" s="2"/>
    </row>
    <row r="4663" spans="2:15" x14ac:dyDescent="0.2">
      <c r="B4663" s="1">
        <f>B4662+1</f>
        <v>4648</v>
      </c>
      <c r="C4663" s="5">
        <f ca="1"/>
        <v>-0.11791795665236107</v>
      </c>
      <c r="D4663" s="5">
        <f ca="1">S0*EXP((μ-0.5*σ*σ)*T+σ*SQRT(T)*$C4663)</f>
        <v>0.65682538971081927</v>
      </c>
      <c r="E4663" s="5">
        <f ca="1">MAX(0,CP*(D4663-K))</f>
        <v>0</v>
      </c>
      <c r="F4663" s="4">
        <f ca="1">(CP*(D4663-K)&gt;0)*1</f>
        <v>0</v>
      </c>
      <c r="H4663" s="4">
        <v>4648</v>
      </c>
      <c r="I4663" s="3">
        <v>0.66774396367079547</v>
      </c>
      <c r="J4663" s="128">
        <v>1.3797815615736503E-3</v>
      </c>
      <c r="K4663" s="128"/>
      <c r="L4663" s="128">
        <v>4.2999999999999997E-2</v>
      </c>
      <c r="O4663" s="2"/>
    </row>
    <row r="4664" spans="2:15" x14ac:dyDescent="0.2">
      <c r="B4664" s="1">
        <f>B4663+1</f>
        <v>4649</v>
      </c>
      <c r="C4664" s="5">
        <f ca="1"/>
        <v>-1.190112069076215</v>
      </c>
      <c r="D4664" s="5">
        <f ca="1">S0*EXP((μ-0.5*σ*σ)*T+σ*SQRT(T)*$C4664)</f>
        <v>0.59093930272042661</v>
      </c>
      <c r="E4664" s="5">
        <f ca="1">MAX(0,CP*(D4664-K))</f>
        <v>0</v>
      </c>
      <c r="F4664" s="4">
        <f ca="1">(CP*(D4664-K)&gt;0)*1</f>
        <v>0</v>
      </c>
      <c r="H4664" s="4">
        <v>4649</v>
      </c>
      <c r="I4664" s="3">
        <v>0.66787874085410082</v>
      </c>
      <c r="J4664" s="128">
        <v>1.5046358068463387E-3</v>
      </c>
      <c r="K4664" s="128"/>
      <c r="L4664" s="128">
        <v>4.4200000000000003E-2</v>
      </c>
      <c r="O4664" s="2"/>
    </row>
    <row r="4665" spans="2:15" x14ac:dyDescent="0.2">
      <c r="B4665" s="1">
        <f>B4664+1</f>
        <v>4650</v>
      </c>
      <c r="C4665" s="5">
        <f ca="1"/>
        <v>-1.5357540474775211</v>
      </c>
      <c r="D4665" s="5">
        <f ca="1">S0*EXP((μ-0.5*σ*σ)*T+σ*SQRT(T)*$C4665)</f>
        <v>0.57114170078909321</v>
      </c>
      <c r="E4665" s="5">
        <f ca="1">MAX(0,CP*(D4665-K))</f>
        <v>0</v>
      </c>
      <c r="F4665" s="4">
        <f ca="1">(CP*(D4665-K)&gt;0)*1</f>
        <v>0</v>
      </c>
      <c r="H4665" s="4">
        <v>4650</v>
      </c>
      <c r="I4665" s="3">
        <v>0.66775335444844486</v>
      </c>
      <c r="J4665" s="128">
        <v>1.4114341511880311E-3</v>
      </c>
      <c r="K4665" s="128"/>
      <c r="L4665" s="128">
        <v>4.24E-2</v>
      </c>
      <c r="O4665" s="2"/>
    </row>
    <row r="4666" spans="2:15" x14ac:dyDescent="0.2">
      <c r="B4666" s="1">
        <f>B4665+1</f>
        <v>4651</v>
      </c>
      <c r="C4666" s="5">
        <f ca="1"/>
        <v>-1.0612787426255761</v>
      </c>
      <c r="D4666" s="5">
        <f ca="1">S0*EXP((μ-0.5*σ*σ)*T+σ*SQRT(T)*$C4666)</f>
        <v>0.5984928995185641</v>
      </c>
      <c r="E4666" s="5">
        <f ca="1">MAX(0,CP*(D4666-K))</f>
        <v>0</v>
      </c>
      <c r="F4666" s="4">
        <f ca="1">(CP*(D4666-K)&gt;0)*1</f>
        <v>0</v>
      </c>
      <c r="H4666" s="4">
        <v>4651</v>
      </c>
      <c r="I4666" s="3">
        <v>0.66787035428837305</v>
      </c>
      <c r="J4666" s="128">
        <v>1.5811406959392279E-3</v>
      </c>
      <c r="K4666" s="128"/>
      <c r="L4666" s="128">
        <v>4.4200000000000003E-2</v>
      </c>
      <c r="O4666" s="2"/>
    </row>
    <row r="4667" spans="2:15" x14ac:dyDescent="0.2">
      <c r="B4667" s="1">
        <f>B4666+1</f>
        <v>4652</v>
      </c>
      <c r="C4667" s="5">
        <f ca="1"/>
        <v>1.4133493380149624</v>
      </c>
      <c r="D4667" s="5">
        <f ca="1">S0*EXP((μ-0.5*σ*σ)*T+σ*SQRT(T)*$C4667)</f>
        <v>0.76385805663262085</v>
      </c>
      <c r="E4667" s="5">
        <f ca="1">MAX(0,CP*(D4667-K))</f>
        <v>0</v>
      </c>
      <c r="F4667" s="4">
        <f ca="1">(CP*(D4667-K)&gt;0)*1</f>
        <v>0</v>
      </c>
      <c r="H4667" s="4">
        <v>4652</v>
      </c>
      <c r="I4667" s="3">
        <v>0.66764289927006371</v>
      </c>
      <c r="J4667" s="128">
        <v>1.2121140878544451E-3</v>
      </c>
      <c r="K4667" s="128"/>
      <c r="L4667" s="128">
        <v>3.9199999999999999E-2</v>
      </c>
      <c r="O4667" s="2"/>
    </row>
    <row r="4668" spans="2:15" x14ac:dyDescent="0.2">
      <c r="B4668" s="1">
        <f>B4667+1</f>
        <v>4653</v>
      </c>
      <c r="C4668" s="5">
        <f ca="1"/>
        <v>-0.52541855769253387</v>
      </c>
      <c r="D4668" s="5">
        <f ca="1">S0*EXP((μ-0.5*σ*σ)*T+σ*SQRT(T)*$C4668)</f>
        <v>0.6309608150817394</v>
      </c>
      <c r="E4668" s="5">
        <f ca="1">MAX(0,CP*(D4668-K))</f>
        <v>0</v>
      </c>
      <c r="F4668" s="4">
        <f ca="1">(CP*(D4668-K)&gt;0)*1</f>
        <v>0</v>
      </c>
      <c r="H4668" s="4">
        <v>4653</v>
      </c>
      <c r="I4668" s="3">
        <v>0.66780001571231629</v>
      </c>
      <c r="J4668" s="128">
        <v>1.3004602819585338E-3</v>
      </c>
      <c r="K4668" s="128"/>
      <c r="L4668" s="128">
        <v>4.1799999999999997E-2</v>
      </c>
      <c r="O4668" s="2"/>
    </row>
    <row r="4669" spans="2:15" x14ac:dyDescent="0.2">
      <c r="B4669" s="1">
        <f>B4668+1</f>
        <v>4654</v>
      </c>
      <c r="C4669" s="5">
        <f ca="1"/>
        <v>1.1781964642316312</v>
      </c>
      <c r="D4669" s="5">
        <f ca="1">S0*EXP((μ-0.5*σ*σ)*T+σ*SQRT(T)*$C4669)</f>
        <v>0.74635313187720864</v>
      </c>
      <c r="E4669" s="5">
        <f ca="1">MAX(0,CP*(D4669-K))</f>
        <v>0</v>
      </c>
      <c r="F4669" s="4">
        <f ca="1">(CP*(D4669-K)&gt;0)*1</f>
        <v>0</v>
      </c>
      <c r="H4669" s="4">
        <v>4654</v>
      </c>
      <c r="I4669" s="3">
        <v>0.66762396138411584</v>
      </c>
      <c r="J4669" s="128">
        <v>1.2470200052731473E-3</v>
      </c>
      <c r="K4669" s="128"/>
      <c r="L4669" s="128">
        <v>3.6999999999999998E-2</v>
      </c>
      <c r="O4669" s="2"/>
    </row>
    <row r="4670" spans="2:15" x14ac:dyDescent="0.2">
      <c r="B4670" s="1">
        <f>B4669+1</f>
        <v>4655</v>
      </c>
      <c r="C4670" s="5">
        <f ca="1"/>
        <v>0.19065141339471953</v>
      </c>
      <c r="D4670" s="5">
        <f ca="1">S0*EXP((μ-0.5*σ*σ)*T+σ*SQRT(T)*$C4670)</f>
        <v>0.67711375543823837</v>
      </c>
      <c r="E4670" s="5">
        <f ca="1">MAX(0,CP*(D4670-K))</f>
        <v>0</v>
      </c>
      <c r="F4670" s="4">
        <f ca="1">(CP*(D4670-K)&gt;0)*1</f>
        <v>0</v>
      </c>
      <c r="H4670" s="4">
        <v>4655</v>
      </c>
      <c r="I4670" s="3">
        <v>0.66771408283961498</v>
      </c>
      <c r="J4670" s="128">
        <v>1.2355973797117256E-3</v>
      </c>
      <c r="K4670" s="128"/>
      <c r="L4670" s="128">
        <v>4.1399999999999999E-2</v>
      </c>
      <c r="O4670" s="2"/>
    </row>
    <row r="4671" spans="2:15" x14ac:dyDescent="0.2">
      <c r="B4671" s="1">
        <f>B4670+1</f>
        <v>4656</v>
      </c>
      <c r="C4671" s="5">
        <f ca="1"/>
        <v>0.72931721775797664</v>
      </c>
      <c r="D4671" s="5">
        <f ca="1">S0*EXP((μ-0.5*σ*σ)*T+σ*SQRT(T)*$C4671)</f>
        <v>0.71404428640870266</v>
      </c>
      <c r="E4671" s="5">
        <f ca="1">MAX(0,CP*(D4671-K))</f>
        <v>0</v>
      </c>
      <c r="F4671" s="4">
        <f ca="1">(CP*(D4671-K)&gt;0)*1</f>
        <v>0</v>
      </c>
      <c r="H4671" s="4">
        <v>4656</v>
      </c>
      <c r="I4671" s="3">
        <v>0.66765987879244826</v>
      </c>
      <c r="J4671" s="128">
        <v>1.3073681249474722E-3</v>
      </c>
      <c r="K4671" s="128"/>
      <c r="L4671" s="128">
        <v>3.78E-2</v>
      </c>
      <c r="O4671" s="2"/>
    </row>
    <row r="4672" spans="2:15" x14ac:dyDescent="0.2">
      <c r="B4672" s="1">
        <f>B4671+1</f>
        <v>4657</v>
      </c>
      <c r="C4672" s="5">
        <f ca="1"/>
        <v>-0.77975812709767178</v>
      </c>
      <c r="D4672" s="5">
        <f ca="1">S0*EXP((μ-0.5*σ*σ)*T+σ*SQRT(T)*$C4672)</f>
        <v>0.61533637302789312</v>
      </c>
      <c r="E4672" s="5">
        <f ca="1">MAX(0,CP*(D4672-K))</f>
        <v>0</v>
      </c>
      <c r="F4672" s="4">
        <f ca="1">(CP*(D4672-K)&gt;0)*1</f>
        <v>0</v>
      </c>
      <c r="H4672" s="4">
        <v>4657</v>
      </c>
      <c r="I4672" s="3">
        <v>0.66777182850125105</v>
      </c>
      <c r="J4672" s="128">
        <v>1.3571325978858099E-3</v>
      </c>
      <c r="K4672" s="128"/>
      <c r="L4672" s="128">
        <v>4.1599999999999998E-2</v>
      </c>
      <c r="O4672" s="2"/>
    </row>
    <row r="4673" spans="2:15" x14ac:dyDescent="0.2">
      <c r="B4673" s="1">
        <f>B4672+1</f>
        <v>4658</v>
      </c>
      <c r="C4673" s="5">
        <f ca="1"/>
        <v>-1.9939091122873704</v>
      </c>
      <c r="D4673" s="5">
        <f ca="1">S0*EXP((μ-0.5*σ*σ)*T+σ*SQRT(T)*$C4673)</f>
        <v>0.54591811544308932</v>
      </c>
      <c r="E4673" s="5">
        <f ca="1">MAX(0,CP*(D4673-K))</f>
        <v>0</v>
      </c>
      <c r="F4673" s="4">
        <f ca="1">(CP*(D4673-K)&gt;0)*1</f>
        <v>0</v>
      </c>
      <c r="H4673" s="4">
        <v>4658</v>
      </c>
      <c r="I4673" s="3">
        <v>0.66774180890956281</v>
      </c>
      <c r="J4673" s="128">
        <v>1.2100896293073021E-3</v>
      </c>
      <c r="K4673" s="128"/>
      <c r="L4673" s="128">
        <v>4.2000000000000003E-2</v>
      </c>
      <c r="O4673" s="2"/>
    </row>
    <row r="4674" spans="2:15" x14ac:dyDescent="0.2">
      <c r="B4674" s="1">
        <f>B4673+1</f>
        <v>4659</v>
      </c>
      <c r="C4674" s="5">
        <f ca="1"/>
        <v>0.87187591179545199</v>
      </c>
      <c r="D4674" s="5">
        <f ca="1">S0*EXP((μ-0.5*σ*σ)*T+σ*SQRT(T)*$C4674)</f>
        <v>0.72415067627437502</v>
      </c>
      <c r="E4674" s="5">
        <f ca="1">MAX(0,CP*(D4674-K))</f>
        <v>0</v>
      </c>
      <c r="F4674" s="4">
        <f ca="1">(CP*(D4674-K)&gt;0)*1</f>
        <v>0</v>
      </c>
      <c r="H4674" s="4">
        <v>4659</v>
      </c>
      <c r="I4674" s="3">
        <v>0.66781545940795695</v>
      </c>
      <c r="J4674" s="128">
        <v>1.3700362476791444E-3</v>
      </c>
      <c r="K4674" s="128"/>
      <c r="L4674" s="128">
        <v>4.2200000000000001E-2</v>
      </c>
      <c r="O4674" s="2"/>
    </row>
    <row r="4675" spans="2:15" x14ac:dyDescent="0.2">
      <c r="B4675" s="1">
        <f>B4674+1</f>
        <v>4660</v>
      </c>
      <c r="C4675" s="5">
        <f ca="1"/>
        <v>-0.74759159302602329</v>
      </c>
      <c r="D4675" s="5">
        <f ca="1">S0*EXP((μ-0.5*σ*σ)*T+σ*SQRT(T)*$C4675)</f>
        <v>0.61729083569548671</v>
      </c>
      <c r="E4675" s="5">
        <f ca="1">MAX(0,CP*(D4675-K))</f>
        <v>0</v>
      </c>
      <c r="F4675" s="4">
        <f ca="1">(CP*(D4675-K)&gt;0)*1</f>
        <v>0</v>
      </c>
      <c r="H4675" s="4">
        <v>4660</v>
      </c>
      <c r="I4675" s="3">
        <v>0.6677697108555658</v>
      </c>
      <c r="J4675" s="128">
        <v>1.4195689281160258E-3</v>
      </c>
      <c r="K4675" s="128"/>
      <c r="L4675" s="128">
        <v>4.4999999999999998E-2</v>
      </c>
      <c r="O4675" s="2"/>
    </row>
    <row r="4676" spans="2:15" x14ac:dyDescent="0.2">
      <c r="B4676" s="1">
        <f>B4675+1</f>
        <v>4661</v>
      </c>
      <c r="C4676" s="5">
        <f ca="1"/>
        <v>6.0237143120055389E-2</v>
      </c>
      <c r="D4676" s="5">
        <f ca="1">S0*EXP((μ-0.5*σ*σ)*T+σ*SQRT(T)*$C4676)</f>
        <v>0.66846368675779111</v>
      </c>
      <c r="E4676" s="5">
        <f ca="1">MAX(0,CP*(D4676-K))</f>
        <v>0</v>
      </c>
      <c r="F4676" s="4">
        <f ca="1">(CP*(D4676-K)&gt;0)*1</f>
        <v>0</v>
      </c>
      <c r="H4676" s="4">
        <v>4661</v>
      </c>
      <c r="I4676" s="3">
        <v>0.66779293159321707</v>
      </c>
      <c r="J4676" s="128">
        <v>1.3301807549470825E-3</v>
      </c>
      <c r="K4676" s="128"/>
      <c r="L4676" s="128">
        <v>4.0399999999999998E-2</v>
      </c>
      <c r="O4676" s="2"/>
    </row>
    <row r="4677" spans="2:15" x14ac:dyDescent="0.2">
      <c r="B4677" s="1">
        <f>B4676+1</f>
        <v>4662</v>
      </c>
      <c r="C4677" s="5">
        <f ca="1"/>
        <v>0.27797127142144412</v>
      </c>
      <c r="D4677" s="5">
        <f ca="1">S0*EXP((μ-0.5*σ*σ)*T+σ*SQRT(T)*$C4677)</f>
        <v>0.68296794879127098</v>
      </c>
      <c r="E4677" s="5">
        <f ca="1">MAX(0,CP*(D4677-K))</f>
        <v>0</v>
      </c>
      <c r="F4677" s="4">
        <f ca="1">(CP*(D4677-K)&gt;0)*1</f>
        <v>0</v>
      </c>
      <c r="H4677" s="4">
        <v>4662</v>
      </c>
      <c r="I4677" s="3">
        <v>0.66783963131302049</v>
      </c>
      <c r="J4677" s="128">
        <v>1.5542783876868423E-3</v>
      </c>
      <c r="K4677" s="128"/>
      <c r="L4677" s="128">
        <v>4.5400000000000003E-2</v>
      </c>
      <c r="O4677" s="2"/>
    </row>
    <row r="4678" spans="2:15" x14ac:dyDescent="0.2">
      <c r="B4678" s="1">
        <f>B4677+1</f>
        <v>4663</v>
      </c>
      <c r="C4678" s="5">
        <f ca="1"/>
        <v>-0.93069704789771324</v>
      </c>
      <c r="D4678" s="5">
        <f ca="1">S0*EXP((μ-0.5*σ*σ)*T+σ*SQRT(T)*$C4678)</f>
        <v>0.60624753727121905</v>
      </c>
      <c r="E4678" s="5">
        <f ca="1">MAX(0,CP*(D4678-K))</f>
        <v>0</v>
      </c>
      <c r="F4678" s="4">
        <f ca="1">(CP*(D4678-K)&gt;0)*1</f>
        <v>0</v>
      </c>
      <c r="H4678" s="4">
        <v>4663</v>
      </c>
      <c r="I4678" s="3">
        <v>0.66769147848331822</v>
      </c>
      <c r="J4678" s="128">
        <v>1.3450856845064014E-3</v>
      </c>
      <c r="K4678" s="128"/>
      <c r="L4678" s="128">
        <v>4.0399999999999998E-2</v>
      </c>
      <c r="O4678" s="2"/>
    </row>
    <row r="4679" spans="2:15" x14ac:dyDescent="0.2">
      <c r="B4679" s="1">
        <f>B4678+1</f>
        <v>4664</v>
      </c>
      <c r="C4679" s="5">
        <f ca="1"/>
        <v>0.59679600394280985</v>
      </c>
      <c r="D4679" s="5">
        <f ca="1">S0*EXP((μ-0.5*σ*σ)*T+σ*SQRT(T)*$C4679)</f>
        <v>0.7047760234073569</v>
      </c>
      <c r="E4679" s="5">
        <f ca="1">MAX(0,CP*(D4679-K))</f>
        <v>0</v>
      </c>
      <c r="F4679" s="4">
        <f ca="1">(CP*(D4679-K)&gt;0)*1</f>
        <v>0</v>
      </c>
      <c r="H4679" s="4">
        <v>4664</v>
      </c>
      <c r="I4679" s="3">
        <v>0.66781200790854156</v>
      </c>
      <c r="J4679" s="128">
        <v>1.4483940211520161E-3</v>
      </c>
      <c r="K4679" s="128"/>
      <c r="L4679" s="128">
        <v>4.2999999999999997E-2</v>
      </c>
      <c r="O4679" s="2"/>
    </row>
    <row r="4680" spans="2:15" x14ac:dyDescent="0.2">
      <c r="B4680" s="1">
        <f>B4679+1</f>
        <v>4665</v>
      </c>
      <c r="C4680" s="5">
        <f ca="1"/>
        <v>-1.0810250359495015</v>
      </c>
      <c r="D4680" s="5">
        <f ca="1">S0*EXP((μ-0.5*σ*σ)*T+σ*SQRT(T)*$C4680)</f>
        <v>0.59732892453385533</v>
      </c>
      <c r="E4680" s="5">
        <f ca="1">MAX(0,CP*(D4680-K))</f>
        <v>0</v>
      </c>
      <c r="F4680" s="4">
        <f ca="1">(CP*(D4680-K)&gt;0)*1</f>
        <v>0</v>
      </c>
      <c r="H4680" s="4">
        <v>4665</v>
      </c>
      <c r="I4680" s="3">
        <v>0.66775469632819107</v>
      </c>
      <c r="J4680" s="128">
        <v>1.4009511115096337E-3</v>
      </c>
      <c r="K4680" s="128"/>
      <c r="L4680" s="128">
        <v>4.48E-2</v>
      </c>
      <c r="O4680" s="2"/>
    </row>
    <row r="4681" spans="2:15" x14ac:dyDescent="0.2">
      <c r="B4681" s="1">
        <f>B4680+1</f>
        <v>4666</v>
      </c>
      <c r="C4681" s="5">
        <f ca="1"/>
        <v>1.2294566808001584</v>
      </c>
      <c r="D4681" s="5">
        <f ca="1">S0*EXP((μ-0.5*σ*σ)*T+σ*SQRT(T)*$C4681)</f>
        <v>0.75013445993763384</v>
      </c>
      <c r="E4681" s="5">
        <f ca="1">MAX(0,CP*(D4681-K))</f>
        <v>0</v>
      </c>
      <c r="F4681" s="4">
        <f ca="1">(CP*(D4681-K)&gt;0)*1</f>
        <v>0</v>
      </c>
      <c r="H4681" s="4">
        <v>4666</v>
      </c>
      <c r="I4681" s="3">
        <v>0.66773493277555485</v>
      </c>
      <c r="J4681" s="128">
        <v>1.4051052177939407E-3</v>
      </c>
      <c r="K4681" s="128"/>
      <c r="L4681" s="128">
        <v>4.1000000000000002E-2</v>
      </c>
      <c r="O4681" s="2"/>
    </row>
    <row r="4682" spans="2:15" x14ac:dyDescent="0.2">
      <c r="B4682" s="1">
        <f>B4681+1</f>
        <v>4667</v>
      </c>
      <c r="C4682" s="5">
        <f ca="1"/>
        <v>-0.35614832002769697</v>
      </c>
      <c r="D4682" s="5">
        <f ca="1">S0*EXP((μ-0.5*σ*σ)*T+σ*SQRT(T)*$C4682)</f>
        <v>0.64157858938430845</v>
      </c>
      <c r="E4682" s="5">
        <f ca="1">MAX(0,CP*(D4682-K))</f>
        <v>0</v>
      </c>
      <c r="F4682" s="4">
        <f ca="1">(CP*(D4682-K)&gt;0)*1</f>
        <v>0</v>
      </c>
      <c r="H4682" s="4">
        <v>4667</v>
      </c>
      <c r="I4682" s="3">
        <v>0.66750408834531771</v>
      </c>
      <c r="J4682" s="128">
        <v>1.0675876614041995E-3</v>
      </c>
      <c r="K4682" s="128"/>
      <c r="L4682" s="128">
        <v>3.7600000000000001E-2</v>
      </c>
      <c r="O4682" s="2"/>
    </row>
    <row r="4683" spans="2:15" x14ac:dyDescent="0.2">
      <c r="B4683" s="1">
        <f>B4682+1</f>
        <v>4668</v>
      </c>
      <c r="C4683" s="5">
        <f ca="1"/>
        <v>0.6192998783236201</v>
      </c>
      <c r="D4683" s="5">
        <f ca="1">S0*EXP((μ-0.5*σ*σ)*T+σ*SQRT(T)*$C4683)</f>
        <v>0.7063413753201101</v>
      </c>
      <c r="E4683" s="5">
        <f ca="1">MAX(0,CP*(D4683-K))</f>
        <v>0</v>
      </c>
      <c r="F4683" s="4">
        <f ca="1">(CP*(D4683-K)&gt;0)*1</f>
        <v>0</v>
      </c>
      <c r="H4683" s="4">
        <v>4668</v>
      </c>
      <c r="I4683" s="3">
        <v>0.66783118568996969</v>
      </c>
      <c r="J4683" s="128">
        <v>1.3972700750638524E-3</v>
      </c>
      <c r="K4683" s="128"/>
      <c r="L4683" s="128">
        <v>4.48E-2</v>
      </c>
      <c r="O4683" s="2"/>
    </row>
    <row r="4684" spans="2:15" x14ac:dyDescent="0.2">
      <c r="B4684" s="1">
        <f>B4683+1</f>
        <v>4669</v>
      </c>
      <c r="C4684" s="5">
        <f ca="1"/>
        <v>-2.4977351869524336</v>
      </c>
      <c r="D4684" s="5">
        <f ca="1">S0*EXP((μ-0.5*σ*σ)*T+σ*SQRT(T)*$C4684)</f>
        <v>0.51946428266826705</v>
      </c>
      <c r="E4684" s="5">
        <f ca="1">MAX(0,CP*(D4684-K))</f>
        <v>0</v>
      </c>
      <c r="F4684" s="4">
        <f ca="1">(CP*(D4684-K)&gt;0)*1</f>
        <v>0</v>
      </c>
      <c r="H4684" s="4">
        <v>4669</v>
      </c>
      <c r="I4684" s="3">
        <v>0.66775214715572384</v>
      </c>
      <c r="J4684" s="128">
        <v>1.4193999052590351E-3</v>
      </c>
      <c r="K4684" s="128"/>
      <c r="L4684" s="128">
        <v>4.2000000000000003E-2</v>
      </c>
      <c r="O4684" s="2"/>
    </row>
    <row r="4685" spans="2:15" x14ac:dyDescent="0.2">
      <c r="B4685" s="1">
        <f>B4684+1</f>
        <v>4670</v>
      </c>
      <c r="C4685" s="5">
        <f ca="1"/>
        <v>0.42916284918202374</v>
      </c>
      <c r="D4685" s="5">
        <f ca="1">S0*EXP((μ-0.5*σ*σ)*T+σ*SQRT(T)*$C4685)</f>
        <v>0.69322424067601085</v>
      </c>
      <c r="E4685" s="5">
        <f ca="1">MAX(0,CP*(D4685-K))</f>
        <v>0</v>
      </c>
      <c r="F4685" s="4">
        <f ca="1">(CP*(D4685-K)&gt;0)*1</f>
        <v>0</v>
      </c>
      <c r="H4685" s="4">
        <v>4670</v>
      </c>
      <c r="I4685" s="3">
        <v>0.66788837292191949</v>
      </c>
      <c r="J4685" s="128">
        <v>1.5978818751054798E-3</v>
      </c>
      <c r="K4685" s="128"/>
      <c r="L4685" s="128">
        <v>4.5199999999999997E-2</v>
      </c>
      <c r="O4685" s="2"/>
    </row>
    <row r="4686" spans="2:15" x14ac:dyDescent="0.2">
      <c r="B4686" s="1">
        <f>B4685+1</f>
        <v>4671</v>
      </c>
      <c r="C4686" s="5">
        <f ca="1"/>
        <v>0.71120942227567496</v>
      </c>
      <c r="D4686" s="5">
        <f ca="1">S0*EXP((μ-0.5*σ*σ)*T+σ*SQRT(T)*$C4686)</f>
        <v>0.71277071043997575</v>
      </c>
      <c r="E4686" s="5">
        <f ca="1">MAX(0,CP*(D4686-K))</f>
        <v>0</v>
      </c>
      <c r="F4686" s="4">
        <f ca="1">(CP*(D4686-K)&gt;0)*1</f>
        <v>0</v>
      </c>
      <c r="H4686" s="4">
        <v>4671</v>
      </c>
      <c r="I4686" s="3">
        <v>0.66763484231670756</v>
      </c>
      <c r="J4686" s="128">
        <v>1.1379847219247145E-3</v>
      </c>
      <c r="K4686" s="128"/>
      <c r="L4686" s="128">
        <v>4.02E-2</v>
      </c>
      <c r="O4686" s="2"/>
    </row>
    <row r="4687" spans="2:15" x14ac:dyDescent="0.2">
      <c r="B4687" s="1">
        <f>B4686+1</f>
        <v>4672</v>
      </c>
      <c r="C4687" s="5">
        <f ca="1"/>
        <v>-0.48170265611291396</v>
      </c>
      <c r="D4687" s="5">
        <f ca="1">S0*EXP((μ-0.5*σ*σ)*T+σ*SQRT(T)*$C4687)</f>
        <v>0.63368602370782845</v>
      </c>
      <c r="E4687" s="5">
        <f ca="1">MAX(0,CP*(D4687-K))</f>
        <v>0</v>
      </c>
      <c r="F4687" s="4">
        <f ca="1">(CP*(D4687-K)&gt;0)*1</f>
        <v>0</v>
      </c>
      <c r="H4687" s="4">
        <v>4672</v>
      </c>
      <c r="I4687" s="3">
        <v>0.66775680452166997</v>
      </c>
      <c r="J4687" s="128">
        <v>1.3842679069665125E-3</v>
      </c>
      <c r="K4687" s="128"/>
      <c r="L4687" s="128">
        <v>4.0599999999999997E-2</v>
      </c>
      <c r="O4687" s="2"/>
    </row>
    <row r="4688" spans="2:15" x14ac:dyDescent="0.2">
      <c r="B4688" s="1">
        <f>B4687+1</f>
        <v>4673</v>
      </c>
      <c r="C4688" s="5">
        <f ca="1"/>
        <v>-0.82877835921819243</v>
      </c>
      <c r="D4688" s="5">
        <f ca="1">S0*EXP((μ-0.5*σ*σ)*T+σ*SQRT(T)*$C4688)</f>
        <v>0.61236976157565193</v>
      </c>
      <c r="E4688" s="5">
        <f ca="1">MAX(0,CP*(D4688-K))</f>
        <v>0</v>
      </c>
      <c r="F4688" s="4">
        <f ca="1">(CP*(D4688-K)&gt;0)*1</f>
        <v>0</v>
      </c>
      <c r="H4688" s="4">
        <v>4673</v>
      </c>
      <c r="I4688" s="3">
        <v>0.66758401359393471</v>
      </c>
      <c r="J4688" s="128">
        <v>1.2222734443964539E-3</v>
      </c>
      <c r="K4688" s="128"/>
      <c r="L4688" s="128">
        <v>3.8600000000000002E-2</v>
      </c>
      <c r="O4688" s="2"/>
    </row>
    <row r="4689" spans="2:15" x14ac:dyDescent="0.2">
      <c r="B4689" s="1">
        <f>B4688+1</f>
        <v>4674</v>
      </c>
      <c r="C4689" s="5">
        <f ca="1"/>
        <v>-0.70820566518402617</v>
      </c>
      <c r="D4689" s="5">
        <f ca="1">S0*EXP((μ-0.5*σ*σ)*T+σ*SQRT(T)*$C4689)</f>
        <v>0.61969241027301281</v>
      </c>
      <c r="E4689" s="5">
        <f ca="1">MAX(0,CP*(D4689-K))</f>
        <v>0</v>
      </c>
      <c r="F4689" s="4">
        <f ca="1">(CP*(D4689-K)&gt;0)*1</f>
        <v>0</v>
      </c>
      <c r="H4689" s="4">
        <v>4674</v>
      </c>
      <c r="I4689" s="3">
        <v>0.6677019113880307</v>
      </c>
      <c r="J4689" s="128">
        <v>1.3514290677781424E-3</v>
      </c>
      <c r="K4689" s="128"/>
      <c r="L4689" s="128">
        <v>4.1000000000000002E-2</v>
      </c>
      <c r="O4689" s="2"/>
    </row>
    <row r="4690" spans="2:15" x14ac:dyDescent="0.2">
      <c r="B4690" s="1">
        <f>B4689+1</f>
        <v>4675</v>
      </c>
      <c r="C4690" s="5">
        <f ca="1"/>
        <v>0.65001359928651259</v>
      </c>
      <c r="D4690" s="5">
        <f ca="1">S0*EXP((μ-0.5*σ*σ)*T+σ*SQRT(T)*$C4690)</f>
        <v>0.70848340994496439</v>
      </c>
      <c r="E4690" s="5">
        <f ca="1">MAX(0,CP*(D4690-K))</f>
        <v>0</v>
      </c>
      <c r="F4690" s="4">
        <f ca="1">(CP*(D4690-K)&gt;0)*1</f>
        <v>0</v>
      </c>
      <c r="H4690" s="4">
        <v>4675</v>
      </c>
      <c r="I4690" s="3">
        <v>0.66773897291573092</v>
      </c>
      <c r="J4690" s="128">
        <v>1.1975683988007953E-3</v>
      </c>
      <c r="K4690" s="128"/>
      <c r="L4690" s="128">
        <v>4.1599999999999998E-2</v>
      </c>
      <c r="O4690" s="2"/>
    </row>
    <row r="4691" spans="2:15" x14ac:dyDescent="0.2">
      <c r="B4691" s="1">
        <f>B4690+1</f>
        <v>4676</v>
      </c>
      <c r="C4691" s="5">
        <f ca="1"/>
        <v>1.1368138062814173</v>
      </c>
      <c r="D4691" s="5">
        <f ca="1">S0*EXP((μ-0.5*σ*σ)*T+σ*SQRT(T)*$C4691)</f>
        <v>0.74331435479185293</v>
      </c>
      <c r="E4691" s="5">
        <f ca="1">MAX(0,CP*(D4691-K))</f>
        <v>0</v>
      </c>
      <c r="F4691" s="4">
        <f ca="1">(CP*(D4691-K)&gt;0)*1</f>
        <v>0</v>
      </c>
      <c r="H4691" s="4">
        <v>4676</v>
      </c>
      <c r="I4691" s="3">
        <v>0.66787174758618517</v>
      </c>
      <c r="J4691" s="128">
        <v>1.4973868963864944E-3</v>
      </c>
      <c r="K4691" s="128"/>
      <c r="L4691" s="128">
        <v>4.2799999999999998E-2</v>
      </c>
      <c r="O4691" s="2"/>
    </row>
    <row r="4692" spans="2:15" x14ac:dyDescent="0.2">
      <c r="B4692" s="1">
        <f>B4691+1</f>
        <v>4677</v>
      </c>
      <c r="C4692" s="5">
        <f ca="1"/>
        <v>1.3650048751681327</v>
      </c>
      <c r="D4692" s="5">
        <f ca="1">S0*EXP((μ-0.5*σ*σ)*T+σ*SQRT(T)*$C4692)</f>
        <v>0.76022605047386516</v>
      </c>
      <c r="E4692" s="5">
        <f ca="1">MAX(0,CP*(D4692-K))</f>
        <v>0</v>
      </c>
      <c r="F4692" s="4">
        <f ca="1">(CP*(D4692-K)&gt;0)*1</f>
        <v>0</v>
      </c>
      <c r="H4692" s="4">
        <v>4677</v>
      </c>
      <c r="I4692" s="3">
        <v>0.66794789637001784</v>
      </c>
      <c r="J4692" s="128">
        <v>1.5955085072592991E-3</v>
      </c>
      <c r="K4692" s="128"/>
      <c r="L4692" s="128">
        <v>4.5400000000000003E-2</v>
      </c>
      <c r="O4692" s="2"/>
    </row>
    <row r="4693" spans="2:15" x14ac:dyDescent="0.2">
      <c r="B4693" s="1">
        <f>B4692+1</f>
        <v>4678</v>
      </c>
      <c r="C4693" s="5">
        <f ca="1"/>
        <v>-0.26182242755931978</v>
      </c>
      <c r="D4693" s="5">
        <f ca="1">S0*EXP((μ-0.5*σ*σ)*T+σ*SQRT(T)*$C4693)</f>
        <v>0.64757268131206036</v>
      </c>
      <c r="E4693" s="5">
        <f ca="1">MAX(0,CP*(D4693-K))</f>
        <v>0</v>
      </c>
      <c r="F4693" s="4">
        <f ca="1">(CP*(D4693-K)&gt;0)*1</f>
        <v>0</v>
      </c>
      <c r="H4693" s="4">
        <v>4678</v>
      </c>
      <c r="I4693" s="3">
        <v>0.66781872939163889</v>
      </c>
      <c r="J4693" s="128">
        <v>1.4912880787075196E-3</v>
      </c>
      <c r="K4693" s="128"/>
      <c r="L4693" s="128">
        <v>4.2000000000000003E-2</v>
      </c>
      <c r="O4693" s="2"/>
    </row>
    <row r="4694" spans="2:15" x14ac:dyDescent="0.2">
      <c r="B4694" s="1">
        <f>B4693+1</f>
        <v>4679</v>
      </c>
      <c r="C4694" s="5">
        <f ca="1"/>
        <v>-2.3495631094384599</v>
      </c>
      <c r="D4694" s="5">
        <f ca="1">S0*EXP((μ-0.5*σ*σ)*T+σ*SQRT(T)*$C4694)</f>
        <v>0.52710826564526425</v>
      </c>
      <c r="E4694" s="5">
        <f ca="1">MAX(0,CP*(D4694-K))</f>
        <v>0</v>
      </c>
      <c r="F4694" s="4">
        <f ca="1">(CP*(D4694-K)&gt;0)*1</f>
        <v>0</v>
      </c>
      <c r="H4694" s="4">
        <v>4679</v>
      </c>
      <c r="I4694" s="3">
        <v>0.66787604390937005</v>
      </c>
      <c r="J4694" s="128">
        <v>1.5828677088866102E-3</v>
      </c>
      <c r="K4694" s="128"/>
      <c r="L4694" s="128">
        <v>4.5400000000000003E-2</v>
      </c>
      <c r="O4694" s="2"/>
    </row>
    <row r="4695" spans="2:15" x14ac:dyDescent="0.2">
      <c r="B4695" s="1">
        <f>B4694+1</f>
        <v>4680</v>
      </c>
      <c r="C4695" s="5">
        <f ca="1"/>
        <v>1.2233373088794863</v>
      </c>
      <c r="D4695" s="5">
        <f ca="1">S0*EXP((μ-0.5*σ*σ)*T+σ*SQRT(T)*$C4695)</f>
        <v>0.74968204525640159</v>
      </c>
      <c r="E4695" s="5">
        <f ca="1">MAX(0,CP*(D4695-K))</f>
        <v>0</v>
      </c>
      <c r="F4695" s="4">
        <f ca="1">(CP*(D4695-K)&gt;0)*1</f>
        <v>0</v>
      </c>
      <c r="H4695" s="4">
        <v>4680</v>
      </c>
      <c r="I4695" s="3">
        <v>0.66758390836727499</v>
      </c>
      <c r="J4695" s="128">
        <v>1.1359412978336277E-3</v>
      </c>
      <c r="K4695" s="128"/>
      <c r="L4695" s="128">
        <v>3.7600000000000001E-2</v>
      </c>
      <c r="O4695" s="2"/>
    </row>
    <row r="4696" spans="2:15" x14ac:dyDescent="0.2">
      <c r="B4696" s="1">
        <f>B4695+1</f>
        <v>4681</v>
      </c>
      <c r="C4696" s="5">
        <f ca="1"/>
        <v>0.80607262501586285</v>
      </c>
      <c r="D4696" s="5">
        <f ca="1">S0*EXP((μ-0.5*σ*σ)*T+σ*SQRT(T)*$C4696)</f>
        <v>0.71946804142763721</v>
      </c>
      <c r="E4696" s="5">
        <f ca="1">MAX(0,CP*(D4696-K))</f>
        <v>0</v>
      </c>
      <c r="F4696" s="4">
        <f ca="1">(CP*(D4696-K)&gt;0)*1</f>
        <v>0</v>
      </c>
      <c r="H4696" s="4">
        <v>4681</v>
      </c>
      <c r="I4696" s="3">
        <v>0.66773297362690165</v>
      </c>
      <c r="J4696" s="128">
        <v>1.3840470107335571E-3</v>
      </c>
      <c r="K4696" s="128"/>
      <c r="L4696" s="128">
        <v>4.0599999999999997E-2</v>
      </c>
      <c r="O4696" s="2"/>
    </row>
    <row r="4697" spans="2:15" x14ac:dyDescent="0.2">
      <c r="B4697" s="1">
        <f>B4696+1</f>
        <v>4682</v>
      </c>
      <c r="C4697" s="5">
        <f ca="1"/>
        <v>1.9325632085864861</v>
      </c>
      <c r="D4697" s="5">
        <f ca="1">S0*EXP((μ-0.5*σ*σ)*T+σ*SQRT(T)*$C4697)</f>
        <v>0.80397643891112958</v>
      </c>
      <c r="E4697" s="5">
        <f ca="1">MAX(0,CP*(D4697-K))</f>
        <v>1.5776438911129564E-2</v>
      </c>
      <c r="F4697" s="4">
        <f ca="1">(CP*(D4697-K)&gt;0)*1</f>
        <v>1</v>
      </c>
      <c r="H4697" s="4">
        <v>4682</v>
      </c>
      <c r="I4697" s="3">
        <v>0.66779801758404966</v>
      </c>
      <c r="J4697" s="128">
        <v>1.406656379561872E-3</v>
      </c>
      <c r="K4697" s="128"/>
      <c r="L4697" s="128">
        <v>4.1000000000000002E-2</v>
      </c>
      <c r="O4697" s="2"/>
    </row>
    <row r="4698" spans="2:15" x14ac:dyDescent="0.2">
      <c r="B4698" s="1">
        <f>B4697+1</f>
        <v>4683</v>
      </c>
      <c r="C4698" s="5">
        <f ca="1"/>
        <v>-6.322942779405924E-2</v>
      </c>
      <c r="D4698" s="5">
        <f ca="1">S0*EXP((μ-0.5*σ*σ)*T+σ*SQRT(T)*$C4698)</f>
        <v>0.66037629583919299</v>
      </c>
      <c r="E4698" s="5">
        <f ca="1">MAX(0,CP*(D4698-K))</f>
        <v>0</v>
      </c>
      <c r="F4698" s="4">
        <f ca="1">(CP*(D4698-K)&gt;0)*1</f>
        <v>0</v>
      </c>
      <c r="H4698" s="4">
        <v>4683</v>
      </c>
      <c r="I4698" s="3">
        <v>0.6677684014868156</v>
      </c>
      <c r="J4698" s="128">
        <v>1.3577013212919392E-3</v>
      </c>
      <c r="K4698" s="128"/>
      <c r="L4698" s="128">
        <v>4.4600000000000001E-2</v>
      </c>
      <c r="O4698" s="2"/>
    </row>
    <row r="4699" spans="2:15" x14ac:dyDescent="0.2">
      <c r="B4699" s="1">
        <f>B4698+1</f>
        <v>4684</v>
      </c>
      <c r="C4699" s="5">
        <f ca="1"/>
        <v>-1.3432078591246945</v>
      </c>
      <c r="D4699" s="5">
        <f ca="1">S0*EXP((μ-0.5*σ*σ)*T+σ*SQRT(T)*$C4699)</f>
        <v>0.58208703596954925</v>
      </c>
      <c r="E4699" s="5">
        <f ca="1">MAX(0,CP*(D4699-K))</f>
        <v>0</v>
      </c>
      <c r="F4699" s="4">
        <f ca="1">(CP*(D4699-K)&gt;0)*1</f>
        <v>0</v>
      </c>
      <c r="H4699" s="4">
        <v>4684</v>
      </c>
      <c r="I4699" s="3">
        <v>0.66763178069955142</v>
      </c>
      <c r="J4699" s="128">
        <v>1.2423356734980408E-3</v>
      </c>
      <c r="K4699" s="128"/>
      <c r="L4699" s="128">
        <v>3.6799999999999999E-2</v>
      </c>
      <c r="O4699" s="2"/>
    </row>
    <row r="4700" spans="2:15" x14ac:dyDescent="0.2">
      <c r="B4700" s="1">
        <f>B4699+1</f>
        <v>4685</v>
      </c>
      <c r="C4700" s="5">
        <f ca="1"/>
        <v>-0.77351935319427267</v>
      </c>
      <c r="D4700" s="5">
        <f ca="1">S0*EXP((μ-0.5*σ*σ)*T+σ*SQRT(T)*$C4700)</f>
        <v>0.61571496126944991</v>
      </c>
      <c r="E4700" s="5">
        <f ca="1">MAX(0,CP*(D4700-K))</f>
        <v>0</v>
      </c>
      <c r="F4700" s="4">
        <f ca="1">(CP*(D4700-K)&gt;0)*1</f>
        <v>0</v>
      </c>
      <c r="H4700" s="4">
        <v>4685</v>
      </c>
      <c r="I4700" s="3">
        <v>0.66766749345959064</v>
      </c>
      <c r="J4700" s="128">
        <v>1.3252654262126925E-3</v>
      </c>
      <c r="K4700" s="128"/>
      <c r="L4700" s="128">
        <v>4.1200000000000001E-2</v>
      </c>
      <c r="O4700" s="2"/>
    </row>
    <row r="4701" spans="2:15" x14ac:dyDescent="0.2">
      <c r="B4701" s="1">
        <f>B4700+1</f>
        <v>4686</v>
      </c>
      <c r="C4701" s="5">
        <f ca="1"/>
        <v>-0.42817084758365681</v>
      </c>
      <c r="D4701" s="5">
        <f ca="1">S0*EXP((μ-0.5*σ*σ)*T+σ*SQRT(T)*$C4701)</f>
        <v>0.6370391837163889</v>
      </c>
      <c r="E4701" s="5">
        <f ca="1">MAX(0,CP*(D4701-K))</f>
        <v>0</v>
      </c>
      <c r="F4701" s="4">
        <f ca="1">(CP*(D4701-K)&gt;0)*1</f>
        <v>0</v>
      </c>
      <c r="H4701" s="4">
        <v>4686</v>
      </c>
      <c r="I4701" s="3">
        <v>0.66771922626407942</v>
      </c>
      <c r="J4701" s="128">
        <v>1.2891949161050657E-3</v>
      </c>
      <c r="K4701" s="128"/>
      <c r="L4701" s="128">
        <v>4.02E-2</v>
      </c>
      <c r="O4701" s="2"/>
    </row>
    <row r="4702" spans="2:15" x14ac:dyDescent="0.2">
      <c r="B4702" s="1">
        <f>B4701+1</f>
        <v>4687</v>
      </c>
      <c r="C4702" s="5">
        <f ca="1"/>
        <v>1.0936155015861178</v>
      </c>
      <c r="D4702" s="5">
        <f ca="1">S0*EXP((μ-0.5*σ*σ)*T+σ*SQRT(T)*$C4702)</f>
        <v>0.74015545039094144</v>
      </c>
      <c r="E4702" s="5">
        <f ca="1">MAX(0,CP*(D4702-K))</f>
        <v>0</v>
      </c>
      <c r="F4702" s="4">
        <f ca="1">(CP*(D4702-K)&gt;0)*1</f>
        <v>0</v>
      </c>
      <c r="H4702" s="4">
        <v>4687</v>
      </c>
      <c r="I4702" s="3">
        <v>0.66780013550404527</v>
      </c>
      <c r="J4702" s="128">
        <v>1.3849783397950999E-3</v>
      </c>
      <c r="K4702" s="128"/>
      <c r="L4702" s="128">
        <v>4.5600000000000002E-2</v>
      </c>
      <c r="O4702" s="2"/>
    </row>
    <row r="4703" spans="2:15" x14ac:dyDescent="0.2">
      <c r="B4703" s="1">
        <f>B4702+1</f>
        <v>4688</v>
      </c>
      <c r="C4703" s="5">
        <f ca="1"/>
        <v>-1.0871962566976858</v>
      </c>
      <c r="D4703" s="5">
        <f ca="1">S0*EXP((μ-0.5*σ*σ)*T+σ*SQRT(T)*$C4703)</f>
        <v>0.59696561713658713</v>
      </c>
      <c r="E4703" s="5">
        <f ca="1">MAX(0,CP*(D4703-K))</f>
        <v>0</v>
      </c>
      <c r="F4703" s="4">
        <f ca="1">(CP*(D4703-K)&gt;0)*1</f>
        <v>0</v>
      </c>
      <c r="H4703" s="4">
        <v>4688</v>
      </c>
      <c r="I4703" s="3">
        <v>0.6677488330397745</v>
      </c>
      <c r="J4703" s="128">
        <v>1.2670223931065805E-3</v>
      </c>
      <c r="K4703" s="128"/>
      <c r="L4703" s="128">
        <v>4.1799999999999997E-2</v>
      </c>
      <c r="O4703" s="2"/>
    </row>
    <row r="4704" spans="2:15" x14ac:dyDescent="0.2">
      <c r="B4704" s="1">
        <f>B4703+1</f>
        <v>4689</v>
      </c>
      <c r="C4704" s="5">
        <f ca="1"/>
        <v>0.43216125409394579</v>
      </c>
      <c r="D4704" s="5">
        <f ca="1">S0*EXP((μ-0.5*σ*σ)*T+σ*SQRT(T)*$C4704)</f>
        <v>0.69342919162489325</v>
      </c>
      <c r="E4704" s="5">
        <f ca="1">MAX(0,CP*(D4704-K))</f>
        <v>0</v>
      </c>
      <c r="F4704" s="4">
        <f ca="1">(CP*(D4704-K)&gt;0)*1</f>
        <v>0</v>
      </c>
      <c r="H4704" s="4">
        <v>4689</v>
      </c>
      <c r="I4704" s="3">
        <v>0.66775713688401128</v>
      </c>
      <c r="J4704" s="128">
        <v>1.3275800539664121E-3</v>
      </c>
      <c r="K4704" s="128"/>
      <c r="L4704" s="128">
        <v>4.1399999999999999E-2</v>
      </c>
      <c r="O4704" s="2"/>
    </row>
    <row r="4705" spans="2:15" x14ac:dyDescent="0.2">
      <c r="B4705" s="1">
        <f>B4704+1</f>
        <v>4690</v>
      </c>
      <c r="C4705" s="5">
        <f ca="1"/>
        <v>0.42362497397160226</v>
      </c>
      <c r="D4705" s="5">
        <f ca="1">S0*EXP((μ-0.5*σ*σ)*T+σ*SQRT(T)*$C4705)</f>
        <v>0.69284586772944801</v>
      </c>
      <c r="E4705" s="5">
        <f ca="1">MAX(0,CP*(D4705-K))</f>
        <v>0</v>
      </c>
      <c r="F4705" s="4">
        <f ca="1">(CP*(D4705-K)&gt;0)*1</f>
        <v>0</v>
      </c>
      <c r="H4705" s="4">
        <v>4690</v>
      </c>
      <c r="I4705" s="3">
        <v>0.6676239809720026</v>
      </c>
      <c r="J4705" s="128">
        <v>1.1112317280336517E-3</v>
      </c>
      <c r="K4705" s="128"/>
      <c r="L4705" s="128">
        <v>3.78E-2</v>
      </c>
      <c r="O4705" s="2"/>
    </row>
    <row r="4706" spans="2:15" x14ac:dyDescent="0.2">
      <c r="B4706" s="1">
        <f>B4705+1</f>
        <v>4691</v>
      </c>
      <c r="C4706" s="5">
        <f ca="1"/>
        <v>1.4259708904479431</v>
      </c>
      <c r="D4706" s="5">
        <f ca="1">S0*EXP((μ-0.5*σ*σ)*T+σ*SQRT(T)*$C4706)</f>
        <v>0.764809137379445</v>
      </c>
      <c r="E4706" s="5">
        <f ca="1">MAX(0,CP*(D4706-K))</f>
        <v>0</v>
      </c>
      <c r="F4706" s="4">
        <f ca="1">(CP*(D4706-K)&gt;0)*1</f>
        <v>0</v>
      </c>
      <c r="H4706" s="4">
        <v>4691</v>
      </c>
      <c r="I4706" s="3">
        <v>0.66767169645728286</v>
      </c>
      <c r="J4706" s="128">
        <v>1.2373497513121507E-3</v>
      </c>
      <c r="K4706" s="128"/>
      <c r="L4706" s="128">
        <v>4.3799999999999999E-2</v>
      </c>
      <c r="O4706" s="2"/>
    </row>
    <row r="4707" spans="2:15" x14ac:dyDescent="0.2">
      <c r="B4707" s="1">
        <f>B4706+1</f>
        <v>4692</v>
      </c>
      <c r="C4707" s="5">
        <f ca="1"/>
        <v>-0.21546708816176466</v>
      </c>
      <c r="D4707" s="5">
        <f ca="1">S0*EXP((μ-0.5*σ*σ)*T+σ*SQRT(T)*$C4707)</f>
        <v>0.65053889720709035</v>
      </c>
      <c r="E4707" s="5">
        <f ca="1">MAX(0,CP*(D4707-K))</f>
        <v>0</v>
      </c>
      <c r="F4707" s="4">
        <f ca="1">(CP*(D4707-K)&gt;0)*1</f>
        <v>0</v>
      </c>
      <c r="H4707" s="4">
        <v>4692</v>
      </c>
      <c r="I4707" s="3">
        <v>0.66787666193707507</v>
      </c>
      <c r="J4707" s="128">
        <v>1.5445546885647296E-3</v>
      </c>
      <c r="K4707" s="128"/>
      <c r="L4707" s="128">
        <v>4.7E-2</v>
      </c>
      <c r="O4707" s="2"/>
    </row>
    <row r="4708" spans="2:15" x14ac:dyDescent="0.2">
      <c r="B4708" s="1">
        <f>B4707+1</f>
        <v>4693</v>
      </c>
      <c r="C4708" s="5">
        <f ca="1"/>
        <v>-0.73801299777244611</v>
      </c>
      <c r="D4708" s="5">
        <f ca="1">S0*EXP((μ-0.5*σ*σ)*T+σ*SQRT(T)*$C4708)</f>
        <v>0.61787403694676013</v>
      </c>
      <c r="E4708" s="5">
        <f ca="1">MAX(0,CP*(D4708-K))</f>
        <v>0</v>
      </c>
      <c r="F4708" s="4">
        <f ca="1">(CP*(D4708-K)&gt;0)*1</f>
        <v>0</v>
      </c>
      <c r="H4708" s="4">
        <v>4693</v>
      </c>
      <c r="I4708" s="3">
        <v>0.66770565661841985</v>
      </c>
      <c r="J4708" s="128">
        <v>1.3291722289031564E-3</v>
      </c>
      <c r="K4708" s="128"/>
      <c r="L4708" s="128">
        <v>4.0399999999999998E-2</v>
      </c>
      <c r="O4708" s="2"/>
    </row>
    <row r="4709" spans="2:15" x14ac:dyDescent="0.2">
      <c r="B4709" s="1">
        <f>B4708+1</f>
        <v>4694</v>
      </c>
      <c r="C4709" s="5">
        <f ca="1"/>
        <v>-0.89019387414791562</v>
      </c>
      <c r="D4709" s="5">
        <f ca="1">S0*EXP((μ-0.5*σ*σ)*T+σ*SQRT(T)*$C4709)</f>
        <v>0.60867318731116427</v>
      </c>
      <c r="E4709" s="5">
        <f ca="1">MAX(0,CP*(D4709-K))</f>
        <v>0</v>
      </c>
      <c r="F4709" s="4">
        <f ca="1">(CP*(D4709-K)&gt;0)*1</f>
        <v>0</v>
      </c>
      <c r="H4709" s="4">
        <v>4694</v>
      </c>
      <c r="I4709" s="3">
        <v>0.66774810055335376</v>
      </c>
      <c r="J4709" s="128">
        <v>1.3190763110841287E-3</v>
      </c>
      <c r="K4709" s="128"/>
      <c r="L4709" s="128">
        <v>4.3400000000000001E-2</v>
      </c>
      <c r="O4709" s="2"/>
    </row>
    <row r="4710" spans="2:15" x14ac:dyDescent="0.2">
      <c r="B4710" s="1">
        <f>B4709+1</f>
        <v>4695</v>
      </c>
      <c r="C4710" s="5">
        <f ca="1"/>
        <v>-0.98510054184012308</v>
      </c>
      <c r="D4710" s="5">
        <f ca="1">S0*EXP((μ-0.5*σ*σ)*T+σ*SQRT(T)*$C4710)</f>
        <v>0.60300463134135152</v>
      </c>
      <c r="E4710" s="5">
        <f ca="1">MAX(0,CP*(D4710-K))</f>
        <v>0</v>
      </c>
      <c r="F4710" s="4">
        <f ca="1">(CP*(D4710-K)&gt;0)*1</f>
        <v>0</v>
      </c>
      <c r="H4710" s="4">
        <v>4695</v>
      </c>
      <c r="I4710" s="3">
        <v>0.66766848955371316</v>
      </c>
      <c r="J4710" s="128">
        <v>1.2746903680682308E-3</v>
      </c>
      <c r="K4710" s="128"/>
      <c r="L4710" s="128">
        <v>3.8199999999999998E-2</v>
      </c>
      <c r="O4710" s="2"/>
    </row>
    <row r="4711" spans="2:15" x14ac:dyDescent="0.2">
      <c r="B4711" s="1">
        <f>B4710+1</f>
        <v>4696</v>
      </c>
      <c r="C4711" s="5">
        <f ca="1"/>
        <v>2.7931825509064057</v>
      </c>
      <c r="D4711" s="5">
        <f ca="1">S0*EXP((μ-0.5*σ*σ)*T+σ*SQRT(T)*$C4711)</f>
        <v>0.87516833200015354</v>
      </c>
      <c r="E4711" s="5">
        <f ca="1">MAX(0,CP*(D4711-K))</f>
        <v>8.6968332000153525E-2</v>
      </c>
      <c r="F4711" s="4">
        <f ca="1">(CP*(D4711-K)&gt;0)*1</f>
        <v>1</v>
      </c>
      <c r="H4711" s="4">
        <v>4696</v>
      </c>
      <c r="I4711" s="3">
        <v>0.66777249745590284</v>
      </c>
      <c r="J4711" s="128">
        <v>1.4442782646749476E-3</v>
      </c>
      <c r="K4711" s="128"/>
      <c r="L4711" s="128">
        <v>3.9199999999999999E-2</v>
      </c>
      <c r="O4711" s="2"/>
    </row>
    <row r="4712" spans="2:15" x14ac:dyDescent="0.2">
      <c r="B4712" s="1">
        <f>B4711+1</f>
        <v>4697</v>
      </c>
      <c r="C4712" s="5">
        <f ca="1"/>
        <v>1.3846373375279633</v>
      </c>
      <c r="D4712" s="5">
        <f ca="1">S0*EXP((μ-0.5*σ*σ)*T+σ*SQRT(T)*$C4712)</f>
        <v>0.76169890414267483</v>
      </c>
      <c r="E4712" s="5">
        <f ca="1">MAX(0,CP*(D4712-K))</f>
        <v>0</v>
      </c>
      <c r="F4712" s="4">
        <f ca="1">(CP*(D4712-K)&gt;0)*1</f>
        <v>0</v>
      </c>
      <c r="H4712" s="4">
        <v>4697</v>
      </c>
      <c r="I4712" s="3">
        <v>0.66770919009395191</v>
      </c>
      <c r="J4712" s="128">
        <v>1.3822416824294365E-3</v>
      </c>
      <c r="K4712" s="128"/>
      <c r="L4712" s="128">
        <v>4.2799999999999998E-2</v>
      </c>
      <c r="O4712" s="2"/>
    </row>
    <row r="4713" spans="2:15" x14ac:dyDescent="0.2">
      <c r="B4713" s="1">
        <f>B4712+1</f>
        <v>4698</v>
      </c>
      <c r="C4713" s="5">
        <f ca="1"/>
        <v>0.55769574806137634</v>
      </c>
      <c r="D4713" s="5">
        <f ca="1">S0*EXP((μ-0.5*σ*σ)*T+σ*SQRT(T)*$C4713)</f>
        <v>0.70206448567834745</v>
      </c>
      <c r="E4713" s="5">
        <f ca="1">MAX(0,CP*(D4713-K))</f>
        <v>0</v>
      </c>
      <c r="F4713" s="4">
        <f ca="1">(CP*(D4713-K)&gt;0)*1</f>
        <v>0</v>
      </c>
      <c r="H4713" s="4">
        <v>4698</v>
      </c>
      <c r="I4713" s="3">
        <v>0.66763422086356428</v>
      </c>
      <c r="J4713" s="128">
        <v>1.210620066992796E-3</v>
      </c>
      <c r="K4713" s="128"/>
      <c r="L4713" s="128">
        <v>3.9600000000000003E-2</v>
      </c>
      <c r="O4713" s="2"/>
    </row>
    <row r="4714" spans="2:15" x14ac:dyDescent="0.2">
      <c r="B4714" s="1">
        <f>B4713+1</f>
        <v>4699</v>
      </c>
      <c r="C4714" s="5">
        <f ca="1"/>
        <v>-1.1030551344320851</v>
      </c>
      <c r="D4714" s="5">
        <f ca="1">S0*EXP((μ-0.5*σ*σ)*T+σ*SQRT(T)*$C4714)</f>
        <v>0.5960329986346028</v>
      </c>
      <c r="E4714" s="5">
        <f ca="1">MAX(0,CP*(D4714-K))</f>
        <v>0</v>
      </c>
      <c r="F4714" s="4">
        <f ca="1">(CP*(D4714-K)&gt;0)*1</f>
        <v>0</v>
      </c>
      <c r="H4714" s="4">
        <v>4699</v>
      </c>
      <c r="I4714" s="3">
        <v>0.66784197983528093</v>
      </c>
      <c r="J4714" s="128">
        <v>1.6201331931501438E-3</v>
      </c>
      <c r="K4714" s="128"/>
      <c r="L4714" s="128">
        <v>4.6800000000000001E-2</v>
      </c>
      <c r="O4714" s="2"/>
    </row>
    <row r="4715" spans="2:15" x14ac:dyDescent="0.2">
      <c r="B4715" s="1">
        <f>B4714+1</f>
        <v>4700</v>
      </c>
      <c r="C4715" s="5">
        <f ca="1"/>
        <v>8.1134017268230579E-2</v>
      </c>
      <c r="D4715" s="5">
        <f ca="1">S0*EXP((μ-0.5*σ*σ)*T+σ*SQRT(T)*$C4715)</f>
        <v>0.66984225511140694</v>
      </c>
      <c r="E4715" s="5">
        <f ca="1">MAX(0,CP*(D4715-K))</f>
        <v>0</v>
      </c>
      <c r="F4715" s="4">
        <f ca="1">(CP*(D4715-K)&gt;0)*1</f>
        <v>0</v>
      </c>
      <c r="H4715" s="4">
        <v>4700</v>
      </c>
      <c r="I4715" s="3">
        <v>0.66795622514256936</v>
      </c>
      <c r="J4715" s="128">
        <v>1.5287180660965227E-3</v>
      </c>
      <c r="K4715" s="128"/>
      <c r="L4715" s="128">
        <v>4.8399999999999999E-2</v>
      </c>
      <c r="O4715" s="2"/>
    </row>
    <row r="4716" spans="2:15" x14ac:dyDescent="0.2">
      <c r="B4716" s="1">
        <f>B4715+1</f>
        <v>4701</v>
      </c>
      <c r="C4716" s="5">
        <f ca="1"/>
        <v>-0.39749791139710489</v>
      </c>
      <c r="D4716" s="5">
        <f ca="1">S0*EXP((μ-0.5*σ*σ)*T+σ*SQRT(T)*$C4716)</f>
        <v>0.63896848489433788</v>
      </c>
      <c r="E4716" s="5">
        <f ca="1">MAX(0,CP*(D4716-K))</f>
        <v>0</v>
      </c>
      <c r="F4716" s="4">
        <f ca="1">(CP*(D4716-K)&gt;0)*1</f>
        <v>0</v>
      </c>
      <c r="H4716" s="4">
        <v>4701</v>
      </c>
      <c r="I4716" s="3">
        <v>0.66779030161460684</v>
      </c>
      <c r="J4716" s="128">
        <v>1.519205917189269E-3</v>
      </c>
      <c r="K4716" s="128"/>
      <c r="L4716" s="128">
        <v>4.7399999999999998E-2</v>
      </c>
      <c r="O4716" s="2"/>
    </row>
    <row r="4717" spans="2:15" x14ac:dyDescent="0.2">
      <c r="B4717" s="1">
        <f>B4716+1</f>
        <v>4702</v>
      </c>
      <c r="C4717" s="5">
        <f ca="1"/>
        <v>-0.14067497266806966</v>
      </c>
      <c r="D4717" s="5">
        <f ca="1">S0*EXP((μ-0.5*σ*σ)*T+σ*SQRT(T)*$C4717)</f>
        <v>0.65535341659932067</v>
      </c>
      <c r="E4717" s="5">
        <f ca="1">MAX(0,CP*(D4717-K))</f>
        <v>0</v>
      </c>
      <c r="F4717" s="4">
        <f ca="1">(CP*(D4717-K)&gt;0)*1</f>
        <v>0</v>
      </c>
      <c r="H4717" s="4">
        <v>4702</v>
      </c>
      <c r="I4717" s="3">
        <v>0.66779001622891743</v>
      </c>
      <c r="J4717" s="128">
        <v>1.3692433699743771E-3</v>
      </c>
      <c r="K4717" s="128"/>
      <c r="L4717" s="128">
        <v>4.1200000000000001E-2</v>
      </c>
      <c r="O4717" s="2"/>
    </row>
    <row r="4718" spans="2:15" x14ac:dyDescent="0.2">
      <c r="B4718" s="1">
        <f>B4717+1</f>
        <v>4703</v>
      </c>
      <c r="C4718" s="5">
        <f ca="1"/>
        <v>-1.4400380052508195</v>
      </c>
      <c r="D4718" s="5">
        <f ca="1">S0*EXP((μ-0.5*σ*σ)*T+σ*SQRT(T)*$C4718)</f>
        <v>0.57655673274309727</v>
      </c>
      <c r="E4718" s="5">
        <f ca="1">MAX(0,CP*(D4718-K))</f>
        <v>0</v>
      </c>
      <c r="F4718" s="4">
        <f ca="1">(CP*(D4718-K)&gt;0)*1</f>
        <v>0</v>
      </c>
      <c r="H4718" s="4">
        <v>4703</v>
      </c>
      <c r="I4718" s="3">
        <v>0.66786453062267714</v>
      </c>
      <c r="J4718" s="128">
        <v>1.5575642886604102E-3</v>
      </c>
      <c r="K4718" s="128"/>
      <c r="L4718" s="128">
        <v>4.3799999999999999E-2</v>
      </c>
      <c r="O4718" s="2"/>
    </row>
    <row r="4719" spans="2:15" x14ac:dyDescent="0.2">
      <c r="B4719" s="1">
        <f>B4718+1</f>
        <v>4704</v>
      </c>
      <c r="C4719" s="5">
        <f ca="1"/>
        <v>-0.96096241122812576</v>
      </c>
      <c r="D4719" s="5">
        <f ca="1">S0*EXP((μ-0.5*σ*σ)*T+σ*SQRT(T)*$C4719)</f>
        <v>0.60444132062622757</v>
      </c>
      <c r="E4719" s="5">
        <f ca="1">MAX(0,CP*(D4719-K))</f>
        <v>0</v>
      </c>
      <c r="F4719" s="4">
        <f ca="1">(CP*(D4719-K)&gt;0)*1</f>
        <v>0</v>
      </c>
      <c r="H4719" s="4">
        <v>4704</v>
      </c>
      <c r="I4719" s="3">
        <v>0.66762656548055077</v>
      </c>
      <c r="J4719" s="128">
        <v>1.3256398982150967E-3</v>
      </c>
      <c r="K4719" s="128"/>
      <c r="L4719" s="128">
        <v>3.78E-2</v>
      </c>
      <c r="O4719" s="2"/>
    </row>
    <row r="4720" spans="2:15" x14ac:dyDescent="0.2">
      <c r="B4720" s="1">
        <f>B4719+1</f>
        <v>4705</v>
      </c>
      <c r="C4720" s="5">
        <f ca="1"/>
        <v>0.57168702478561784</v>
      </c>
      <c r="D4720" s="5">
        <f ca="1">S0*EXP((μ-0.5*σ*σ)*T+σ*SQRT(T)*$C4720)</f>
        <v>0.70303355675375423</v>
      </c>
      <c r="E4720" s="5">
        <f ca="1">MAX(0,CP*(D4720-K))</f>
        <v>0</v>
      </c>
      <c r="F4720" s="4">
        <f ca="1">(CP*(D4720-K)&gt;0)*1</f>
        <v>0</v>
      </c>
      <c r="H4720" s="4">
        <v>4705</v>
      </c>
      <c r="I4720" s="3">
        <v>0.66767474713527164</v>
      </c>
      <c r="J4720" s="128">
        <v>1.3496099981892317E-3</v>
      </c>
      <c r="K4720" s="128"/>
      <c r="L4720" s="128">
        <v>4.2599999999999999E-2</v>
      </c>
      <c r="O4720" s="2"/>
    </row>
    <row r="4721" spans="2:15" x14ac:dyDescent="0.2">
      <c r="B4721" s="1">
        <f>B4720+1</f>
        <v>4706</v>
      </c>
      <c r="C4721" s="5">
        <f ca="1"/>
        <v>1.9209383587103115</v>
      </c>
      <c r="D4721" s="5">
        <f ca="1">S0*EXP((μ-0.5*σ*σ)*T+σ*SQRT(T)*$C4721)</f>
        <v>0.80305555782254323</v>
      </c>
      <c r="E4721" s="5">
        <f ca="1">MAX(0,CP*(D4721-K))</f>
        <v>1.4855557822543219E-2</v>
      </c>
      <c r="F4721" s="4">
        <f ca="1">(CP*(D4721-K)&gt;0)*1</f>
        <v>1</v>
      </c>
      <c r="H4721" s="4">
        <v>4706</v>
      </c>
      <c r="I4721" s="3">
        <v>0.66771131896050051</v>
      </c>
      <c r="J4721" s="128">
        <v>1.3149401425862834E-3</v>
      </c>
      <c r="K4721" s="128"/>
      <c r="L4721" s="128">
        <v>3.9600000000000003E-2</v>
      </c>
      <c r="O4721" s="2"/>
    </row>
    <row r="4722" spans="2:15" x14ac:dyDescent="0.2">
      <c r="B4722" s="1">
        <f>B4721+1</f>
        <v>4707</v>
      </c>
      <c r="C4722" s="5">
        <f ca="1"/>
        <v>0.10089433448130103</v>
      </c>
      <c r="D4722" s="5">
        <f ca="1">S0*EXP((μ-0.5*σ*σ)*T+σ*SQRT(T)*$C4722)</f>
        <v>0.6711484598964883</v>
      </c>
      <c r="E4722" s="5">
        <f ca="1">MAX(0,CP*(D4722-K))</f>
        <v>0</v>
      </c>
      <c r="F4722" s="4">
        <f ca="1">(CP*(D4722-K)&gt;0)*1</f>
        <v>0</v>
      </c>
      <c r="H4722" s="4">
        <v>4707</v>
      </c>
      <c r="I4722" s="3">
        <v>0.66768173328710534</v>
      </c>
      <c r="J4722" s="128">
        <v>1.3413796380748885E-3</v>
      </c>
      <c r="K4722" s="128"/>
      <c r="L4722" s="128">
        <v>4.5999999999999999E-2</v>
      </c>
      <c r="O4722" s="2"/>
    </row>
    <row r="4723" spans="2:15" x14ac:dyDescent="0.2">
      <c r="B4723" s="1">
        <f>B4722+1</f>
        <v>4708</v>
      </c>
      <c r="C4723" s="5">
        <f ca="1"/>
        <v>0.56579111676918925</v>
      </c>
      <c r="D4723" s="5">
        <f ca="1">S0*EXP((μ-0.5*σ*σ)*T+σ*SQRT(T)*$C4723)</f>
        <v>0.70262502834593865</v>
      </c>
      <c r="E4723" s="5">
        <f ca="1">MAX(0,CP*(D4723-K))</f>
        <v>0</v>
      </c>
      <c r="F4723" s="4">
        <f ca="1">(CP*(D4723-K)&gt;0)*1</f>
        <v>0</v>
      </c>
      <c r="H4723" s="4">
        <v>4708</v>
      </c>
      <c r="I4723" s="3">
        <v>0.66780977669886354</v>
      </c>
      <c r="J4723" s="128">
        <v>1.4436128257245286E-3</v>
      </c>
      <c r="K4723" s="128"/>
      <c r="L4723" s="128">
        <v>4.2999999999999997E-2</v>
      </c>
      <c r="O4723" s="2"/>
    </row>
    <row r="4724" spans="2:15" x14ac:dyDescent="0.2">
      <c r="B4724" s="1">
        <f>B4723+1</f>
        <v>4709</v>
      </c>
      <c r="C4724" s="5">
        <f ca="1"/>
        <v>-2.2490433778265038</v>
      </c>
      <c r="D4724" s="5">
        <f ca="1">S0*EXP((μ-0.5*σ*σ)*T+σ*SQRT(T)*$C4724)</f>
        <v>0.5323578699677467</v>
      </c>
      <c r="E4724" s="5">
        <f ca="1">MAX(0,CP*(D4724-K))</f>
        <v>0</v>
      </c>
      <c r="F4724" s="4">
        <f ca="1">(CP*(D4724-K)&gt;0)*1</f>
        <v>0</v>
      </c>
      <c r="H4724" s="4">
        <v>4709</v>
      </c>
      <c r="I4724" s="3">
        <v>0.66775220525597589</v>
      </c>
      <c r="J4724" s="128">
        <v>1.4471356019233766E-3</v>
      </c>
      <c r="K4724" s="128"/>
      <c r="L4724" s="128">
        <v>4.3999999999999997E-2</v>
      </c>
      <c r="O4724" s="2"/>
    </row>
    <row r="4725" spans="2:15" x14ac:dyDescent="0.2">
      <c r="B4725" s="1">
        <f>B4724+1</f>
        <v>4710</v>
      </c>
      <c r="C4725" s="5">
        <f ca="1"/>
        <v>0.62846005495927959</v>
      </c>
      <c r="D4725" s="5">
        <f ca="1">S0*EXP((μ-0.5*σ*σ)*T+σ*SQRT(T)*$C4725)</f>
        <v>0.7069795452419656</v>
      </c>
      <c r="E4725" s="5">
        <f ca="1">MAX(0,CP*(D4725-K))</f>
        <v>0</v>
      </c>
      <c r="F4725" s="4">
        <f ca="1">(CP*(D4725-K)&gt;0)*1</f>
        <v>0</v>
      </c>
      <c r="H4725" s="4">
        <v>4710</v>
      </c>
      <c r="I4725" s="3">
        <v>0.66771629078351136</v>
      </c>
      <c r="J4725" s="128">
        <v>1.4129081659093096E-3</v>
      </c>
      <c r="K4725" s="128"/>
      <c r="L4725" s="128">
        <v>4.1399999999999999E-2</v>
      </c>
      <c r="O4725" s="2"/>
    </row>
    <row r="4726" spans="2:15" x14ac:dyDescent="0.2">
      <c r="B4726" s="1">
        <f>B4725+1</f>
        <v>4711</v>
      </c>
      <c r="C4726" s="5">
        <f ca="1"/>
        <v>-0.32591652850812086</v>
      </c>
      <c r="D4726" s="5">
        <f ca="1">S0*EXP((μ-0.5*σ*σ)*T+σ*SQRT(T)*$C4726)</f>
        <v>0.64349365134439351</v>
      </c>
      <c r="E4726" s="5">
        <f ca="1">MAX(0,CP*(D4726-K))</f>
        <v>0</v>
      </c>
      <c r="F4726" s="4">
        <f ca="1">(CP*(D4726-K)&gt;0)*1</f>
        <v>0</v>
      </c>
      <c r="H4726" s="4">
        <v>4711</v>
      </c>
      <c r="I4726" s="3">
        <v>0.66773811805595928</v>
      </c>
      <c r="J4726" s="128">
        <v>1.4789939713858466E-3</v>
      </c>
      <c r="K4726" s="128"/>
      <c r="L4726" s="128">
        <v>4.3400000000000001E-2</v>
      </c>
      <c r="O4726" s="2"/>
    </row>
    <row r="4727" spans="2:15" x14ac:dyDescent="0.2">
      <c r="B4727" s="1">
        <f>B4726+1</f>
        <v>4712</v>
      </c>
      <c r="C4727" s="5">
        <f ca="1"/>
        <v>3.2276314725098461</v>
      </c>
      <c r="D4727" s="5">
        <f ca="1">S0*EXP((μ-0.5*σ*σ)*T+σ*SQRT(T)*$C4727)</f>
        <v>0.9134671980638186</v>
      </c>
      <c r="E4727" s="5">
        <f ca="1">MAX(0,CP*(D4727-K))</f>
        <v>0.12526719806381859</v>
      </c>
      <c r="F4727" s="4">
        <f ca="1">(CP*(D4727-K)&gt;0)*1</f>
        <v>1</v>
      </c>
      <c r="H4727" s="4">
        <v>4712</v>
      </c>
      <c r="I4727" s="3">
        <v>0.66767744484094471</v>
      </c>
      <c r="J4727" s="128">
        <v>1.2895750289227256E-3</v>
      </c>
      <c r="K4727" s="128"/>
      <c r="L4727" s="128">
        <v>3.8800000000000001E-2</v>
      </c>
      <c r="O4727" s="2"/>
    </row>
    <row r="4728" spans="2:15" x14ac:dyDescent="0.2">
      <c r="B4728" s="1">
        <f>B4727+1</f>
        <v>4713</v>
      </c>
      <c r="C4728" s="5">
        <f ca="1"/>
        <v>1.6959012018520605</v>
      </c>
      <c r="D4728" s="5">
        <f ca="1">S0*EXP((μ-0.5*σ*σ)*T+σ*SQRT(T)*$C4728)</f>
        <v>0.78543527572981986</v>
      </c>
      <c r="E4728" s="5">
        <f ca="1">MAX(0,CP*(D4728-K))</f>
        <v>0</v>
      </c>
      <c r="F4728" s="4">
        <f ca="1">(CP*(D4728-K)&gt;0)*1</f>
        <v>0</v>
      </c>
      <c r="H4728" s="4">
        <v>4713</v>
      </c>
      <c r="I4728" s="3">
        <v>0.6675233318978161</v>
      </c>
      <c r="J4728" s="128">
        <v>1.1001609630823059E-3</v>
      </c>
      <c r="K4728" s="128"/>
      <c r="L4728" s="128">
        <v>3.5999999999999997E-2</v>
      </c>
      <c r="O4728" s="2"/>
    </row>
    <row r="4729" spans="2:15" x14ac:dyDescent="0.2">
      <c r="B4729" s="1">
        <f>B4728+1</f>
        <v>4714</v>
      </c>
      <c r="C4729" s="5">
        <f ca="1"/>
        <v>0.18626729638223416</v>
      </c>
      <c r="D4729" s="5">
        <f ca="1">S0*EXP((μ-0.5*σ*σ)*T+σ*SQRT(T)*$C4729)</f>
        <v>0.67682115724353531</v>
      </c>
      <c r="E4729" s="5">
        <f ca="1">MAX(0,CP*(D4729-K))</f>
        <v>0</v>
      </c>
      <c r="F4729" s="4">
        <f ca="1">(CP*(D4729-K)&gt;0)*1</f>
        <v>0</v>
      </c>
      <c r="H4729" s="4">
        <v>4714</v>
      </c>
      <c r="I4729" s="3">
        <v>0.66781136882149172</v>
      </c>
      <c r="J4729" s="128">
        <v>1.4153057897160156E-3</v>
      </c>
      <c r="K4729" s="128"/>
      <c r="L4729" s="128">
        <v>4.58E-2</v>
      </c>
      <c r="O4729" s="2"/>
    </row>
    <row r="4730" spans="2:15" x14ac:dyDescent="0.2">
      <c r="B4730" s="1">
        <f>B4729+1</f>
        <v>4715</v>
      </c>
      <c r="C4730" s="5">
        <f ca="1"/>
        <v>0.95871191889084206</v>
      </c>
      <c r="D4730" s="5">
        <f ca="1">S0*EXP((μ-0.5*σ*σ)*T+σ*SQRT(T)*$C4730)</f>
        <v>0.73037670066635252</v>
      </c>
      <c r="E4730" s="5">
        <f ca="1">MAX(0,CP*(D4730-K))</f>
        <v>0</v>
      </c>
      <c r="F4730" s="4">
        <f ca="1">(CP*(D4730-K)&gt;0)*1</f>
        <v>0</v>
      </c>
      <c r="H4730" s="4">
        <v>4715</v>
      </c>
      <c r="I4730" s="3">
        <v>0.66773987933856038</v>
      </c>
      <c r="J4730" s="128">
        <v>1.3236137812729898E-3</v>
      </c>
      <c r="K4730" s="128"/>
      <c r="L4730" s="128">
        <v>4.4400000000000002E-2</v>
      </c>
      <c r="O4730" s="2"/>
    </row>
    <row r="4731" spans="2:15" x14ac:dyDescent="0.2">
      <c r="B4731" s="1">
        <f>B4730+1</f>
        <v>4716</v>
      </c>
      <c r="C4731" s="5">
        <f ca="1"/>
        <v>-7.0535326389850259E-2</v>
      </c>
      <c r="D4731" s="5">
        <f ca="1">S0*EXP((μ-0.5*σ*σ)*T+σ*SQRT(T)*$C4731)</f>
        <v>0.65990081782395216</v>
      </c>
      <c r="E4731" s="5">
        <f ca="1">MAX(0,CP*(D4731-K))</f>
        <v>0</v>
      </c>
      <c r="F4731" s="4">
        <f ca="1">(CP*(D4731-K)&gt;0)*1</f>
        <v>0</v>
      </c>
      <c r="H4731" s="4">
        <v>4716</v>
      </c>
      <c r="I4731" s="3">
        <v>0.66784869154954607</v>
      </c>
      <c r="J4731" s="128">
        <v>1.4468402438011453E-3</v>
      </c>
      <c r="K4731" s="128"/>
      <c r="L4731" s="128">
        <v>4.3799999999999999E-2</v>
      </c>
      <c r="O4731" s="2"/>
    </row>
    <row r="4732" spans="2:15" x14ac:dyDescent="0.2">
      <c r="B4732" s="1">
        <f>B4731+1</f>
        <v>4717</v>
      </c>
      <c r="C4732" s="5">
        <f ca="1"/>
        <v>-1.1096910148371417</v>
      </c>
      <c r="D4732" s="5">
        <f ca="1">S0*EXP((μ-0.5*σ*σ)*T+σ*SQRT(T)*$C4732)</f>
        <v>0.59564319263215959</v>
      </c>
      <c r="E4732" s="5">
        <f ca="1">MAX(0,CP*(D4732-K))</f>
        <v>0</v>
      </c>
      <c r="F4732" s="4">
        <f ca="1">(CP*(D4732-K)&gt;0)*1</f>
        <v>0</v>
      </c>
      <c r="H4732" s="4">
        <v>4717</v>
      </c>
      <c r="I4732" s="3">
        <v>0.66789720207619407</v>
      </c>
      <c r="J4732" s="128">
        <v>1.4678775610844426E-3</v>
      </c>
      <c r="K4732" s="128"/>
      <c r="L4732" s="128">
        <v>4.36E-2</v>
      </c>
      <c r="O4732" s="2"/>
    </row>
    <row r="4733" spans="2:15" x14ac:dyDescent="0.2">
      <c r="B4733" s="1">
        <f>B4732+1</f>
        <v>4718</v>
      </c>
      <c r="C4733" s="5">
        <f ca="1"/>
        <v>-0.55993283367414748</v>
      </c>
      <c r="D4733" s="5">
        <f ca="1">S0*EXP((μ-0.5*σ*σ)*T+σ*SQRT(T)*$C4733)</f>
        <v>0.62881750895775446</v>
      </c>
      <c r="E4733" s="5">
        <f ca="1">MAX(0,CP*(D4733-K))</f>
        <v>0</v>
      </c>
      <c r="F4733" s="4">
        <f ca="1">(CP*(D4733-K)&gt;0)*1</f>
        <v>0</v>
      </c>
      <c r="H4733" s="4">
        <v>4718</v>
      </c>
      <c r="I4733" s="3">
        <v>0.66761093881367428</v>
      </c>
      <c r="J4733" s="128">
        <v>1.1797272199292603E-3</v>
      </c>
      <c r="K4733" s="128"/>
      <c r="L4733" s="128">
        <v>3.9399999999999998E-2</v>
      </c>
      <c r="O4733" s="2"/>
    </row>
    <row r="4734" spans="2:15" x14ac:dyDescent="0.2">
      <c r="B4734" s="1">
        <f>B4733+1</f>
        <v>4719</v>
      </c>
      <c r="C4734" s="5">
        <f ca="1"/>
        <v>1.1577156426299389</v>
      </c>
      <c r="D4734" s="5">
        <f ca="1">S0*EXP((μ-0.5*σ*σ)*T+σ*SQRT(T)*$C4734)</f>
        <v>0.74484765158322597</v>
      </c>
      <c r="E4734" s="5">
        <f ca="1">MAX(0,CP*(D4734-K))</f>
        <v>0</v>
      </c>
      <c r="F4734" s="4">
        <f ca="1">(CP*(D4734-K)&gt;0)*1</f>
        <v>0</v>
      </c>
      <c r="H4734" s="4">
        <v>4719</v>
      </c>
      <c r="I4734" s="3">
        <v>0.66781141897586316</v>
      </c>
      <c r="J4734" s="128">
        <v>1.4876331974934011E-3</v>
      </c>
      <c r="K4734" s="128"/>
      <c r="L4734" s="128">
        <v>4.2200000000000001E-2</v>
      </c>
      <c r="O4734" s="2"/>
    </row>
    <row r="4735" spans="2:15" x14ac:dyDescent="0.2">
      <c r="B4735" s="1">
        <f>B4734+1</f>
        <v>4720</v>
      </c>
      <c r="C4735" s="5">
        <f ca="1"/>
        <v>1.272514146445173</v>
      </c>
      <c r="D4735" s="5">
        <f ca="1">S0*EXP((μ-0.5*σ*σ)*T+σ*SQRT(T)*$C4735)</f>
        <v>0.75332549371417012</v>
      </c>
      <c r="E4735" s="5">
        <f ca="1">MAX(0,CP*(D4735-K))</f>
        <v>0</v>
      </c>
      <c r="F4735" s="4">
        <f ca="1">(CP*(D4735-K)&gt;0)*1</f>
        <v>0</v>
      </c>
      <c r="H4735" s="4">
        <v>4720</v>
      </c>
      <c r="I4735" s="3">
        <v>0.66795623907768664</v>
      </c>
      <c r="J4735" s="128">
        <v>1.657940213535289E-3</v>
      </c>
      <c r="K4735" s="128"/>
      <c r="L4735" s="128">
        <v>4.9200000000000001E-2</v>
      </c>
      <c r="O4735" s="2"/>
    </row>
    <row r="4736" spans="2:15" x14ac:dyDescent="0.2">
      <c r="B4736" s="1">
        <f>B4735+1</f>
        <v>4721</v>
      </c>
      <c r="C4736" s="5">
        <f ca="1"/>
        <v>0.13355425760546993</v>
      </c>
      <c r="D4736" s="5">
        <f ca="1">S0*EXP((μ-0.5*σ*σ)*T+σ*SQRT(T)*$C4736)</f>
        <v>0.67331294622868698</v>
      </c>
      <c r="E4736" s="5">
        <f ca="1">MAX(0,CP*(D4736-K))</f>
        <v>0</v>
      </c>
      <c r="F4736" s="4">
        <f ca="1">(CP*(D4736-K)&gt;0)*1</f>
        <v>0</v>
      </c>
      <c r="H4736" s="4">
        <v>4721</v>
      </c>
      <c r="I4736" s="3">
        <v>0.66760858018050684</v>
      </c>
      <c r="J4736" s="128">
        <v>1.0687569000495487E-3</v>
      </c>
      <c r="K4736" s="128"/>
      <c r="L4736" s="128">
        <v>3.9399999999999998E-2</v>
      </c>
      <c r="O4736" s="2"/>
    </row>
    <row r="4737" spans="2:15" x14ac:dyDescent="0.2">
      <c r="B4737" s="1">
        <f>B4736+1</f>
        <v>4722</v>
      </c>
      <c r="C4737" s="5">
        <f ca="1"/>
        <v>0.76660466693989138</v>
      </c>
      <c r="D4737" s="5">
        <f ca="1">S0*EXP((μ-0.5*σ*σ)*T+σ*SQRT(T)*$C4737)</f>
        <v>0.71667399749679295</v>
      </c>
      <c r="E4737" s="5">
        <f ca="1">MAX(0,CP*(D4737-K))</f>
        <v>0</v>
      </c>
      <c r="F4737" s="4">
        <f ca="1">(CP*(D4737-K)&gt;0)*1</f>
        <v>0</v>
      </c>
      <c r="H4737" s="4">
        <v>4722</v>
      </c>
      <c r="I4737" s="3">
        <v>0.66783243538986459</v>
      </c>
      <c r="J4737" s="128">
        <v>1.4103605847424908E-3</v>
      </c>
      <c r="K4737" s="128"/>
      <c r="L4737" s="128">
        <v>4.3999999999999997E-2</v>
      </c>
      <c r="O4737" s="2"/>
    </row>
    <row r="4738" spans="2:15" x14ac:dyDescent="0.2">
      <c r="B4738" s="1">
        <f>B4737+1</f>
        <v>4723</v>
      </c>
      <c r="C4738" s="5">
        <f ca="1"/>
        <v>-1.377085001324643</v>
      </c>
      <c r="D4738" s="5">
        <f ca="1">S0*EXP((μ-0.5*σ*σ)*T+σ*SQRT(T)*$C4738)</f>
        <v>0.5801461886386361</v>
      </c>
      <c r="E4738" s="5">
        <f ca="1">MAX(0,CP*(D4738-K))</f>
        <v>0</v>
      </c>
      <c r="F4738" s="4">
        <f ca="1">(CP*(D4738-K)&gt;0)*1</f>
        <v>0</v>
      </c>
      <c r="H4738" s="4">
        <v>4723</v>
      </c>
      <c r="I4738" s="3">
        <v>0.66766635404690389</v>
      </c>
      <c r="J4738" s="128">
        <v>1.2789505318172218E-3</v>
      </c>
      <c r="K4738" s="128"/>
      <c r="L4738" s="128">
        <v>4.0599999999999997E-2</v>
      </c>
      <c r="O4738" s="2"/>
    </row>
    <row r="4739" spans="2:15" x14ac:dyDescent="0.2">
      <c r="B4739" s="1">
        <f>B4738+1</f>
        <v>4724</v>
      </c>
      <c r="C4739" s="5">
        <f ca="1"/>
        <v>-1.4223945331215002</v>
      </c>
      <c r="D4739" s="5">
        <f ca="1">S0*EXP((μ-0.5*σ*σ)*T+σ*SQRT(T)*$C4739)</f>
        <v>0.57756048281738004</v>
      </c>
      <c r="E4739" s="5">
        <f ca="1">MAX(0,CP*(D4739-K))</f>
        <v>0</v>
      </c>
      <c r="F4739" s="4">
        <f ca="1">(CP*(D4739-K)&gt;0)*1</f>
        <v>0</v>
      </c>
      <c r="H4739" s="4">
        <v>4724</v>
      </c>
      <c r="I4739" s="3">
        <v>0.66777429874250138</v>
      </c>
      <c r="J4739" s="128">
        <v>1.3608453396122876E-3</v>
      </c>
      <c r="K4739" s="128"/>
      <c r="L4739" s="128">
        <v>4.2200000000000001E-2</v>
      </c>
      <c r="O4739" s="2"/>
    </row>
    <row r="4740" spans="2:15" x14ac:dyDescent="0.2">
      <c r="B4740" s="1">
        <f>B4739+1</f>
        <v>4725</v>
      </c>
      <c r="C4740" s="5">
        <f ca="1"/>
        <v>0.29667172704013894</v>
      </c>
      <c r="D4740" s="5">
        <f ca="1">S0*EXP((μ-0.5*σ*σ)*T+σ*SQRT(T)*$C4740)</f>
        <v>0.68422825081088845</v>
      </c>
      <c r="E4740" s="5">
        <f ca="1">MAX(0,CP*(D4740-K))</f>
        <v>0</v>
      </c>
      <c r="F4740" s="4">
        <f ca="1">(CP*(D4740-K)&gt;0)*1</f>
        <v>0</v>
      </c>
      <c r="H4740" s="4">
        <v>4725</v>
      </c>
      <c r="I4740" s="3">
        <v>0.6678404897659318</v>
      </c>
      <c r="J4740" s="128">
        <v>1.541734744115804E-3</v>
      </c>
      <c r="K4740" s="128"/>
      <c r="L4740" s="128">
        <v>4.7199999999999999E-2</v>
      </c>
      <c r="O4740" s="2"/>
    </row>
    <row r="4741" spans="2:15" x14ac:dyDescent="0.2">
      <c r="B4741" s="1">
        <f>B4740+1</f>
        <v>4726</v>
      </c>
      <c r="C4741" s="5">
        <f ca="1"/>
        <v>-0.60463702279014653</v>
      </c>
      <c r="D4741" s="5">
        <f ca="1">S0*EXP((μ-0.5*σ*σ)*T+σ*SQRT(T)*$C4741)</f>
        <v>0.62605223672733568</v>
      </c>
      <c r="E4741" s="5">
        <f ca="1">MAX(0,CP*(D4741-K))</f>
        <v>0</v>
      </c>
      <c r="F4741" s="4">
        <f ca="1">(CP*(D4741-K)&gt;0)*1</f>
        <v>0</v>
      </c>
      <c r="H4741" s="4">
        <v>4726</v>
      </c>
      <c r="I4741" s="3">
        <v>0.66785563739391529</v>
      </c>
      <c r="J4741" s="128">
        <v>1.4681943013958503E-3</v>
      </c>
      <c r="K4741" s="128"/>
      <c r="L4741" s="128">
        <v>4.8399999999999999E-2</v>
      </c>
      <c r="O4741" s="2"/>
    </row>
    <row r="4742" spans="2:15" x14ac:dyDescent="0.2">
      <c r="B4742" s="1">
        <f>B4741+1</f>
        <v>4727</v>
      </c>
      <c r="C4742" s="5">
        <f ca="1"/>
        <v>2.6223257280543377</v>
      </c>
      <c r="D4742" s="5">
        <f ca="1">S0*EXP((μ-0.5*σ*σ)*T+σ*SQRT(T)*$C4742)</f>
        <v>0.86055015981664595</v>
      </c>
      <c r="E4742" s="5">
        <f ca="1">MAX(0,CP*(D4742-K))</f>
        <v>7.2350159816645943E-2</v>
      </c>
      <c r="F4742" s="4">
        <f ca="1">(CP*(D4742-K)&gt;0)*1</f>
        <v>1</v>
      </c>
      <c r="H4742" s="4">
        <v>4727</v>
      </c>
      <c r="I4742" s="3">
        <v>0.66775415019805628</v>
      </c>
      <c r="J4742" s="128">
        <v>1.5445347289272896E-3</v>
      </c>
      <c r="K4742" s="128"/>
      <c r="L4742" s="128">
        <v>4.3999999999999997E-2</v>
      </c>
      <c r="O4742" s="2"/>
    </row>
    <row r="4743" spans="2:15" x14ac:dyDescent="0.2">
      <c r="B4743" s="1">
        <f>B4742+1</f>
        <v>4728</v>
      </c>
      <c r="C4743" s="5">
        <f ca="1"/>
        <v>0.46411491954630607</v>
      </c>
      <c r="D4743" s="5">
        <f ca="1">S0*EXP((μ-0.5*σ*σ)*T+σ*SQRT(T)*$C4743)</f>
        <v>0.69561709817481399</v>
      </c>
      <c r="E4743" s="5">
        <f ca="1">MAX(0,CP*(D4743-K))</f>
        <v>0</v>
      </c>
      <c r="F4743" s="4">
        <f ca="1">(CP*(D4743-K)&gt;0)*1</f>
        <v>0</v>
      </c>
      <c r="H4743" s="4">
        <v>4728</v>
      </c>
      <c r="I4743" s="3">
        <v>0.66778420706126773</v>
      </c>
      <c r="J4743" s="128">
        <v>1.3553840182564526E-3</v>
      </c>
      <c r="K4743" s="128"/>
      <c r="L4743" s="128">
        <v>4.1200000000000001E-2</v>
      </c>
      <c r="O4743" s="2"/>
    </row>
    <row r="4744" spans="2:15" x14ac:dyDescent="0.2">
      <c r="B4744" s="1">
        <f>B4743+1</f>
        <v>4729</v>
      </c>
      <c r="C4744" s="5">
        <f ca="1"/>
        <v>0.3574440981944832</v>
      </c>
      <c r="D4744" s="5">
        <f ca="1">S0*EXP((μ-0.5*σ*σ)*T+σ*SQRT(T)*$C4744)</f>
        <v>0.68834003742177108</v>
      </c>
      <c r="E4744" s="5">
        <f ca="1">MAX(0,CP*(D4744-K))</f>
        <v>0</v>
      </c>
      <c r="F4744" s="4">
        <f ca="1">(CP*(D4744-K)&gt;0)*1</f>
        <v>0</v>
      </c>
      <c r="H4744" s="4">
        <v>4729</v>
      </c>
      <c r="I4744" s="3">
        <v>0.66778649015675895</v>
      </c>
      <c r="J4744" s="128">
        <v>1.3255549768069108E-3</v>
      </c>
      <c r="K4744" s="128"/>
      <c r="L4744" s="128">
        <v>4.1399999999999999E-2</v>
      </c>
      <c r="O4744" s="2"/>
    </row>
    <row r="4745" spans="2:15" x14ac:dyDescent="0.2">
      <c r="B4745" s="1">
        <f>B4744+1</f>
        <v>4730</v>
      </c>
      <c r="C4745" s="5">
        <f ca="1"/>
        <v>-0.97147570048917087</v>
      </c>
      <c r="D4745" s="5">
        <f ca="1">S0*EXP((μ-0.5*σ*σ)*T+σ*SQRT(T)*$C4745)</f>
        <v>0.60381515470019165</v>
      </c>
      <c r="E4745" s="5">
        <f ca="1">MAX(0,CP*(D4745-K))</f>
        <v>0</v>
      </c>
      <c r="F4745" s="4">
        <f ca="1">(CP*(D4745-K)&gt;0)*1</f>
        <v>0</v>
      </c>
      <c r="H4745" s="4">
        <v>4730</v>
      </c>
      <c r="I4745" s="3">
        <v>0.66778268624367687</v>
      </c>
      <c r="J4745" s="128">
        <v>1.3688340291265404E-3</v>
      </c>
      <c r="K4745" s="128"/>
      <c r="L4745" s="128">
        <v>4.48E-2</v>
      </c>
      <c r="O4745" s="2"/>
    </row>
    <row r="4746" spans="2:15" x14ac:dyDescent="0.2">
      <c r="B4746" s="1">
        <f>B4745+1</f>
        <v>4731</v>
      </c>
      <c r="C4746" s="5">
        <f ca="1"/>
        <v>0.38004180692478234</v>
      </c>
      <c r="D4746" s="5">
        <f ca="1">S0*EXP((μ-0.5*σ*σ)*T+σ*SQRT(T)*$C4746)</f>
        <v>0.68987526590645765</v>
      </c>
      <c r="E4746" s="5">
        <f ca="1">MAX(0,CP*(D4746-K))</f>
        <v>0</v>
      </c>
      <c r="F4746" s="4">
        <f ca="1">(CP*(D4746-K)&gt;0)*1</f>
        <v>0</v>
      </c>
      <c r="H4746" s="4">
        <v>4731</v>
      </c>
      <c r="I4746" s="3">
        <v>0.66787499539506556</v>
      </c>
      <c r="J4746" s="128">
        <v>1.5399846384539068E-3</v>
      </c>
      <c r="K4746" s="128"/>
      <c r="L4746" s="128">
        <v>4.36E-2</v>
      </c>
      <c r="O4746" s="2"/>
    </row>
    <row r="4747" spans="2:15" x14ac:dyDescent="0.2">
      <c r="B4747" s="1">
        <f>B4746+1</f>
        <v>4732</v>
      </c>
      <c r="C4747" s="5">
        <f ca="1"/>
        <v>-0.81218956124507968</v>
      </c>
      <c r="D4747" s="5">
        <f ca="1">S0*EXP((μ-0.5*σ*σ)*T+σ*SQRT(T)*$C4747)</f>
        <v>0.61337207963964446</v>
      </c>
      <c r="E4747" s="5">
        <f ca="1">MAX(0,CP*(D4747-K))</f>
        <v>0</v>
      </c>
      <c r="F4747" s="4">
        <f ca="1">(CP*(D4747-K)&gt;0)*1</f>
        <v>0</v>
      </c>
      <c r="H4747" s="4">
        <v>4732</v>
      </c>
      <c r="I4747" s="3">
        <v>0.66769753843749846</v>
      </c>
      <c r="J4747" s="128">
        <v>1.2825589948256447E-3</v>
      </c>
      <c r="K4747" s="128"/>
      <c r="L4747" s="128">
        <v>3.9399999999999998E-2</v>
      </c>
      <c r="O4747" s="2"/>
    </row>
    <row r="4748" spans="2:15" x14ac:dyDescent="0.2">
      <c r="B4748" s="1">
        <f>B4747+1</f>
        <v>4733</v>
      </c>
      <c r="C4748" s="5">
        <f ca="1"/>
        <v>0.33465497402771521</v>
      </c>
      <c r="D4748" s="5">
        <f ca="1">S0*EXP((μ-0.5*σ*σ)*T+σ*SQRT(T)*$C4748)</f>
        <v>0.68679526464214113</v>
      </c>
      <c r="E4748" s="5">
        <f ca="1">MAX(0,CP*(D4748-K))</f>
        <v>0</v>
      </c>
      <c r="F4748" s="4">
        <f ca="1">(CP*(D4748-K)&gt;0)*1</f>
        <v>0</v>
      </c>
      <c r="H4748" s="4">
        <v>4733</v>
      </c>
      <c r="I4748" s="3">
        <v>0.66774723182834939</v>
      </c>
      <c r="J4748" s="128">
        <v>1.3410277553120812E-3</v>
      </c>
      <c r="K4748" s="128"/>
      <c r="L4748" s="128">
        <v>4.4400000000000002E-2</v>
      </c>
      <c r="O4748" s="2"/>
    </row>
    <row r="4749" spans="2:15" x14ac:dyDescent="0.2">
      <c r="B4749" s="1">
        <f>B4748+1</f>
        <v>4734</v>
      </c>
      <c r="C4749" s="5">
        <f ca="1"/>
        <v>0.42162114023172353</v>
      </c>
      <c r="D4749" s="5">
        <f ca="1">S0*EXP((μ-0.5*σ*σ)*T+σ*SQRT(T)*$C4749)</f>
        <v>0.69270900753928077</v>
      </c>
      <c r="E4749" s="5">
        <f ca="1">MAX(0,CP*(D4749-K))</f>
        <v>0</v>
      </c>
      <c r="F4749" s="4">
        <f ca="1">(CP*(D4749-K)&gt;0)*1</f>
        <v>0</v>
      </c>
      <c r="H4749" s="4">
        <v>4734</v>
      </c>
      <c r="I4749" s="3">
        <v>0.66782836230680864</v>
      </c>
      <c r="J4749" s="128">
        <v>1.4600550034095995E-3</v>
      </c>
      <c r="K4749" s="128"/>
      <c r="L4749" s="128">
        <v>4.36E-2</v>
      </c>
      <c r="O4749" s="2"/>
    </row>
    <row r="4750" spans="2:15" x14ac:dyDescent="0.2">
      <c r="B4750" s="1">
        <f>B4749+1</f>
        <v>4735</v>
      </c>
      <c r="C4750" s="5">
        <f ca="1"/>
        <v>0.78007843288088741</v>
      </c>
      <c r="D4750" s="5">
        <f ca="1">S0*EXP((μ-0.5*σ*σ)*T+σ*SQRT(T)*$C4750)</f>
        <v>0.7176266200193151</v>
      </c>
      <c r="E4750" s="5">
        <f ca="1">MAX(0,CP*(D4750-K))</f>
        <v>0</v>
      </c>
      <c r="F4750" s="4">
        <f ca="1">(CP*(D4750-K)&gt;0)*1</f>
        <v>0</v>
      </c>
      <c r="H4750" s="4">
        <v>4735</v>
      </c>
      <c r="I4750" s="3">
        <v>0.66763232308407017</v>
      </c>
      <c r="J4750" s="128">
        <v>1.2448985147628883E-3</v>
      </c>
      <c r="K4750" s="128"/>
      <c r="L4750" s="128">
        <v>3.8199999999999998E-2</v>
      </c>
      <c r="O4750" s="2"/>
    </row>
    <row r="4751" spans="2:15" x14ac:dyDescent="0.2">
      <c r="B4751" s="1">
        <f>B4750+1</f>
        <v>4736</v>
      </c>
      <c r="C4751" s="5">
        <f ca="1"/>
        <v>-0.97578019827904405</v>
      </c>
      <c r="D4751" s="5">
        <f ca="1">S0*EXP((μ-0.5*σ*σ)*T+σ*SQRT(T)*$C4751)</f>
        <v>0.60355896830005229</v>
      </c>
      <c r="E4751" s="5">
        <f ca="1">MAX(0,CP*(D4751-K))</f>
        <v>0</v>
      </c>
      <c r="F4751" s="4">
        <f ca="1">(CP*(D4751-K)&gt;0)*1</f>
        <v>0</v>
      </c>
      <c r="H4751" s="4">
        <v>4736</v>
      </c>
      <c r="I4751" s="3">
        <v>0.66771198971447654</v>
      </c>
      <c r="J4751" s="128">
        <v>1.3741293508434409E-3</v>
      </c>
      <c r="K4751" s="128"/>
      <c r="L4751" s="128">
        <v>3.8600000000000002E-2</v>
      </c>
      <c r="O4751" s="2"/>
    </row>
    <row r="4752" spans="2:15" x14ac:dyDescent="0.2">
      <c r="B4752" s="1">
        <f>B4751+1</f>
        <v>4737</v>
      </c>
      <c r="C4752" s="5">
        <f ca="1"/>
        <v>0.23549345137343242</v>
      </c>
      <c r="D4752" s="5">
        <f ca="1">S0*EXP((μ-0.5*σ*σ)*T+σ*SQRT(T)*$C4752)</f>
        <v>0.68011380915596331</v>
      </c>
      <c r="E4752" s="5">
        <f ca="1">MAX(0,CP*(D4752-K))</f>
        <v>0</v>
      </c>
      <c r="F4752" s="4">
        <f ca="1">(CP*(D4752-K)&gt;0)*1</f>
        <v>0</v>
      </c>
      <c r="H4752" s="4">
        <v>4737</v>
      </c>
      <c r="I4752" s="3">
        <v>0.6675772766828163</v>
      </c>
      <c r="J4752" s="128">
        <v>1.2047611949218139E-3</v>
      </c>
      <c r="K4752" s="128"/>
      <c r="L4752" s="128">
        <v>3.8600000000000002E-2</v>
      </c>
      <c r="O4752" s="2"/>
    </row>
    <row r="4753" spans="2:15" x14ac:dyDescent="0.2">
      <c r="B4753" s="1">
        <f>B4752+1</f>
        <v>4738</v>
      </c>
      <c r="C4753" s="5">
        <f ca="1"/>
        <v>0.54088348894585625</v>
      </c>
      <c r="D4753" s="5">
        <f ca="1">S0*EXP((μ-0.5*σ*σ)*T+σ*SQRT(T)*$C4753)</f>
        <v>0.70090179301276179</v>
      </c>
      <c r="E4753" s="5">
        <f ca="1">MAX(0,CP*(D4753-K))</f>
        <v>0</v>
      </c>
      <c r="F4753" s="4">
        <f ca="1">(CP*(D4753-K)&gt;0)*1</f>
        <v>0</v>
      </c>
      <c r="H4753" s="4">
        <v>4738</v>
      </c>
      <c r="I4753" s="3">
        <v>0.6678960806063069</v>
      </c>
      <c r="J4753" s="128">
        <v>1.5050031588581866E-3</v>
      </c>
      <c r="K4753" s="128"/>
      <c r="L4753" s="128">
        <v>4.2799999999999998E-2</v>
      </c>
      <c r="O4753" s="2"/>
    </row>
    <row r="4754" spans="2:15" x14ac:dyDescent="0.2">
      <c r="B4754" s="1">
        <f>B4753+1</f>
        <v>4739</v>
      </c>
      <c r="C4754" s="5">
        <f ca="1"/>
        <v>2.4693373247276158</v>
      </c>
      <c r="D4754" s="5">
        <f ca="1">S0*EXP((μ-0.5*σ*σ)*T+σ*SQRT(T)*$C4754)</f>
        <v>0.84766809845529234</v>
      </c>
      <c r="E4754" s="5">
        <f ca="1">MAX(0,CP*(D4754-K))</f>
        <v>5.9468098455292329E-2</v>
      </c>
      <c r="F4754" s="4">
        <f ca="1">(CP*(D4754-K)&gt;0)*1</f>
        <v>1</v>
      </c>
      <c r="H4754" s="4">
        <v>4739</v>
      </c>
      <c r="I4754" s="3">
        <v>0.66763969247792521</v>
      </c>
      <c r="J4754" s="128">
        <v>1.2284357221434244E-3</v>
      </c>
      <c r="K4754" s="128"/>
      <c r="L4754" s="128">
        <v>3.8399999999999997E-2</v>
      </c>
      <c r="O4754" s="2"/>
    </row>
    <row r="4755" spans="2:15" x14ac:dyDescent="0.2">
      <c r="B4755" s="1">
        <f>B4754+1</f>
        <v>4740</v>
      </c>
      <c r="C4755" s="5">
        <f ca="1"/>
        <v>0.1891637344002749</v>
      </c>
      <c r="D4755" s="5">
        <f ca="1">S0*EXP((μ-0.5*σ*σ)*T+σ*SQRT(T)*$C4755)</f>
        <v>0.67701445281067263</v>
      </c>
      <c r="E4755" s="5">
        <f ca="1">MAX(0,CP*(D4755-K))</f>
        <v>0</v>
      </c>
      <c r="F4755" s="4">
        <f ca="1">(CP*(D4755-K)&gt;0)*1</f>
        <v>0</v>
      </c>
      <c r="H4755" s="4">
        <v>4740</v>
      </c>
      <c r="I4755" s="3">
        <v>0.66784293402492789</v>
      </c>
      <c r="J4755" s="128">
        <v>1.4877889294854273E-3</v>
      </c>
      <c r="K4755" s="128"/>
      <c r="L4755" s="128">
        <v>4.1399999999999999E-2</v>
      </c>
      <c r="O4755" s="2"/>
    </row>
    <row r="4756" spans="2:15" x14ac:dyDescent="0.2">
      <c r="B4756" s="1">
        <f>B4755+1</f>
        <v>4741</v>
      </c>
      <c r="C4756" s="5">
        <f ca="1"/>
        <v>0.88850122540871745</v>
      </c>
      <c r="D4756" s="5">
        <f ca="1">S0*EXP((μ-0.5*σ*σ)*T+σ*SQRT(T)*$C4756)</f>
        <v>0.72533856694313881</v>
      </c>
      <c r="E4756" s="5">
        <f ca="1">MAX(0,CP*(D4756-K))</f>
        <v>0</v>
      </c>
      <c r="F4756" s="4">
        <f ca="1">(CP*(D4756-K)&gt;0)*1</f>
        <v>0</v>
      </c>
      <c r="H4756" s="4">
        <v>4741</v>
      </c>
      <c r="I4756" s="3">
        <v>0.66764801735727197</v>
      </c>
      <c r="J4756" s="128">
        <v>1.1445728151195734E-3</v>
      </c>
      <c r="K4756" s="128"/>
      <c r="L4756" s="128">
        <v>3.8199999999999998E-2</v>
      </c>
      <c r="O4756" s="2"/>
    </row>
    <row r="4757" spans="2:15" x14ac:dyDescent="0.2">
      <c r="B4757" s="1">
        <f>B4756+1</f>
        <v>4742</v>
      </c>
      <c r="C4757" s="5">
        <f ca="1"/>
        <v>1.1774926079387387</v>
      </c>
      <c r="D4757" s="5">
        <f ca="1">S0*EXP((μ-0.5*σ*σ)*T+σ*SQRT(T)*$C4757)</f>
        <v>0.74630134317716534</v>
      </c>
      <c r="E4757" s="5">
        <f ca="1">MAX(0,CP*(D4757-K))</f>
        <v>0</v>
      </c>
      <c r="F4757" s="4">
        <f ca="1">(CP*(D4757-K)&gt;0)*1</f>
        <v>0</v>
      </c>
      <c r="H4757" s="4">
        <v>4742</v>
      </c>
      <c r="I4757" s="3">
        <v>0.66779326479486478</v>
      </c>
      <c r="J4757" s="128">
        <v>1.3898174294662421E-3</v>
      </c>
      <c r="K4757" s="128"/>
      <c r="L4757" s="128">
        <v>3.9800000000000002E-2</v>
      </c>
      <c r="O4757" s="2"/>
    </row>
    <row r="4758" spans="2:15" x14ac:dyDescent="0.2">
      <c r="B4758" s="1">
        <f>B4757+1</f>
        <v>4743</v>
      </c>
      <c r="C4758" s="5">
        <f ca="1"/>
        <v>1.8564606002205459E-2</v>
      </c>
      <c r="D4758" s="5">
        <f ca="1">S0*EXP((μ-0.5*σ*σ)*T+σ*SQRT(T)*$C4758)</f>
        <v>0.66572301097439279</v>
      </c>
      <c r="E4758" s="5">
        <f ca="1">MAX(0,CP*(D4758-K))</f>
        <v>0</v>
      </c>
      <c r="F4758" s="4">
        <f ca="1">(CP*(D4758-K)&gt;0)*1</f>
        <v>0</v>
      </c>
      <c r="H4758" s="4">
        <v>4743</v>
      </c>
      <c r="I4758" s="3">
        <v>0.6677879120733885</v>
      </c>
      <c r="J4758" s="128">
        <v>1.4833730310253831E-3</v>
      </c>
      <c r="K4758" s="128"/>
      <c r="L4758" s="128">
        <v>4.36E-2</v>
      </c>
      <c r="O4758" s="2"/>
    </row>
    <row r="4759" spans="2:15" x14ac:dyDescent="0.2">
      <c r="B4759" s="1">
        <f>B4758+1</f>
        <v>4744</v>
      </c>
      <c r="C4759" s="5">
        <f ca="1"/>
        <v>-1.7659009141711144</v>
      </c>
      <c r="D4759" s="5">
        <f ca="1">S0*EXP((μ-0.5*σ*σ)*T+σ*SQRT(T)*$C4759)</f>
        <v>0.5583286369456173</v>
      </c>
      <c r="E4759" s="5">
        <f ca="1">MAX(0,CP*(D4759-K))</f>
        <v>0</v>
      </c>
      <c r="F4759" s="4">
        <f ca="1">(CP*(D4759-K)&gt;0)*1</f>
        <v>0</v>
      </c>
      <c r="H4759" s="4">
        <v>4744</v>
      </c>
      <c r="I4759" s="3">
        <v>0.66777832217812993</v>
      </c>
      <c r="J4759" s="128">
        <v>1.5569611321663076E-3</v>
      </c>
      <c r="K4759" s="128"/>
      <c r="L4759" s="128">
        <v>4.2000000000000003E-2</v>
      </c>
      <c r="O4759" s="2"/>
    </row>
    <row r="4760" spans="2:15" x14ac:dyDescent="0.2">
      <c r="B4760" s="1">
        <f>B4759+1</f>
        <v>4745</v>
      </c>
      <c r="C4760" s="5">
        <f ca="1"/>
        <v>-0.27477726529435553</v>
      </c>
      <c r="D4760" s="5">
        <f ca="1">S0*EXP((μ-0.5*σ*σ)*T+σ*SQRT(T)*$C4760)</f>
        <v>0.64674613934440883</v>
      </c>
      <c r="E4760" s="5">
        <f ca="1">MAX(0,CP*(D4760-K))</f>
        <v>0</v>
      </c>
      <c r="F4760" s="4">
        <f ca="1">(CP*(D4760-K)&gt;0)*1</f>
        <v>0</v>
      </c>
      <c r="H4760" s="4">
        <v>4745</v>
      </c>
      <c r="I4760" s="3">
        <v>0.66773109920732099</v>
      </c>
      <c r="J4760" s="128">
        <v>1.2976327186857023E-3</v>
      </c>
      <c r="K4760" s="128"/>
      <c r="L4760" s="128">
        <v>4.1799999999999997E-2</v>
      </c>
      <c r="O4760" s="2"/>
    </row>
    <row r="4761" spans="2:15" x14ac:dyDescent="0.2">
      <c r="B4761" s="1">
        <f>B4760+1</f>
        <v>4746</v>
      </c>
      <c r="C4761" s="5">
        <f ca="1"/>
        <v>-0.82534269866318799</v>
      </c>
      <c r="D4761" s="5">
        <f ca="1">S0*EXP((μ-0.5*σ*σ)*T+σ*SQRT(T)*$C4761)</f>
        <v>0.61257721435581658</v>
      </c>
      <c r="E4761" s="5">
        <f ca="1">MAX(0,CP*(D4761-K))</f>
        <v>0</v>
      </c>
      <c r="F4761" s="4">
        <f ca="1">(CP*(D4761-K)&gt;0)*1</f>
        <v>0</v>
      </c>
      <c r="H4761" s="4">
        <v>4746</v>
      </c>
      <c r="I4761" s="3">
        <v>0.66761812529273046</v>
      </c>
      <c r="J4761" s="128">
        <v>1.2080376969123875E-3</v>
      </c>
      <c r="K4761" s="128"/>
      <c r="L4761" s="128">
        <v>4.02E-2</v>
      </c>
      <c r="O4761" s="2"/>
    </row>
    <row r="4762" spans="2:15" x14ac:dyDescent="0.2">
      <c r="B4762" s="1">
        <f>B4761+1</f>
        <v>4747</v>
      </c>
      <c r="C4762" s="5">
        <f ca="1"/>
        <v>-1.3475448660117904</v>
      </c>
      <c r="D4762" s="5">
        <f ca="1">S0*EXP((μ-0.5*σ*σ)*T+σ*SQRT(T)*$C4762)</f>
        <v>0.58183820357665406</v>
      </c>
      <c r="E4762" s="5">
        <f ca="1">MAX(0,CP*(D4762-K))</f>
        <v>0</v>
      </c>
      <c r="F4762" s="4">
        <f ca="1">(CP*(D4762-K)&gt;0)*1</f>
        <v>0</v>
      </c>
      <c r="H4762" s="4">
        <v>4747</v>
      </c>
      <c r="I4762" s="3">
        <v>0.66786313609131764</v>
      </c>
      <c r="J4762" s="128">
        <v>1.6151029161453258E-3</v>
      </c>
      <c r="K4762" s="128"/>
      <c r="L4762" s="128">
        <v>4.2200000000000001E-2</v>
      </c>
      <c r="O4762" s="2"/>
    </row>
    <row r="4763" spans="2:15" x14ac:dyDescent="0.2">
      <c r="B4763" s="1">
        <f>B4762+1</f>
        <v>4748</v>
      </c>
      <c r="C4763" s="5">
        <f ca="1"/>
        <v>-0.11638249018679225</v>
      </c>
      <c r="D4763" s="5">
        <f ca="1">S0*EXP((μ-0.5*σ*σ)*T+σ*SQRT(T)*$C4763)</f>
        <v>0.65692482598892743</v>
      </c>
      <c r="E4763" s="5">
        <f ca="1">MAX(0,CP*(D4763-K))</f>
        <v>0</v>
      </c>
      <c r="F4763" s="4">
        <f ca="1">(CP*(D4763-K)&gt;0)*1</f>
        <v>0</v>
      </c>
      <c r="H4763" s="4">
        <v>4748</v>
      </c>
      <c r="I4763" s="3">
        <v>0.66790792899796392</v>
      </c>
      <c r="J4763" s="128">
        <v>1.4376356052431107E-3</v>
      </c>
      <c r="K4763" s="128"/>
      <c r="L4763" s="128">
        <v>4.6600000000000003E-2</v>
      </c>
      <c r="O4763" s="2"/>
    </row>
    <row r="4764" spans="2:15" x14ac:dyDescent="0.2">
      <c r="B4764" s="1">
        <f>B4763+1</f>
        <v>4749</v>
      </c>
      <c r="C4764" s="5">
        <f ca="1"/>
        <v>1.3294398522903049E-3</v>
      </c>
      <c r="D4764" s="5">
        <f ca="1">S0*EXP((μ-0.5*σ*σ)*T+σ*SQRT(T)*$C4764)</f>
        <v>0.66459279394779491</v>
      </c>
      <c r="E4764" s="5">
        <f ca="1">MAX(0,CP*(D4764-K))</f>
        <v>0</v>
      </c>
      <c r="F4764" s="4">
        <f ca="1">(CP*(D4764-K)&gt;0)*1</f>
        <v>0</v>
      </c>
      <c r="H4764" s="4">
        <v>4749</v>
      </c>
      <c r="I4764" s="3">
        <v>0.66778475617372701</v>
      </c>
      <c r="J4764" s="128">
        <v>1.3893880416158823E-3</v>
      </c>
      <c r="K4764" s="128"/>
      <c r="L4764" s="128">
        <v>4.5400000000000003E-2</v>
      </c>
      <c r="O4764" s="2"/>
    </row>
    <row r="4765" spans="2:15" x14ac:dyDescent="0.2">
      <c r="B4765" s="1">
        <f>B4764+1</f>
        <v>4750</v>
      </c>
      <c r="C4765" s="5">
        <f ca="1"/>
        <v>0.56885949595092555</v>
      </c>
      <c r="D4765" s="5">
        <f ca="1">S0*EXP((μ-0.5*σ*σ)*T+σ*SQRT(T)*$C4765)</f>
        <v>0.70283760719597532</v>
      </c>
      <c r="E4765" s="5">
        <f ca="1">MAX(0,CP*(D4765-K))</f>
        <v>0</v>
      </c>
      <c r="F4765" s="4">
        <f ca="1">(CP*(D4765-K)&gt;0)*1</f>
        <v>0</v>
      </c>
      <c r="H4765" s="4">
        <v>4750</v>
      </c>
      <c r="I4765" s="3">
        <v>0.66776007702320606</v>
      </c>
      <c r="J4765" s="128">
        <v>1.3845733233399339E-3</v>
      </c>
      <c r="K4765" s="128"/>
      <c r="L4765" s="128">
        <v>4.0800000000000003E-2</v>
      </c>
      <c r="O4765" s="2"/>
    </row>
    <row r="4766" spans="2:15" x14ac:dyDescent="0.2">
      <c r="B4766" s="1">
        <f>B4765+1</f>
        <v>4751</v>
      </c>
      <c r="C4766" s="5">
        <f ca="1"/>
        <v>1.191286664005252</v>
      </c>
      <c r="D4766" s="5">
        <f ca="1">S0*EXP((μ-0.5*σ*σ)*T+σ*SQRT(T)*$C4766)</f>
        <v>0.74731694452190423</v>
      </c>
      <c r="E4766" s="5">
        <f ca="1">MAX(0,CP*(D4766-K))</f>
        <v>0</v>
      </c>
      <c r="F4766" s="4">
        <f ca="1">(CP*(D4766-K)&gt;0)*1</f>
        <v>0</v>
      </c>
      <c r="H4766" s="4">
        <v>4751</v>
      </c>
      <c r="I4766" s="3">
        <v>0.66788039827593704</v>
      </c>
      <c r="J4766" s="128">
        <v>1.6253619443526229E-3</v>
      </c>
      <c r="K4766" s="128"/>
      <c r="L4766" s="128">
        <v>4.7399999999999998E-2</v>
      </c>
      <c r="O4766" s="2"/>
    </row>
    <row r="4767" spans="2:15" x14ac:dyDescent="0.2">
      <c r="B4767" s="1">
        <f>B4766+1</f>
        <v>4752</v>
      </c>
      <c r="C4767" s="5">
        <f ca="1"/>
        <v>-0.84876712498809426</v>
      </c>
      <c r="D4767" s="5">
        <f ca="1">S0*EXP((μ-0.5*σ*σ)*T+σ*SQRT(T)*$C4767)</f>
        <v>0.61116418836825892</v>
      </c>
      <c r="E4767" s="5">
        <f ca="1">MAX(0,CP*(D4767-K))</f>
        <v>0</v>
      </c>
      <c r="F4767" s="4">
        <f ca="1">(CP*(D4767-K)&gt;0)*1</f>
        <v>0</v>
      </c>
      <c r="H4767" s="4">
        <v>4752</v>
      </c>
      <c r="I4767" s="3">
        <v>0.66762625886398985</v>
      </c>
      <c r="J4767" s="128">
        <v>1.2322124873964701E-3</v>
      </c>
      <c r="K4767" s="128"/>
      <c r="L4767" s="128">
        <v>4.2200000000000001E-2</v>
      </c>
      <c r="O4767" s="2"/>
    </row>
    <row r="4768" spans="2:15" x14ac:dyDescent="0.2">
      <c r="B4768" s="1">
        <f>B4767+1</f>
        <v>4753</v>
      </c>
      <c r="C4768" s="5">
        <f ca="1"/>
        <v>-1.9180790580654017</v>
      </c>
      <c r="D4768" s="5">
        <f ca="1">S0*EXP((μ-0.5*σ*σ)*T+σ*SQRT(T)*$C4768)</f>
        <v>0.55001463444716492</v>
      </c>
      <c r="E4768" s="5">
        <f ca="1">MAX(0,CP*(D4768-K))</f>
        <v>0</v>
      </c>
      <c r="F4768" s="4">
        <f ca="1">(CP*(D4768-K)&gt;0)*1</f>
        <v>0</v>
      </c>
      <c r="H4768" s="4">
        <v>4753</v>
      </c>
      <c r="I4768" s="3">
        <v>0.66761203302127492</v>
      </c>
      <c r="J4768" s="128">
        <v>1.1791681483562398E-3</v>
      </c>
      <c r="K4768" s="128"/>
      <c r="L4768" s="128">
        <v>3.5000000000000003E-2</v>
      </c>
      <c r="O4768" s="2"/>
    </row>
    <row r="4769" spans="2:15" x14ac:dyDescent="0.2">
      <c r="B4769" s="1">
        <f>B4768+1</f>
        <v>4754</v>
      </c>
      <c r="C4769" s="5">
        <f ca="1"/>
        <v>-0.69176751383892121</v>
      </c>
      <c r="D4769" s="5">
        <f ca="1">S0*EXP((μ-0.5*σ*σ)*T+σ*SQRT(T)*$C4769)</f>
        <v>0.62069749535672836</v>
      </c>
      <c r="E4769" s="5">
        <f ca="1">MAX(0,CP*(D4769-K))</f>
        <v>0</v>
      </c>
      <c r="F4769" s="4">
        <f ca="1">(CP*(D4769-K)&gt;0)*1</f>
        <v>0</v>
      </c>
      <c r="H4769" s="4">
        <v>4754</v>
      </c>
      <c r="I4769" s="3">
        <v>0.66767281768942144</v>
      </c>
      <c r="J4769" s="128">
        <v>1.224730233266238E-3</v>
      </c>
      <c r="K4769" s="128"/>
      <c r="L4769" s="128">
        <v>3.9399999999999998E-2</v>
      </c>
      <c r="O4769" s="2"/>
    </row>
    <row r="4770" spans="2:15" x14ac:dyDescent="0.2">
      <c r="B4770" s="1">
        <f>B4769+1</f>
        <v>4755</v>
      </c>
      <c r="C4770" s="5">
        <f ca="1"/>
        <v>0.8153489110912715</v>
      </c>
      <c r="D4770" s="5">
        <f ca="1">S0*EXP((μ-0.5*σ*σ)*T+σ*SQRT(T)*$C4770)</f>
        <v>0.72012631430813745</v>
      </c>
      <c r="E4770" s="5">
        <f ca="1">MAX(0,CP*(D4770-K))</f>
        <v>0</v>
      </c>
      <c r="F4770" s="4">
        <f ca="1">(CP*(D4770-K)&gt;0)*1</f>
        <v>0</v>
      </c>
      <c r="H4770" s="4">
        <v>4755</v>
      </c>
      <c r="I4770" s="3">
        <v>0.66773294297217589</v>
      </c>
      <c r="J4770" s="128">
        <v>1.2840422983982423E-3</v>
      </c>
      <c r="K4770" s="128"/>
      <c r="L4770" s="128">
        <v>4.1399999999999999E-2</v>
      </c>
      <c r="O4770" s="2"/>
    </row>
    <row r="4771" spans="2:15" x14ac:dyDescent="0.2">
      <c r="B4771" s="1">
        <f>B4770+1</f>
        <v>4756</v>
      </c>
      <c r="C4771" s="5">
        <f ca="1"/>
        <v>1.7062494179699197</v>
      </c>
      <c r="D4771" s="5">
        <f ca="1">S0*EXP((μ-0.5*σ*σ)*T+σ*SQRT(T)*$C4771)</f>
        <v>0.78623698917440521</v>
      </c>
      <c r="E4771" s="5">
        <f ca="1">MAX(0,CP*(D4771-K))</f>
        <v>0</v>
      </c>
      <c r="F4771" s="4">
        <f ca="1">(CP*(D4771-K)&gt;0)*1</f>
        <v>0</v>
      </c>
      <c r="H4771" s="4">
        <v>4756</v>
      </c>
      <c r="I4771" s="3">
        <v>0.66758795616815336</v>
      </c>
      <c r="J4771" s="128">
        <v>1.3319106393024774E-3</v>
      </c>
      <c r="K4771" s="128"/>
      <c r="L4771" s="128">
        <v>4.1200000000000001E-2</v>
      </c>
      <c r="O4771" s="2"/>
    </row>
    <row r="4772" spans="2:15" x14ac:dyDescent="0.2">
      <c r="B4772" s="1">
        <f>B4771+1</f>
        <v>4757</v>
      </c>
      <c r="C4772" s="5">
        <f ca="1"/>
        <v>0.75167433657995808</v>
      </c>
      <c r="D4772" s="5">
        <f ca="1">S0*EXP((μ-0.5*σ*σ)*T+σ*SQRT(T)*$C4772)</f>
        <v>0.71561986986832926</v>
      </c>
      <c r="E4772" s="5">
        <f ca="1">MAX(0,CP*(D4772-K))</f>
        <v>0</v>
      </c>
      <c r="F4772" s="4">
        <f ca="1">(CP*(D4772-K)&gt;0)*1</f>
        <v>0</v>
      </c>
      <c r="H4772" s="4">
        <v>4757</v>
      </c>
      <c r="I4772" s="3">
        <v>0.66759806528044341</v>
      </c>
      <c r="J4772" s="128">
        <v>1.1306095687451162E-3</v>
      </c>
      <c r="K4772" s="128"/>
      <c r="L4772" s="128">
        <v>3.6799999999999999E-2</v>
      </c>
      <c r="O4772" s="2"/>
    </row>
    <row r="4773" spans="2:15" x14ac:dyDescent="0.2">
      <c r="B4773" s="1">
        <f>B4772+1</f>
        <v>4758</v>
      </c>
      <c r="C4773" s="5">
        <f ca="1"/>
        <v>1.1255602600024928</v>
      </c>
      <c r="D4773" s="5">
        <f ca="1">S0*EXP((μ-0.5*σ*σ)*T+σ*SQRT(T)*$C4773)</f>
        <v>0.74249013555195442</v>
      </c>
      <c r="E4773" s="5">
        <f ca="1">MAX(0,CP*(D4773-K))</f>
        <v>0</v>
      </c>
      <c r="F4773" s="4">
        <f ca="1">(CP*(D4773-K)&gt;0)*1</f>
        <v>0</v>
      </c>
      <c r="H4773" s="4">
        <v>4758</v>
      </c>
      <c r="I4773" s="3">
        <v>0.66794736929917942</v>
      </c>
      <c r="J4773" s="128">
        <v>1.5161302782625093E-3</v>
      </c>
      <c r="K4773" s="128"/>
      <c r="L4773" s="128">
        <v>4.7600000000000003E-2</v>
      </c>
      <c r="O4773" s="2"/>
    </row>
    <row r="4774" spans="2:15" x14ac:dyDescent="0.2">
      <c r="B4774" s="1">
        <f>B4773+1</f>
        <v>4759</v>
      </c>
      <c r="C4774" s="5">
        <f ca="1"/>
        <v>-2.9513670276915178</v>
      </c>
      <c r="D4774" s="5">
        <f ca="1">S0*EXP((μ-0.5*σ*σ)*T+σ*SQRT(T)*$C4774)</f>
        <v>0.49674441561016758</v>
      </c>
      <c r="E4774" s="5">
        <f ca="1">MAX(0,CP*(D4774-K))</f>
        <v>0</v>
      </c>
      <c r="F4774" s="4">
        <f ca="1">(CP*(D4774-K)&gt;0)*1</f>
        <v>0</v>
      </c>
      <c r="H4774" s="4">
        <v>4759</v>
      </c>
      <c r="I4774" s="3">
        <v>0.66775406097076706</v>
      </c>
      <c r="J4774" s="128">
        <v>1.4182704988791605E-3</v>
      </c>
      <c r="K4774" s="128"/>
      <c r="L4774" s="128">
        <v>4.2599999999999999E-2</v>
      </c>
      <c r="O4774" s="2"/>
    </row>
    <row r="4775" spans="2:15" x14ac:dyDescent="0.2">
      <c r="B4775" s="1">
        <f>B4774+1</f>
        <v>4760</v>
      </c>
      <c r="C4775" s="5">
        <f ca="1"/>
        <v>-1.089157497893668</v>
      </c>
      <c r="D4775" s="5">
        <f ca="1">S0*EXP((μ-0.5*σ*σ)*T+σ*SQRT(T)*$C4775)</f>
        <v>0.59685020272009326</v>
      </c>
      <c r="E4775" s="5">
        <f ca="1">MAX(0,CP*(D4775-K))</f>
        <v>0</v>
      </c>
      <c r="F4775" s="4">
        <f ca="1">(CP*(D4775-K)&gt;0)*1</f>
        <v>0</v>
      </c>
      <c r="H4775" s="4">
        <v>4760</v>
      </c>
      <c r="I4775" s="3">
        <v>0.66770191832808545</v>
      </c>
      <c r="J4775" s="128">
        <v>1.3074814286486896E-3</v>
      </c>
      <c r="K4775" s="128"/>
      <c r="L4775" s="128">
        <v>4.2200000000000001E-2</v>
      </c>
      <c r="O4775" s="2"/>
    </row>
    <row r="4776" spans="2:15" x14ac:dyDescent="0.2">
      <c r="B4776" s="1">
        <f>B4775+1</f>
        <v>4761</v>
      </c>
      <c r="C4776" s="5">
        <f ca="1"/>
        <v>0.31857912420342177</v>
      </c>
      <c r="D4776" s="5">
        <f ca="1">S0*EXP((μ-0.5*σ*σ)*T+σ*SQRT(T)*$C4776)</f>
        <v>0.68570764048064403</v>
      </c>
      <c r="E4776" s="5">
        <f ca="1">MAX(0,CP*(D4776-K))</f>
        <v>0</v>
      </c>
      <c r="F4776" s="4">
        <f ca="1">(CP*(D4776-K)&gt;0)*1</f>
        <v>0</v>
      </c>
      <c r="H4776" s="4">
        <v>4761</v>
      </c>
      <c r="I4776" s="3">
        <v>0.66788792442229494</v>
      </c>
      <c r="J4776" s="128">
        <v>1.5167330341763459E-3</v>
      </c>
      <c r="K4776" s="128"/>
      <c r="L4776" s="128">
        <v>4.4600000000000001E-2</v>
      </c>
      <c r="O4776" s="2"/>
    </row>
    <row r="4777" spans="2:15" x14ac:dyDescent="0.2">
      <c r="B4777" s="1">
        <f>B4776+1</f>
        <v>4762</v>
      </c>
      <c r="C4777" s="5">
        <f ca="1"/>
        <v>-0.64381470999344625</v>
      </c>
      <c r="D4777" s="5">
        <f ca="1">S0*EXP((μ-0.5*σ*σ)*T+σ*SQRT(T)*$C4777)</f>
        <v>0.62363881820953626</v>
      </c>
      <c r="E4777" s="5">
        <f ca="1">MAX(0,CP*(D4777-K))</f>
        <v>0</v>
      </c>
      <c r="F4777" s="4">
        <f ca="1">(CP*(D4777-K)&gt;0)*1</f>
        <v>0</v>
      </c>
      <c r="H4777" s="4">
        <v>4762</v>
      </c>
      <c r="I4777" s="3">
        <v>0.66781215571537655</v>
      </c>
      <c r="J4777" s="128">
        <v>1.4536884936237654E-3</v>
      </c>
      <c r="K4777" s="128"/>
      <c r="L4777" s="128">
        <v>4.2200000000000001E-2</v>
      </c>
      <c r="O4777" s="2"/>
    </row>
    <row r="4778" spans="2:15" x14ac:dyDescent="0.2">
      <c r="B4778" s="1">
        <f>B4777+1</f>
        <v>4763</v>
      </c>
      <c r="C4778" s="5">
        <f ca="1"/>
        <v>1.3860416626645282</v>
      </c>
      <c r="D4778" s="5">
        <f ca="1">S0*EXP((μ-0.5*σ*σ)*T+σ*SQRT(T)*$C4778)</f>
        <v>0.76180436778956406</v>
      </c>
      <c r="E4778" s="5">
        <f ca="1">MAX(0,CP*(D4778-K))</f>
        <v>0</v>
      </c>
      <c r="F4778" s="4">
        <f ca="1">(CP*(D4778-K)&gt;0)*1</f>
        <v>0</v>
      </c>
      <c r="H4778" s="4">
        <v>4763</v>
      </c>
      <c r="I4778" s="3">
        <v>0.66779177109810317</v>
      </c>
      <c r="J4778" s="128">
        <v>1.5359507584754505E-3</v>
      </c>
      <c r="K4778" s="128"/>
      <c r="L4778" s="128">
        <v>4.4600000000000001E-2</v>
      </c>
      <c r="O4778" s="2"/>
    </row>
    <row r="4779" spans="2:15" x14ac:dyDescent="0.2">
      <c r="B4779" s="1">
        <f>B4778+1</f>
        <v>4764</v>
      </c>
      <c r="C4779" s="5">
        <f ca="1"/>
        <v>-1.4089317253058273</v>
      </c>
      <c r="D4779" s="5">
        <f ca="1">S0*EXP((μ-0.5*σ*σ)*T+σ*SQRT(T)*$C4779)</f>
        <v>0.57832756709452993</v>
      </c>
      <c r="E4779" s="5">
        <f ca="1">MAX(0,CP*(D4779-K))</f>
        <v>0</v>
      </c>
      <c r="F4779" s="4">
        <f ca="1">(CP*(D4779-K)&gt;0)*1</f>
        <v>0</v>
      </c>
      <c r="H4779" s="4">
        <v>4764</v>
      </c>
      <c r="I4779" s="3">
        <v>0.66781273172475009</v>
      </c>
      <c r="J4779" s="128">
        <v>1.5176222024094552E-3</v>
      </c>
      <c r="K4779" s="128"/>
      <c r="L4779" s="128">
        <v>4.5199999999999997E-2</v>
      </c>
      <c r="O4779" s="2"/>
    </row>
    <row r="4780" spans="2:15" x14ac:dyDescent="0.2">
      <c r="B4780" s="1">
        <f>B4779+1</f>
        <v>4765</v>
      </c>
      <c r="C4780" s="5">
        <f ca="1"/>
        <v>0.40687194657964687</v>
      </c>
      <c r="D4780" s="5">
        <f ca="1">S0*EXP((μ-0.5*σ*σ)*T+σ*SQRT(T)*$C4780)</f>
        <v>0.69170248125407474</v>
      </c>
      <c r="E4780" s="5">
        <f ca="1">MAX(0,CP*(D4780-K))</f>
        <v>0</v>
      </c>
      <c r="F4780" s="4">
        <f ca="1">(CP*(D4780-K)&gt;0)*1</f>
        <v>0</v>
      </c>
      <c r="H4780" s="4">
        <v>4765</v>
      </c>
      <c r="I4780" s="3">
        <v>0.66758478345080563</v>
      </c>
      <c r="J4780" s="128">
        <v>1.1306903062228762E-3</v>
      </c>
      <c r="K4780" s="128"/>
      <c r="L4780" s="128">
        <v>4.0599999999999997E-2</v>
      </c>
      <c r="O4780" s="2"/>
    </row>
    <row r="4781" spans="2:15" x14ac:dyDescent="0.2">
      <c r="B4781" s="1">
        <f>B4780+1</f>
        <v>4766</v>
      </c>
      <c r="C4781" s="5">
        <f ca="1"/>
        <v>0.61278574773208172</v>
      </c>
      <c r="D4781" s="5">
        <f ca="1">S0*EXP((μ-0.5*σ*σ)*T+σ*SQRT(T)*$C4781)</f>
        <v>0.70588790028723059</v>
      </c>
      <c r="E4781" s="5">
        <f ca="1">MAX(0,CP*(D4781-K))</f>
        <v>0</v>
      </c>
      <c r="F4781" s="4">
        <f ca="1">(CP*(D4781-K)&gt;0)*1</f>
        <v>0</v>
      </c>
      <c r="H4781" s="4">
        <v>4766</v>
      </c>
      <c r="I4781" s="3">
        <v>0.66765314343311111</v>
      </c>
      <c r="J4781" s="128">
        <v>1.2698218455350506E-3</v>
      </c>
      <c r="K4781" s="128"/>
      <c r="L4781" s="128">
        <v>0.04</v>
      </c>
      <c r="O4781" s="2"/>
    </row>
    <row r="4782" spans="2:15" x14ac:dyDescent="0.2">
      <c r="B4782" s="1">
        <f>B4781+1</f>
        <v>4767</v>
      </c>
      <c r="C4782" s="5">
        <f ca="1"/>
        <v>1.4383136585190957</v>
      </c>
      <c r="D4782" s="5">
        <f ca="1">S0*EXP((μ-0.5*σ*σ)*T+σ*SQRT(T)*$C4782)</f>
        <v>0.76574035592730794</v>
      </c>
      <c r="E4782" s="5">
        <f ca="1">MAX(0,CP*(D4782-K))</f>
        <v>0</v>
      </c>
      <c r="F4782" s="4">
        <f ca="1">(CP*(D4782-K)&gt;0)*1</f>
        <v>0</v>
      </c>
      <c r="H4782" s="4">
        <v>4767</v>
      </c>
      <c r="I4782" s="3">
        <v>0.66765689945152462</v>
      </c>
      <c r="J4782" s="128">
        <v>1.4113866077808403E-3</v>
      </c>
      <c r="K4782" s="128"/>
      <c r="L4782" s="128">
        <v>3.7999999999999999E-2</v>
      </c>
      <c r="O4782" s="2"/>
    </row>
    <row r="4783" spans="2:15" x14ac:dyDescent="0.2">
      <c r="B4783" s="1">
        <f>B4782+1</f>
        <v>4768</v>
      </c>
      <c r="C4783" s="5">
        <f ca="1"/>
        <v>-0.23459283774061296</v>
      </c>
      <c r="D4783" s="5">
        <f ca="1">S0*EXP((μ-0.5*σ*σ)*T+σ*SQRT(T)*$C4783)</f>
        <v>0.64931342328176067</v>
      </c>
      <c r="E4783" s="5">
        <f ca="1">MAX(0,CP*(D4783-K))</f>
        <v>0</v>
      </c>
      <c r="F4783" s="4">
        <f ca="1">(CP*(D4783-K)&gt;0)*1</f>
        <v>0</v>
      </c>
      <c r="H4783" s="4">
        <v>4768</v>
      </c>
      <c r="I4783" s="3">
        <v>0.6677822848405055</v>
      </c>
      <c r="J4783" s="128">
        <v>1.4594248405537188E-3</v>
      </c>
      <c r="K4783" s="128"/>
      <c r="L4783" s="128">
        <v>4.3400000000000001E-2</v>
      </c>
      <c r="O4783" s="2"/>
    </row>
    <row r="4784" spans="2:15" x14ac:dyDescent="0.2">
      <c r="B4784" s="1">
        <f>B4783+1</f>
        <v>4769</v>
      </c>
      <c r="C4784" s="5">
        <f ca="1"/>
        <v>-0.1953805484452828</v>
      </c>
      <c r="D4784" s="5">
        <f ca="1">S0*EXP((μ-0.5*σ*σ)*T+σ*SQRT(T)*$C4784)</f>
        <v>0.65182842349818926</v>
      </c>
      <c r="E4784" s="5">
        <f ca="1">MAX(0,CP*(D4784-K))</f>
        <v>0</v>
      </c>
      <c r="F4784" s="4">
        <f ca="1">(CP*(D4784-K)&gt;0)*1</f>
        <v>0</v>
      </c>
      <c r="H4784" s="4">
        <v>4769</v>
      </c>
      <c r="I4784" s="3">
        <v>0.66775836381820874</v>
      </c>
      <c r="J4784" s="128">
        <v>1.4149781650985083E-3</v>
      </c>
      <c r="K4784" s="128"/>
      <c r="L4784" s="128">
        <v>4.2599999999999999E-2</v>
      </c>
      <c r="O4784" s="2"/>
    </row>
    <row r="4785" spans="2:15" x14ac:dyDescent="0.2">
      <c r="B4785" s="1">
        <f>B4784+1</f>
        <v>4770</v>
      </c>
      <c r="C4785" s="5">
        <f ca="1"/>
        <v>-0.65695214725371764</v>
      </c>
      <c r="D4785" s="5">
        <f ca="1">S0*EXP((μ-0.5*σ*σ)*T+σ*SQRT(T)*$C4785)</f>
        <v>0.62283161236156726</v>
      </c>
      <c r="E4785" s="5">
        <f ca="1">MAX(0,CP*(D4785-K))</f>
        <v>0</v>
      </c>
      <c r="F4785" s="4">
        <f ca="1">(CP*(D4785-K)&gt;0)*1</f>
        <v>0</v>
      </c>
      <c r="H4785" s="4">
        <v>4770</v>
      </c>
      <c r="I4785" s="3">
        <v>0.66797239645337969</v>
      </c>
      <c r="J4785" s="128">
        <v>1.6748248839743962E-3</v>
      </c>
      <c r="K4785" s="128"/>
      <c r="L4785" s="128">
        <v>4.6600000000000003E-2</v>
      </c>
      <c r="O4785" s="2"/>
    </row>
    <row r="4786" spans="2:15" x14ac:dyDescent="0.2">
      <c r="B4786" s="1">
        <f>B4785+1</f>
        <v>4771</v>
      </c>
      <c r="C4786" s="5">
        <f ca="1"/>
        <v>1.5425445323024922</v>
      </c>
      <c r="D4786" s="5">
        <f ca="1">S0*EXP((μ-0.5*σ*σ)*T+σ*SQRT(T)*$C4786)</f>
        <v>0.77364956252399564</v>
      </c>
      <c r="E4786" s="5">
        <f ca="1">MAX(0,CP*(D4786-K))</f>
        <v>0</v>
      </c>
      <c r="F4786" s="4">
        <f ca="1">(CP*(D4786-K)&gt;0)*1</f>
        <v>0</v>
      </c>
      <c r="H4786" s="4">
        <v>4771</v>
      </c>
      <c r="I4786" s="3">
        <v>0.66765963217702773</v>
      </c>
      <c r="J4786" s="128">
        <v>1.2428738490639405E-3</v>
      </c>
      <c r="K4786" s="128"/>
      <c r="L4786" s="128">
        <v>4.0800000000000003E-2</v>
      </c>
      <c r="O4786" s="2"/>
    </row>
    <row r="4787" spans="2:15" x14ac:dyDescent="0.2">
      <c r="B4787" s="1">
        <f>B4786+1</f>
        <v>4772</v>
      </c>
      <c r="C4787" s="5">
        <f ca="1"/>
        <v>-1.6792577289486024</v>
      </c>
      <c r="D4787" s="5">
        <f ca="1">S0*EXP((μ-0.5*σ*σ)*T+σ*SQRT(T)*$C4787)</f>
        <v>0.56311826965691225</v>
      </c>
      <c r="E4787" s="5">
        <f ca="1">MAX(0,CP*(D4787-K))</f>
        <v>0</v>
      </c>
      <c r="F4787" s="4">
        <f ca="1">(CP*(D4787-K)&gt;0)*1</f>
        <v>0</v>
      </c>
      <c r="H4787" s="4">
        <v>4772</v>
      </c>
      <c r="I4787" s="3">
        <v>0.66770164087597317</v>
      </c>
      <c r="J4787" s="128">
        <v>1.3071073506016897E-3</v>
      </c>
      <c r="K4787" s="128"/>
      <c r="L4787" s="128">
        <v>4.2000000000000003E-2</v>
      </c>
      <c r="O4787" s="2"/>
    </row>
    <row r="4788" spans="2:15" x14ac:dyDescent="0.2">
      <c r="B4788" s="1">
        <f>B4787+1</f>
        <v>4773</v>
      </c>
      <c r="C4788" s="5">
        <f ca="1"/>
        <v>-0.8084423239493278</v>
      </c>
      <c r="D4788" s="5">
        <f ca="1">S0*EXP((μ-0.5*σ*σ)*T+σ*SQRT(T)*$C4788)</f>
        <v>0.61359871994309845</v>
      </c>
      <c r="E4788" s="5">
        <f ca="1">MAX(0,CP*(D4788-K))</f>
        <v>0</v>
      </c>
      <c r="F4788" s="4">
        <f ca="1">(CP*(D4788-K)&gt;0)*1</f>
        <v>0</v>
      </c>
      <c r="H4788" s="4">
        <v>4773</v>
      </c>
      <c r="I4788" s="3">
        <v>0.66780939840814912</v>
      </c>
      <c r="J4788" s="128">
        <v>1.3069331072027184E-3</v>
      </c>
      <c r="K4788" s="128"/>
      <c r="L4788" s="128">
        <v>4.1599999999999998E-2</v>
      </c>
      <c r="O4788" s="2"/>
    </row>
    <row r="4789" spans="2:15" x14ac:dyDescent="0.2">
      <c r="B4789" s="1">
        <f>B4788+1</f>
        <v>4774</v>
      </c>
      <c r="C4789" s="5">
        <f ca="1"/>
        <v>0.11754264255197006</v>
      </c>
      <c r="D4789" s="5">
        <f ca="1">S0*EXP((μ-0.5*σ*σ)*T+σ*SQRT(T)*$C4789)</f>
        <v>0.67225093014387571</v>
      </c>
      <c r="E4789" s="5">
        <f ca="1">MAX(0,CP*(D4789-K))</f>
        <v>0</v>
      </c>
      <c r="F4789" s="4">
        <f ca="1">(CP*(D4789-K)&gt;0)*1</f>
        <v>0</v>
      </c>
      <c r="H4789" s="4">
        <v>4774</v>
      </c>
      <c r="I4789" s="3">
        <v>0.66784317378069069</v>
      </c>
      <c r="J4789" s="128">
        <v>1.5380157263660088E-3</v>
      </c>
      <c r="K4789" s="128"/>
      <c r="L4789" s="128">
        <v>4.6199999999999998E-2</v>
      </c>
      <c r="O4789" s="2"/>
    </row>
    <row r="4790" spans="2:15" x14ac:dyDescent="0.2">
      <c r="B4790" s="1">
        <f>B4789+1</f>
        <v>4775</v>
      </c>
      <c r="C4790" s="5">
        <f ca="1"/>
        <v>0.84211568560023331</v>
      </c>
      <c r="D4790" s="5">
        <f ca="1">S0*EXP((μ-0.5*σ*σ)*T+σ*SQRT(T)*$C4790)</f>
        <v>0.72202914255946815</v>
      </c>
      <c r="E4790" s="5">
        <f ca="1">MAX(0,CP*(D4790-K))</f>
        <v>0</v>
      </c>
      <c r="F4790" s="4">
        <f ca="1">(CP*(D4790-K)&gt;0)*1</f>
        <v>0</v>
      </c>
      <c r="H4790" s="4">
        <v>4775</v>
      </c>
      <c r="I4790" s="3">
        <v>0.66768466466471799</v>
      </c>
      <c r="J4790" s="128">
        <v>1.3632331250923372E-3</v>
      </c>
      <c r="K4790" s="128"/>
      <c r="L4790" s="128">
        <v>4.1799999999999997E-2</v>
      </c>
      <c r="O4790" s="2"/>
    </row>
    <row r="4791" spans="2:15" x14ac:dyDescent="0.2">
      <c r="B4791" s="1">
        <f>B4790+1</f>
        <v>4776</v>
      </c>
      <c r="C4791" s="5">
        <f ca="1"/>
        <v>2.0917847003676315</v>
      </c>
      <c r="D4791" s="5">
        <f ca="1">S0*EXP((μ-0.5*σ*σ)*T+σ*SQRT(T)*$C4791)</f>
        <v>0.81669622485530924</v>
      </c>
      <c r="E4791" s="5">
        <f ca="1">MAX(0,CP*(D4791-K))</f>
        <v>2.8496224855309227E-2</v>
      </c>
      <c r="F4791" s="4">
        <f ca="1">(CP*(D4791-K)&gt;0)*1</f>
        <v>1</v>
      </c>
      <c r="H4791" s="4">
        <v>4776</v>
      </c>
      <c r="I4791" s="3">
        <v>0.66776233556010978</v>
      </c>
      <c r="J4791" s="128">
        <v>1.4019463887268097E-3</v>
      </c>
      <c r="K4791" s="128"/>
      <c r="L4791" s="128">
        <v>4.0800000000000003E-2</v>
      </c>
      <c r="O4791" s="2"/>
    </row>
    <row r="4792" spans="2:15" x14ac:dyDescent="0.2">
      <c r="B4792" s="1">
        <f>B4791+1</f>
        <v>4777</v>
      </c>
      <c r="C4792" s="5">
        <f ca="1"/>
        <v>5.1079818903410006E-2</v>
      </c>
      <c r="D4792" s="5">
        <f ca="1">S0*EXP((μ-0.5*σ*σ)*T+σ*SQRT(T)*$C4792)</f>
        <v>0.66786047179468655</v>
      </c>
      <c r="E4792" s="5">
        <f ca="1">MAX(0,CP*(D4792-K))</f>
        <v>0</v>
      </c>
      <c r="F4792" s="4">
        <f ca="1">(CP*(D4792-K)&gt;0)*1</f>
        <v>0</v>
      </c>
      <c r="H4792" s="4">
        <v>4777</v>
      </c>
      <c r="I4792" s="3">
        <v>0.66785233258277199</v>
      </c>
      <c r="J4792" s="128">
        <v>1.3990916659794837E-3</v>
      </c>
      <c r="K4792" s="128"/>
      <c r="L4792" s="128">
        <v>4.4999999999999998E-2</v>
      </c>
      <c r="O4792" s="2"/>
    </row>
    <row r="4793" spans="2:15" x14ac:dyDescent="0.2">
      <c r="B4793" s="1">
        <f>B4792+1</f>
        <v>4778</v>
      </c>
      <c r="C4793" s="5">
        <f ca="1"/>
        <v>0.52334670318313836</v>
      </c>
      <c r="D4793" s="5">
        <f ca="1">S0*EXP((μ-0.5*σ*σ)*T+σ*SQRT(T)*$C4793)</f>
        <v>0.69969104569771401</v>
      </c>
      <c r="E4793" s="5">
        <f ca="1">MAX(0,CP*(D4793-K))</f>
        <v>0</v>
      </c>
      <c r="F4793" s="4">
        <f ca="1">(CP*(D4793-K)&gt;0)*1</f>
        <v>0</v>
      </c>
      <c r="H4793" s="4">
        <v>4778</v>
      </c>
      <c r="I4793" s="3">
        <v>0.66772599363767027</v>
      </c>
      <c r="J4793" s="128">
        <v>1.3450195879512016E-3</v>
      </c>
      <c r="K4793" s="128"/>
      <c r="L4793" s="128">
        <v>4.1399999999999999E-2</v>
      </c>
      <c r="O4793" s="2"/>
    </row>
    <row r="4794" spans="2:15" x14ac:dyDescent="0.2">
      <c r="B4794" s="1">
        <f>B4793+1</f>
        <v>4779</v>
      </c>
      <c r="C4794" s="5">
        <f ca="1"/>
        <v>-0.13843991110521539</v>
      </c>
      <c r="D4794" s="5">
        <f ca="1">S0*EXP((μ-0.5*σ*σ)*T+σ*SQRT(T)*$C4794)</f>
        <v>0.65549783902247816</v>
      </c>
      <c r="E4794" s="5">
        <f ca="1">MAX(0,CP*(D4794-K))</f>
        <v>0</v>
      </c>
      <c r="F4794" s="4">
        <f ca="1">(CP*(D4794-K)&gt;0)*1</f>
        <v>0</v>
      </c>
      <c r="H4794" s="4">
        <v>4779</v>
      </c>
      <c r="I4794" s="3">
        <v>0.66769368345586166</v>
      </c>
      <c r="J4794" s="128">
        <v>1.2181183673283422E-3</v>
      </c>
      <c r="K4794" s="128"/>
      <c r="L4794" s="128">
        <v>4.0800000000000003E-2</v>
      </c>
      <c r="O4794" s="2"/>
    </row>
    <row r="4795" spans="2:15" x14ac:dyDescent="0.2">
      <c r="B4795" s="1">
        <f>B4794+1</f>
        <v>4780</v>
      </c>
      <c r="C4795" s="5">
        <f ca="1"/>
        <v>0.59242887156817048</v>
      </c>
      <c r="D4795" s="5">
        <f ca="1">S0*EXP((μ-0.5*σ*σ)*T+σ*SQRT(T)*$C4795)</f>
        <v>0.70447265125730218</v>
      </c>
      <c r="E4795" s="5">
        <f ca="1">MAX(0,CP*(D4795-K))</f>
        <v>0</v>
      </c>
      <c r="F4795" s="4">
        <f ca="1">(CP*(D4795-K)&gt;0)*1</f>
        <v>0</v>
      </c>
      <c r="H4795" s="4">
        <v>4780</v>
      </c>
      <c r="I4795" s="3">
        <v>0.66778159310925866</v>
      </c>
      <c r="J4795" s="128">
        <v>1.3206726508566185E-3</v>
      </c>
      <c r="K4795" s="128"/>
      <c r="L4795" s="128">
        <v>4.4400000000000002E-2</v>
      </c>
      <c r="O4795" s="2"/>
    </row>
    <row r="4796" spans="2:15" x14ac:dyDescent="0.2">
      <c r="B4796" s="1">
        <f>B4795+1</f>
        <v>4781</v>
      </c>
      <c r="C4796" s="5">
        <f ca="1"/>
        <v>0.12014313006259474</v>
      </c>
      <c r="D4796" s="5">
        <f ca="1">S0*EXP((μ-0.5*σ*σ)*T+σ*SQRT(T)*$C4796)</f>
        <v>0.67242330089617985</v>
      </c>
      <c r="E4796" s="5">
        <f ca="1">MAX(0,CP*(D4796-K))</f>
        <v>0</v>
      </c>
      <c r="F4796" s="4">
        <f ca="1">(CP*(D4796-K)&gt;0)*1</f>
        <v>0</v>
      </c>
      <c r="H4796" s="4">
        <v>4781</v>
      </c>
      <c r="I4796" s="3">
        <v>0.66775049564139877</v>
      </c>
      <c r="J4796" s="128">
        <v>1.196909251632481E-3</v>
      </c>
      <c r="K4796" s="128"/>
      <c r="L4796" s="128">
        <v>4.3200000000000002E-2</v>
      </c>
      <c r="O4796" s="2"/>
    </row>
    <row r="4797" spans="2:15" x14ac:dyDescent="0.2">
      <c r="B4797" s="1">
        <f>B4796+1</f>
        <v>4782</v>
      </c>
      <c r="C4797" s="5">
        <f ca="1"/>
        <v>0.59977314597964326</v>
      </c>
      <c r="D4797" s="5">
        <f ca="1">S0*EXP((μ-0.5*σ*σ)*T+σ*SQRT(T)*$C4797)</f>
        <v>0.70498291180337702</v>
      </c>
      <c r="E4797" s="5">
        <f ca="1">MAX(0,CP*(D4797-K))</f>
        <v>0</v>
      </c>
      <c r="F4797" s="4">
        <f ca="1">(CP*(D4797-K)&gt;0)*1</f>
        <v>0</v>
      </c>
      <c r="H4797" s="4">
        <v>4782</v>
      </c>
      <c r="I4797" s="3">
        <v>0.66772314922027654</v>
      </c>
      <c r="J4797" s="128">
        <v>1.4266485031495879E-3</v>
      </c>
      <c r="K4797" s="128"/>
      <c r="L4797" s="128">
        <v>4.24E-2</v>
      </c>
      <c r="O4797" s="2"/>
    </row>
    <row r="4798" spans="2:15" x14ac:dyDescent="0.2">
      <c r="B4798" s="1">
        <f>B4797+1</f>
        <v>4783</v>
      </c>
      <c r="C4798" s="5">
        <f ca="1"/>
        <v>-2.6768842713264476E-2</v>
      </c>
      <c r="D4798" s="5">
        <f ca="1">S0*EXP((μ-0.5*σ*σ)*T+σ*SQRT(T)*$C4798)</f>
        <v>0.66275432738701268</v>
      </c>
      <c r="E4798" s="5">
        <f ca="1">MAX(0,CP*(D4798-K))</f>
        <v>0</v>
      </c>
      <c r="F4798" s="4">
        <f ca="1">(CP*(D4798-K)&gt;0)*1</f>
        <v>0</v>
      </c>
      <c r="H4798" s="4">
        <v>4783</v>
      </c>
      <c r="I4798" s="3">
        <v>0.66784554929892526</v>
      </c>
      <c r="J4798" s="128">
        <v>1.4560326311454776E-3</v>
      </c>
      <c r="K4798" s="128"/>
      <c r="L4798" s="128">
        <v>4.6399999999999997E-2</v>
      </c>
      <c r="O4798" s="2"/>
    </row>
    <row r="4799" spans="2:15" x14ac:dyDescent="0.2">
      <c r="B4799" s="1">
        <f>B4798+1</f>
        <v>4784</v>
      </c>
      <c r="C4799" s="5">
        <f ca="1"/>
        <v>-1.2990278853020392</v>
      </c>
      <c r="D4799" s="5">
        <f ca="1">S0*EXP((μ-0.5*σ*σ)*T+σ*SQRT(T)*$C4799)</f>
        <v>0.5846278989733571</v>
      </c>
      <c r="E4799" s="5">
        <f ca="1">MAX(0,CP*(D4799-K))</f>
        <v>0</v>
      </c>
      <c r="F4799" s="4">
        <f ca="1">(CP*(D4799-K)&gt;0)*1</f>
        <v>0</v>
      </c>
      <c r="H4799" s="4">
        <v>4784</v>
      </c>
      <c r="I4799" s="3">
        <v>0.66777629334895228</v>
      </c>
      <c r="J4799" s="128">
        <v>1.4151458133643705E-3</v>
      </c>
      <c r="K4799" s="128"/>
      <c r="L4799" s="128">
        <v>4.2000000000000003E-2</v>
      </c>
      <c r="O4799" s="2"/>
    </row>
    <row r="4800" spans="2:15" x14ac:dyDescent="0.2">
      <c r="B4800" s="1">
        <f>B4799+1</f>
        <v>4785</v>
      </c>
      <c r="C4800" s="5">
        <f ca="1"/>
        <v>-1.1815800769454716</v>
      </c>
      <c r="D4800" s="5">
        <f ca="1">S0*EXP((μ-0.5*σ*σ)*T+σ*SQRT(T)*$C4800)</f>
        <v>0.59143657895905488</v>
      </c>
      <c r="E4800" s="5">
        <f ca="1">MAX(0,CP*(D4800-K))</f>
        <v>0</v>
      </c>
      <c r="F4800" s="4">
        <f ca="1">(CP*(D4800-K)&gt;0)*1</f>
        <v>0</v>
      </c>
      <c r="H4800" s="4">
        <v>4785</v>
      </c>
      <c r="I4800" s="3">
        <v>0.66782606523456378</v>
      </c>
      <c r="J4800" s="128">
        <v>1.4293806901590888E-3</v>
      </c>
      <c r="K4800" s="128"/>
      <c r="L4800" s="128">
        <v>4.1399999999999999E-2</v>
      </c>
      <c r="O4800" s="2"/>
    </row>
    <row r="4801" spans="2:15" x14ac:dyDescent="0.2">
      <c r="B4801" s="1">
        <f>B4800+1</f>
        <v>4786</v>
      </c>
      <c r="C4801" s="5">
        <f ca="1"/>
        <v>-0.34991123583863881</v>
      </c>
      <c r="D4801" s="5">
        <f ca="1">S0*EXP((μ-0.5*σ*σ)*T+σ*SQRT(T)*$C4801)</f>
        <v>0.64197321631481885</v>
      </c>
      <c r="E4801" s="5">
        <f ca="1">MAX(0,CP*(D4801-K))</f>
        <v>0</v>
      </c>
      <c r="F4801" s="4">
        <f ca="1">(CP*(D4801-K)&gt;0)*1</f>
        <v>0</v>
      </c>
      <c r="H4801" s="4">
        <v>4786</v>
      </c>
      <c r="I4801" s="3">
        <v>0.66754197004706606</v>
      </c>
      <c r="J4801" s="128">
        <v>1.1635559593963416E-3</v>
      </c>
      <c r="K4801" s="128"/>
      <c r="L4801" s="128">
        <v>3.6999999999999998E-2</v>
      </c>
      <c r="O4801" s="2"/>
    </row>
    <row r="4802" spans="2:15" x14ac:dyDescent="0.2">
      <c r="B4802" s="1">
        <f>B4801+1</f>
        <v>4787</v>
      </c>
      <c r="C4802" s="5">
        <f ca="1"/>
        <v>-1.9469388929731655</v>
      </c>
      <c r="D4802" s="5">
        <f ca="1">S0*EXP((μ-0.5*σ*σ)*T+σ*SQRT(T)*$C4802)</f>
        <v>0.54845194700105682</v>
      </c>
      <c r="E4802" s="5">
        <f ca="1">MAX(0,CP*(D4802-K))</f>
        <v>0</v>
      </c>
      <c r="F4802" s="4">
        <f ca="1">(CP*(D4802-K)&gt;0)*1</f>
        <v>0</v>
      </c>
      <c r="H4802" s="4">
        <v>4787</v>
      </c>
      <c r="I4802" s="3">
        <v>0.66757168374722331</v>
      </c>
      <c r="J4802" s="128">
        <v>1.174371448746306E-3</v>
      </c>
      <c r="K4802" s="128"/>
      <c r="L4802" s="128">
        <v>4.2000000000000003E-2</v>
      </c>
      <c r="O4802" s="2"/>
    </row>
    <row r="4803" spans="2:15" x14ac:dyDescent="0.2">
      <c r="B4803" s="1">
        <f>B4802+1</f>
        <v>4788</v>
      </c>
      <c r="C4803" s="5">
        <f ca="1"/>
        <v>0.56718912977851266</v>
      </c>
      <c r="D4803" s="5">
        <f ca="1">S0*EXP((μ-0.5*σ*σ)*T+σ*SQRT(T)*$C4803)</f>
        <v>0.70272187541415532</v>
      </c>
      <c r="E4803" s="5">
        <f ca="1">MAX(0,CP*(D4803-K))</f>
        <v>0</v>
      </c>
      <c r="F4803" s="4">
        <f ca="1">(CP*(D4803-K)&gt;0)*1</f>
        <v>0</v>
      </c>
      <c r="H4803" s="4">
        <v>4788</v>
      </c>
      <c r="I4803" s="3">
        <v>0.66774437514437246</v>
      </c>
      <c r="J4803" s="128">
        <v>1.3934341830382569E-3</v>
      </c>
      <c r="K4803" s="128"/>
      <c r="L4803" s="128">
        <v>0.04</v>
      </c>
      <c r="O4803" s="2"/>
    </row>
    <row r="4804" spans="2:15" x14ac:dyDescent="0.2">
      <c r="B4804" s="1">
        <f>B4803+1</f>
        <v>4789</v>
      </c>
      <c r="C4804" s="5">
        <f ca="1"/>
        <v>-0.40809938805781049</v>
      </c>
      <c r="D4804" s="5">
        <f ca="1">S0*EXP((μ-0.5*σ*σ)*T+σ*SQRT(T)*$C4804)</f>
        <v>0.63830100131832401</v>
      </c>
      <c r="E4804" s="5">
        <f ca="1">MAX(0,CP*(D4804-K))</f>
        <v>0</v>
      </c>
      <c r="F4804" s="4">
        <f ca="1">(CP*(D4804-K)&gt;0)*1</f>
        <v>0</v>
      </c>
      <c r="H4804" s="4">
        <v>4789</v>
      </c>
      <c r="I4804" s="3">
        <v>0.66771078333561251</v>
      </c>
      <c r="J4804" s="128">
        <v>1.3759062387630903E-3</v>
      </c>
      <c r="K4804" s="128"/>
      <c r="L4804" s="128">
        <v>4.3400000000000001E-2</v>
      </c>
      <c r="O4804" s="2"/>
    </row>
    <row r="4805" spans="2:15" x14ac:dyDescent="0.2">
      <c r="B4805" s="1">
        <f>B4804+1</f>
        <v>4790</v>
      </c>
      <c r="C4805" s="5">
        <f ca="1"/>
        <v>1.1185851558035917</v>
      </c>
      <c r="D4805" s="5">
        <f ca="1">S0*EXP((μ-0.5*σ*σ)*T+σ*SQRT(T)*$C4805)</f>
        <v>0.74197973187542032</v>
      </c>
      <c r="E4805" s="5">
        <f ca="1">MAX(0,CP*(D4805-K))</f>
        <v>0</v>
      </c>
      <c r="F4805" s="4">
        <f ca="1">(CP*(D4805-K)&gt;0)*1</f>
        <v>0</v>
      </c>
      <c r="H4805" s="4">
        <v>4790</v>
      </c>
      <c r="I4805" s="3">
        <v>0.66782352321936556</v>
      </c>
      <c r="J4805" s="128">
        <v>1.5698115888291779E-3</v>
      </c>
      <c r="K4805" s="128"/>
      <c r="L4805" s="128">
        <v>4.2599999999999999E-2</v>
      </c>
      <c r="O4805" s="2"/>
    </row>
    <row r="4806" spans="2:15" x14ac:dyDescent="0.2">
      <c r="B4806" s="1">
        <f>B4805+1</f>
        <v>4791</v>
      </c>
      <c r="C4806" s="5">
        <f ca="1"/>
        <v>-0.43876431614228562</v>
      </c>
      <c r="D4806" s="5">
        <f ca="1">S0*EXP((μ-0.5*σ*σ)*T+σ*SQRT(T)*$C4806)</f>
        <v>0.63637421795631299</v>
      </c>
      <c r="E4806" s="5">
        <f ca="1">MAX(0,CP*(D4806-K))</f>
        <v>0</v>
      </c>
      <c r="F4806" s="4">
        <f ca="1">(CP*(D4806-K)&gt;0)*1</f>
        <v>0</v>
      </c>
      <c r="H4806" s="4">
        <v>4791</v>
      </c>
      <c r="I4806" s="3">
        <v>0.66766571489871762</v>
      </c>
      <c r="J4806" s="128">
        <v>1.2545703694870796E-3</v>
      </c>
      <c r="K4806" s="128"/>
      <c r="L4806" s="128">
        <v>4.1000000000000002E-2</v>
      </c>
      <c r="O4806" s="2"/>
    </row>
    <row r="4807" spans="2:15" x14ac:dyDescent="0.2">
      <c r="B4807" s="1">
        <f>B4806+1</f>
        <v>4792</v>
      </c>
      <c r="C4807" s="5">
        <f ca="1"/>
        <v>-1.2587846937958662</v>
      </c>
      <c r="D4807" s="5">
        <f ca="1">S0*EXP((μ-0.5*σ*σ)*T+σ*SQRT(T)*$C4807)</f>
        <v>0.5869520025728423</v>
      </c>
      <c r="E4807" s="5">
        <f ca="1">MAX(0,CP*(D4807-K))</f>
        <v>0</v>
      </c>
      <c r="F4807" s="4">
        <f ca="1">(CP*(D4807-K)&gt;0)*1</f>
        <v>0</v>
      </c>
      <c r="H4807" s="4">
        <v>4792</v>
      </c>
      <c r="I4807" s="3">
        <v>0.66776761264043527</v>
      </c>
      <c r="J4807" s="128">
        <v>1.5168047032364349E-3</v>
      </c>
      <c r="K4807" s="128"/>
      <c r="L4807" s="128">
        <v>4.1799999999999997E-2</v>
      </c>
      <c r="O4807" s="2"/>
    </row>
    <row r="4808" spans="2:15" x14ac:dyDescent="0.2">
      <c r="B4808" s="1">
        <f>B4807+1</f>
        <v>4793</v>
      </c>
      <c r="C4808" s="5">
        <f ca="1"/>
        <v>7.1047080636810506E-2</v>
      </c>
      <c r="D4808" s="5">
        <f ca="1">S0*EXP((μ-0.5*σ*σ)*T+σ*SQRT(T)*$C4808)</f>
        <v>0.66917646455604396</v>
      </c>
      <c r="E4808" s="5">
        <f ca="1">MAX(0,CP*(D4808-K))</f>
        <v>0</v>
      </c>
      <c r="F4808" s="4">
        <f ca="1">(CP*(D4808-K)&gt;0)*1</f>
        <v>0</v>
      </c>
      <c r="H4808" s="4">
        <v>4793</v>
      </c>
      <c r="I4808" s="3">
        <v>0.66781546851489793</v>
      </c>
      <c r="J4808" s="128">
        <v>1.4600217650404127E-3</v>
      </c>
      <c r="K4808" s="128"/>
      <c r="L4808" s="128">
        <v>4.2799999999999998E-2</v>
      </c>
      <c r="O4808" s="2"/>
    </row>
    <row r="4809" spans="2:15" x14ac:dyDescent="0.2">
      <c r="B4809" s="1">
        <f>B4808+1</f>
        <v>4794</v>
      </c>
      <c r="C4809" s="5">
        <f ca="1"/>
        <v>-0.85703929235789977</v>
      </c>
      <c r="D4809" s="5">
        <f ca="1">S0*EXP((μ-0.5*σ*σ)*T+σ*SQRT(T)*$C4809)</f>
        <v>0.61066596756978997</v>
      </c>
      <c r="E4809" s="5">
        <f ca="1">MAX(0,CP*(D4809-K))</f>
        <v>0</v>
      </c>
      <c r="F4809" s="4">
        <f ca="1">(CP*(D4809-K)&gt;0)*1</f>
        <v>0</v>
      </c>
      <c r="H4809" s="4">
        <v>4794</v>
      </c>
      <c r="I4809" s="3">
        <v>0.66776653855441159</v>
      </c>
      <c r="J4809" s="128">
        <v>1.3046251426881157E-3</v>
      </c>
      <c r="K4809" s="128"/>
      <c r="L4809" s="128">
        <v>4.1200000000000001E-2</v>
      </c>
      <c r="O4809" s="2"/>
    </row>
    <row r="4810" spans="2:15" x14ac:dyDescent="0.2">
      <c r="B4810" s="1">
        <f>B4809+1</f>
        <v>4795</v>
      </c>
      <c r="C4810" s="5">
        <f ca="1"/>
        <v>1.3949261698783062</v>
      </c>
      <c r="D4810" s="5">
        <f ca="1">S0*EXP((μ-0.5*σ*σ)*T+σ*SQRT(T)*$C4810)</f>
        <v>0.76247192537725006</v>
      </c>
      <c r="E4810" s="5">
        <f ca="1">MAX(0,CP*(D4810-K))</f>
        <v>0</v>
      </c>
      <c r="F4810" s="4">
        <f ca="1">(CP*(D4810-K)&gt;0)*1</f>
        <v>0</v>
      </c>
      <c r="H4810" s="4">
        <v>4795</v>
      </c>
      <c r="I4810" s="3">
        <v>0.6676579919840292</v>
      </c>
      <c r="J4810" s="128">
        <v>1.2408413514066394E-3</v>
      </c>
      <c r="K4810" s="128"/>
      <c r="L4810" s="128">
        <v>3.8199999999999998E-2</v>
      </c>
      <c r="O4810" s="2"/>
    </row>
    <row r="4811" spans="2:15" x14ac:dyDescent="0.2">
      <c r="B4811" s="1">
        <f>B4810+1</f>
        <v>4796</v>
      </c>
      <c r="C4811" s="5">
        <f ca="1"/>
        <v>0.31142862113100872</v>
      </c>
      <c r="D4811" s="5">
        <f ca="1">S0*EXP((μ-0.5*σ*σ)*T+σ*SQRT(T)*$C4811)</f>
        <v>0.6852244212185763</v>
      </c>
      <c r="E4811" s="5">
        <f ca="1">MAX(0,CP*(D4811-K))</f>
        <v>0</v>
      </c>
      <c r="F4811" s="4">
        <f ca="1">(CP*(D4811-K)&gt;0)*1</f>
        <v>0</v>
      </c>
      <c r="H4811" s="4">
        <v>4796</v>
      </c>
      <c r="I4811" s="3">
        <v>0.66773912541206959</v>
      </c>
      <c r="J4811" s="128">
        <v>1.2833994242179797E-3</v>
      </c>
      <c r="K4811" s="128"/>
      <c r="L4811" s="128">
        <v>3.9E-2</v>
      </c>
      <c r="O4811" s="2"/>
    </row>
    <row r="4812" spans="2:15" x14ac:dyDescent="0.2">
      <c r="B4812" s="1">
        <f>B4811+1</f>
        <v>4797</v>
      </c>
      <c r="C4812" s="5">
        <f ca="1"/>
        <v>-0.88700611072125446</v>
      </c>
      <c r="D4812" s="5">
        <f ca="1">S0*EXP((μ-0.5*σ*σ)*T+σ*SQRT(T)*$C4812)</f>
        <v>0.608864507244405</v>
      </c>
      <c r="E4812" s="5">
        <f ca="1">MAX(0,CP*(D4812-K))</f>
        <v>0</v>
      </c>
      <c r="F4812" s="4">
        <f ca="1">(CP*(D4812-K)&gt;0)*1</f>
        <v>0</v>
      </c>
      <c r="H4812" s="4">
        <v>4797</v>
      </c>
      <c r="I4812" s="3">
        <v>0.6678541702685058</v>
      </c>
      <c r="J4812" s="128">
        <v>1.4928382942393039E-3</v>
      </c>
      <c r="K4812" s="128"/>
      <c r="L4812" s="128">
        <v>4.4999999999999998E-2</v>
      </c>
      <c r="O4812" s="2"/>
    </row>
    <row r="4813" spans="2:15" x14ac:dyDescent="0.2">
      <c r="B4813" s="1">
        <f>B4812+1</f>
        <v>4798</v>
      </c>
      <c r="C4813" s="5">
        <f ca="1"/>
        <v>1.8341730610881068</v>
      </c>
      <c r="D4813" s="5">
        <f ca="1">S0*EXP((μ-0.5*σ*σ)*T+σ*SQRT(T)*$C4813)</f>
        <v>0.79621554011011797</v>
      </c>
      <c r="E4813" s="5">
        <f ca="1">MAX(0,CP*(D4813-K))</f>
        <v>8.015540110117958E-3</v>
      </c>
      <c r="F4813" s="4">
        <f ca="1">(CP*(D4813-K)&gt;0)*1</f>
        <v>1</v>
      </c>
      <c r="H4813" s="4">
        <v>4798</v>
      </c>
      <c r="I4813" s="3">
        <v>0.66762173666725255</v>
      </c>
      <c r="J4813" s="128">
        <v>1.346912819205262E-3</v>
      </c>
      <c r="K4813" s="128"/>
      <c r="L4813" s="128">
        <v>3.8399999999999997E-2</v>
      </c>
      <c r="O4813" s="2"/>
    </row>
    <row r="4814" spans="2:15" x14ac:dyDescent="0.2">
      <c r="B4814" s="1">
        <f>B4813+1</f>
        <v>4799</v>
      </c>
      <c r="C4814" s="5">
        <f ca="1"/>
        <v>-1.4866162376556191</v>
      </c>
      <c r="D4814" s="5">
        <f ca="1">S0*EXP((μ-0.5*σ*σ)*T+σ*SQRT(T)*$C4814)</f>
        <v>0.57391523644167641</v>
      </c>
      <c r="E4814" s="5">
        <f ca="1">MAX(0,CP*(D4814-K))</f>
        <v>0</v>
      </c>
      <c r="F4814" s="4">
        <f ca="1">(CP*(D4814-K)&gt;0)*1</f>
        <v>0</v>
      </c>
      <c r="H4814" s="4">
        <v>4799</v>
      </c>
      <c r="I4814" s="3">
        <v>0.66782483034589279</v>
      </c>
      <c r="J4814" s="128">
        <v>1.3796993033922361E-3</v>
      </c>
      <c r="K4814" s="128"/>
      <c r="L4814" s="128">
        <v>4.2999999999999997E-2</v>
      </c>
      <c r="O4814" s="2"/>
    </row>
    <row r="4815" spans="2:15" x14ac:dyDescent="0.2">
      <c r="B4815" s="1">
        <f>B4814+1</f>
        <v>4800</v>
      </c>
      <c r="C4815" s="5">
        <f ca="1"/>
        <v>-1.3190087067822422</v>
      </c>
      <c r="D4815" s="5">
        <f ca="1">S0*EXP((μ-0.5*σ*σ)*T+σ*SQRT(T)*$C4815)</f>
        <v>0.58347739819337763</v>
      </c>
      <c r="E4815" s="5">
        <f ca="1">MAX(0,CP*(D4815-K))</f>
        <v>0</v>
      </c>
      <c r="F4815" s="4">
        <f ca="1">(CP*(D4815-K)&gt;0)*1</f>
        <v>0</v>
      </c>
      <c r="H4815" s="4">
        <v>4800</v>
      </c>
      <c r="I4815" s="3">
        <v>0.66772490034419629</v>
      </c>
      <c r="J4815" s="128">
        <v>1.2291251542959106E-3</v>
      </c>
      <c r="K4815" s="128"/>
      <c r="L4815" s="128">
        <v>3.8399999999999997E-2</v>
      </c>
      <c r="O4815" s="2"/>
    </row>
    <row r="4816" spans="2:15" x14ac:dyDescent="0.2">
      <c r="B4816" s="1">
        <f>B4815+1</f>
        <v>4801</v>
      </c>
      <c r="C4816" s="5">
        <f ca="1"/>
        <v>0.26043351760650457</v>
      </c>
      <c r="D4816" s="5">
        <f ca="1">S0*EXP((μ-0.5*σ*σ)*T+σ*SQRT(T)*$C4816)</f>
        <v>0.68178811557491104</v>
      </c>
      <c r="E4816" s="5">
        <f ca="1">MAX(0,CP*(D4816-K))</f>
        <v>0</v>
      </c>
      <c r="F4816" s="4">
        <f ca="1">(CP*(D4816-K)&gt;0)*1</f>
        <v>0</v>
      </c>
      <c r="H4816" s="4">
        <v>4801</v>
      </c>
      <c r="I4816" s="3">
        <v>0.66776315422542365</v>
      </c>
      <c r="J4816" s="128">
        <v>1.4341537118908035E-3</v>
      </c>
      <c r="K4816" s="128"/>
      <c r="L4816" s="128">
        <v>4.7199999999999999E-2</v>
      </c>
      <c r="O4816" s="2"/>
    </row>
    <row r="4817" spans="2:15" x14ac:dyDescent="0.2">
      <c r="B4817" s="1">
        <f>B4816+1</f>
        <v>4802</v>
      </c>
      <c r="C4817" s="5">
        <f ca="1"/>
        <v>8.7922186385048895E-2</v>
      </c>
      <c r="D4817" s="5">
        <f ca="1">S0*EXP((μ-0.5*σ*σ)*T+σ*SQRT(T)*$C4817)</f>
        <v>0.67029068261719094</v>
      </c>
      <c r="E4817" s="5">
        <f ca="1">MAX(0,CP*(D4817-K))</f>
        <v>0</v>
      </c>
      <c r="F4817" s="4">
        <f ca="1">(CP*(D4817-K)&gt;0)*1</f>
        <v>0</v>
      </c>
      <c r="H4817" s="4">
        <v>4802</v>
      </c>
      <c r="I4817" s="3">
        <v>0.6678602236198049</v>
      </c>
      <c r="J4817" s="128">
        <v>1.3698268338449512E-3</v>
      </c>
      <c r="K4817" s="128"/>
      <c r="L4817" s="128">
        <v>4.3999999999999997E-2</v>
      </c>
      <c r="O4817" s="2"/>
    </row>
    <row r="4818" spans="2:15" x14ac:dyDescent="0.2">
      <c r="B4818" s="1">
        <f>B4817+1</f>
        <v>4803</v>
      </c>
      <c r="C4818" s="5">
        <f ca="1"/>
        <v>1.8865233185018908</v>
      </c>
      <c r="D4818" s="5">
        <f ca="1">S0*EXP((μ-0.5*σ*σ)*T+σ*SQRT(T)*$C4818)</f>
        <v>0.80033549430735351</v>
      </c>
      <c r="E4818" s="5">
        <f ca="1">MAX(0,CP*(D4818-K))</f>
        <v>1.21354943073535E-2</v>
      </c>
      <c r="F4818" s="4">
        <f ca="1">(CP*(D4818-K)&gt;0)*1</f>
        <v>1</v>
      </c>
      <c r="H4818" s="4">
        <v>4803</v>
      </c>
      <c r="I4818" s="3">
        <v>0.66778168459938703</v>
      </c>
      <c r="J4818" s="128">
        <v>1.3485280550169761E-3</v>
      </c>
      <c r="K4818" s="128"/>
      <c r="L4818" s="128">
        <v>4.48E-2</v>
      </c>
      <c r="O4818" s="2"/>
    </row>
    <row r="4819" spans="2:15" x14ac:dyDescent="0.2">
      <c r="B4819" s="1">
        <f>B4818+1</f>
        <v>4804</v>
      </c>
      <c r="C4819" s="5">
        <f ca="1"/>
        <v>-1.0664168611121978</v>
      </c>
      <c r="D4819" s="5">
        <f ca="1">S0*EXP((μ-0.5*σ*σ)*T+σ*SQRT(T)*$C4819)</f>
        <v>0.59818980725878668</v>
      </c>
      <c r="E4819" s="5">
        <f ca="1">MAX(0,CP*(D4819-K))</f>
        <v>0</v>
      </c>
      <c r="F4819" s="4">
        <f ca="1">(CP*(D4819-K)&gt;0)*1</f>
        <v>0</v>
      </c>
      <c r="H4819" s="4">
        <v>4804</v>
      </c>
      <c r="I4819" s="3">
        <v>0.66754015103269648</v>
      </c>
      <c r="J4819" s="128">
        <v>1.1403315601429792E-3</v>
      </c>
      <c r="K4819" s="128"/>
      <c r="L4819" s="128">
        <v>3.5000000000000003E-2</v>
      </c>
      <c r="O4819" s="2"/>
    </row>
    <row r="4820" spans="2:15" x14ac:dyDescent="0.2">
      <c r="B4820" s="1">
        <f>B4819+1</f>
        <v>4805</v>
      </c>
      <c r="C4820" s="5">
        <f ca="1"/>
        <v>-0.18590237581920069</v>
      </c>
      <c r="D4820" s="5">
        <f ca="1">S0*EXP((μ-0.5*σ*σ)*T+σ*SQRT(T)*$C4820)</f>
        <v>0.65243779558042958</v>
      </c>
      <c r="E4820" s="5">
        <f ca="1">MAX(0,CP*(D4820-K))</f>
        <v>0</v>
      </c>
      <c r="F4820" s="4">
        <f ca="1">(CP*(D4820-K)&gt;0)*1</f>
        <v>0</v>
      </c>
      <c r="H4820" s="4">
        <v>4805</v>
      </c>
      <c r="I4820" s="3">
        <v>0.6676675719403603</v>
      </c>
      <c r="J4820" s="128">
        <v>1.2861072965065497E-3</v>
      </c>
      <c r="K4820" s="128"/>
      <c r="L4820" s="128">
        <v>4.24E-2</v>
      </c>
      <c r="O4820" s="2"/>
    </row>
    <row r="4821" spans="2:15" x14ac:dyDescent="0.2">
      <c r="B4821" s="1">
        <f>B4820+1</f>
        <v>4806</v>
      </c>
      <c r="C4821" s="5">
        <f ca="1"/>
        <v>-0.54664169168708265</v>
      </c>
      <c r="D4821" s="5">
        <f ca="1">S0*EXP((μ-0.5*σ*σ)*T+σ*SQRT(T)*$C4821)</f>
        <v>0.62964201380211793</v>
      </c>
      <c r="E4821" s="5">
        <f ca="1">MAX(0,CP*(D4821-K))</f>
        <v>0</v>
      </c>
      <c r="F4821" s="4">
        <f ca="1">(CP*(D4821-K)&gt;0)*1</f>
        <v>0</v>
      </c>
      <c r="H4821" s="4">
        <v>4806</v>
      </c>
      <c r="I4821" s="3">
        <v>0.66760657712275084</v>
      </c>
      <c r="J4821" s="128">
        <v>1.2295933535724122E-3</v>
      </c>
      <c r="K4821" s="128"/>
      <c r="L4821" s="128">
        <v>0.04</v>
      </c>
      <c r="O4821" s="2"/>
    </row>
    <row r="4822" spans="2:15" x14ac:dyDescent="0.2">
      <c r="B4822" s="1">
        <f>B4821+1</f>
        <v>4807</v>
      </c>
      <c r="C4822" s="5">
        <f ca="1"/>
        <v>9.2998904654423412E-2</v>
      </c>
      <c r="D4822" s="5">
        <f ca="1">S0*EXP((μ-0.5*σ*σ)*T+σ*SQRT(T)*$C4822)</f>
        <v>0.67062624761422673</v>
      </c>
      <c r="E4822" s="5">
        <f ca="1">MAX(0,CP*(D4822-K))</f>
        <v>0</v>
      </c>
      <c r="F4822" s="4">
        <f ca="1">(CP*(D4822-K)&gt;0)*1</f>
        <v>0</v>
      </c>
      <c r="H4822" s="4">
        <v>4807</v>
      </c>
      <c r="I4822" s="3">
        <v>0.66760366450943809</v>
      </c>
      <c r="J4822" s="128">
        <v>1.2954849774194858E-3</v>
      </c>
      <c r="K4822" s="128"/>
      <c r="L4822" s="128">
        <v>3.7999999999999999E-2</v>
      </c>
      <c r="O4822" s="2"/>
    </row>
    <row r="4823" spans="2:15" x14ac:dyDescent="0.2">
      <c r="B4823" s="1">
        <f>B4822+1</f>
        <v>4808</v>
      </c>
      <c r="C4823" s="5">
        <f ca="1"/>
        <v>-1.0838282283147889</v>
      </c>
      <c r="D4823" s="5">
        <f ca="1">S0*EXP((μ-0.5*σ*σ)*T+σ*SQRT(T)*$C4823)</f>
        <v>0.59716386973411162</v>
      </c>
      <c r="E4823" s="5">
        <f ca="1">MAX(0,CP*(D4823-K))</f>
        <v>0</v>
      </c>
      <c r="F4823" s="4">
        <f ca="1">(CP*(D4823-K)&gt;0)*1</f>
        <v>0</v>
      </c>
      <c r="H4823" s="4">
        <v>4808</v>
      </c>
      <c r="I4823" s="3">
        <v>0.66781362538977851</v>
      </c>
      <c r="J4823" s="128">
        <v>1.392250458861352E-3</v>
      </c>
      <c r="K4823" s="128"/>
      <c r="L4823" s="128">
        <v>4.2000000000000003E-2</v>
      </c>
      <c r="O4823" s="2"/>
    </row>
    <row r="4824" spans="2:15" x14ac:dyDescent="0.2">
      <c r="B4824" s="1">
        <f>B4823+1</f>
        <v>4809</v>
      </c>
      <c r="C4824" s="5">
        <f ca="1"/>
        <v>-0.12879077889552265</v>
      </c>
      <c r="D4824" s="5">
        <f ca="1">S0*EXP((μ-0.5*σ*σ)*T+σ*SQRT(T)*$C4824)</f>
        <v>0.65612170000783288</v>
      </c>
      <c r="E4824" s="5">
        <f ca="1">MAX(0,CP*(D4824-K))</f>
        <v>0</v>
      </c>
      <c r="F4824" s="4">
        <f ca="1">(CP*(D4824-K)&gt;0)*1</f>
        <v>0</v>
      </c>
      <c r="H4824" s="4">
        <v>4809</v>
      </c>
      <c r="I4824" s="3">
        <v>0.66776788604622161</v>
      </c>
      <c r="J4824" s="128">
        <v>1.4307394916005739E-3</v>
      </c>
      <c r="K4824" s="128"/>
      <c r="L4824" s="128">
        <v>4.2200000000000001E-2</v>
      </c>
      <c r="O4824" s="2"/>
    </row>
    <row r="4825" spans="2:15" x14ac:dyDescent="0.2">
      <c r="B4825" s="1">
        <f>B4824+1</f>
        <v>4810</v>
      </c>
      <c r="C4825" s="5">
        <f ca="1"/>
        <v>1.6215994720971774</v>
      </c>
      <c r="D4825" s="5">
        <f ca="1">S0*EXP((μ-0.5*σ*σ)*T+σ*SQRT(T)*$C4825)</f>
        <v>0.7797028113185418</v>
      </c>
      <c r="E4825" s="5">
        <f ca="1">MAX(0,CP*(D4825-K))</f>
        <v>0</v>
      </c>
      <c r="F4825" s="4">
        <f ca="1">(CP*(D4825-K)&gt;0)*1</f>
        <v>0</v>
      </c>
      <c r="H4825" s="4">
        <v>4810</v>
      </c>
      <c r="I4825" s="3">
        <v>0.66775524689507582</v>
      </c>
      <c r="J4825" s="128">
        <v>1.4014511350226278E-3</v>
      </c>
      <c r="K4825" s="128"/>
      <c r="L4825" s="128">
        <v>4.3999999999999997E-2</v>
      </c>
      <c r="O4825" s="2"/>
    </row>
    <row r="4826" spans="2:15" x14ac:dyDescent="0.2">
      <c r="B4826" s="1">
        <f>B4825+1</f>
        <v>4811</v>
      </c>
      <c r="C4826" s="5">
        <f ca="1"/>
        <v>0.35128230140155381</v>
      </c>
      <c r="D4826" s="5">
        <f ca="1">S0*EXP((μ-0.5*σ*σ)*T+σ*SQRT(T)*$C4826)</f>
        <v>0.68792201438258038</v>
      </c>
      <c r="E4826" s="5">
        <f ca="1">MAX(0,CP*(D4826-K))</f>
        <v>0</v>
      </c>
      <c r="F4826" s="4">
        <f ca="1">(CP*(D4826-K)&gt;0)*1</f>
        <v>0</v>
      </c>
      <c r="H4826" s="4">
        <v>4811</v>
      </c>
      <c r="I4826" s="3">
        <v>0.66767915197475736</v>
      </c>
      <c r="J4826" s="128">
        <v>1.2985509660973101E-3</v>
      </c>
      <c r="K4826" s="128"/>
      <c r="L4826" s="128">
        <v>4.02E-2</v>
      </c>
      <c r="O4826" s="2"/>
    </row>
    <row r="4827" spans="2:15" x14ac:dyDescent="0.2">
      <c r="B4827" s="1">
        <f>B4826+1</f>
        <v>4812</v>
      </c>
      <c r="C4827" s="5">
        <f ca="1"/>
        <v>-0.54576924683847894</v>
      </c>
      <c r="D4827" s="5">
        <f ca="1">S0*EXP((μ-0.5*σ*σ)*T+σ*SQRT(T)*$C4827)</f>
        <v>0.62969617298207425</v>
      </c>
      <c r="E4827" s="5">
        <f ca="1">MAX(0,CP*(D4827-K))</f>
        <v>0</v>
      </c>
      <c r="F4827" s="4">
        <f ca="1">(CP*(D4827-K)&gt;0)*1</f>
        <v>0</v>
      </c>
      <c r="H4827" s="4">
        <v>4812</v>
      </c>
      <c r="I4827" s="3">
        <v>0.66780318481187262</v>
      </c>
      <c r="J4827" s="128">
        <v>1.3971808931674779E-3</v>
      </c>
      <c r="K4827" s="128"/>
      <c r="L4827" s="128">
        <v>4.4999999999999998E-2</v>
      </c>
      <c r="O4827" s="2"/>
    </row>
    <row r="4828" spans="2:15" x14ac:dyDescent="0.2">
      <c r="B4828" s="1">
        <f>B4827+1</f>
        <v>4813</v>
      </c>
      <c r="C4828" s="5">
        <f ca="1"/>
        <v>-0.74161678529635278</v>
      </c>
      <c r="D4828" s="5">
        <f ca="1">S0*EXP((μ-0.5*σ*σ)*T+σ*SQRT(T)*$C4828)</f>
        <v>0.61765455252702317</v>
      </c>
      <c r="E4828" s="5">
        <f ca="1">MAX(0,CP*(D4828-K))</f>
        <v>0</v>
      </c>
      <c r="F4828" s="4">
        <f ca="1">(CP*(D4828-K)&gt;0)*1</f>
        <v>0</v>
      </c>
      <c r="H4828" s="4">
        <v>4813</v>
      </c>
      <c r="I4828" s="3">
        <v>0.66764180766499448</v>
      </c>
      <c r="J4828" s="128">
        <v>1.2306625548718108E-3</v>
      </c>
      <c r="K4828" s="128"/>
      <c r="L4828" s="128">
        <v>3.9199999999999999E-2</v>
      </c>
      <c r="O4828" s="2"/>
    </row>
    <row r="4829" spans="2:15" x14ac:dyDescent="0.2">
      <c r="B4829" s="1">
        <f>B4828+1</f>
        <v>4814</v>
      </c>
      <c r="C4829" s="5">
        <f ca="1"/>
        <v>0.84208123166780602</v>
      </c>
      <c r="D4829" s="5">
        <f ca="1">S0*EXP((μ-0.5*σ*σ)*T+σ*SQRT(T)*$C4829)</f>
        <v>0.72202669002845732</v>
      </c>
      <c r="E4829" s="5">
        <f ca="1">MAX(0,CP*(D4829-K))</f>
        <v>0</v>
      </c>
      <c r="F4829" s="4">
        <f ca="1">(CP*(D4829-K)&gt;0)*1</f>
        <v>0</v>
      </c>
      <c r="H4829" s="4">
        <v>4814</v>
      </c>
      <c r="I4829" s="3">
        <v>0.66774813598490235</v>
      </c>
      <c r="J4829" s="128">
        <v>1.3546561294210989E-3</v>
      </c>
      <c r="K4829" s="128"/>
      <c r="L4829" s="128">
        <v>4.3200000000000002E-2</v>
      </c>
      <c r="O4829" s="2"/>
    </row>
    <row r="4830" spans="2:15" x14ac:dyDescent="0.2">
      <c r="B4830" s="1">
        <f>B4829+1</f>
        <v>4815</v>
      </c>
      <c r="C4830" s="5">
        <f ca="1"/>
        <v>1.9933442078744128</v>
      </c>
      <c r="D4830" s="5">
        <f ca="1">S0*EXP((μ-0.5*σ*σ)*T+σ*SQRT(T)*$C4830)</f>
        <v>0.80880852571463979</v>
      </c>
      <c r="E4830" s="5">
        <f ca="1">MAX(0,CP*(D4830-K))</f>
        <v>2.060852571463978E-2</v>
      </c>
      <c r="F4830" s="4">
        <f ca="1">(CP*(D4830-K)&gt;0)*1</f>
        <v>1</v>
      </c>
      <c r="H4830" s="4">
        <v>4815</v>
      </c>
      <c r="I4830" s="3">
        <v>0.66779348165100638</v>
      </c>
      <c r="J4830" s="128">
        <v>1.3388934789546473E-3</v>
      </c>
      <c r="K4830" s="128"/>
      <c r="L4830" s="128">
        <v>5.0999999999999997E-2</v>
      </c>
      <c r="O4830" s="2"/>
    </row>
    <row r="4831" spans="2:15" x14ac:dyDescent="0.2">
      <c r="B4831" s="1">
        <f>B4830+1</f>
        <v>4816</v>
      </c>
      <c r="C4831" s="5">
        <f ca="1"/>
        <v>-0.93269963093261787</v>
      </c>
      <c r="D4831" s="5">
        <f ca="1">S0*EXP((μ-0.5*σ*σ)*T+σ*SQRT(T)*$C4831)</f>
        <v>0.6061278578803686</v>
      </c>
      <c r="E4831" s="5">
        <f ca="1">MAX(0,CP*(D4831-K))</f>
        <v>0</v>
      </c>
      <c r="F4831" s="4">
        <f ca="1">(CP*(D4831-K)&gt;0)*1</f>
        <v>0</v>
      </c>
      <c r="H4831" s="4">
        <v>4816</v>
      </c>
      <c r="I4831" s="3">
        <v>0.66764206523227931</v>
      </c>
      <c r="J4831" s="128">
        <v>1.2663432055675511E-3</v>
      </c>
      <c r="K4831" s="128"/>
      <c r="L4831" s="128">
        <v>3.8800000000000001E-2</v>
      </c>
      <c r="O4831" s="2"/>
    </row>
    <row r="4832" spans="2:15" x14ac:dyDescent="0.2">
      <c r="B4832" s="1">
        <f>B4831+1</f>
        <v>4817</v>
      </c>
      <c r="C4832" s="5">
        <f ca="1"/>
        <v>-0.3310562316223552</v>
      </c>
      <c r="D4832" s="5">
        <f ca="1">S0*EXP((μ-0.5*σ*σ)*T+σ*SQRT(T)*$C4832)</f>
        <v>0.64316766906328526</v>
      </c>
      <c r="E4832" s="5">
        <f ca="1">MAX(0,CP*(D4832-K))</f>
        <v>0</v>
      </c>
      <c r="F4832" s="4">
        <f ca="1">(CP*(D4832-K)&gt;0)*1</f>
        <v>0</v>
      </c>
      <c r="H4832" s="4">
        <v>4817</v>
      </c>
      <c r="I4832" s="3">
        <v>0.6677038843906864</v>
      </c>
      <c r="J4832" s="128">
        <v>1.4082843383676018E-3</v>
      </c>
      <c r="K4832" s="128"/>
      <c r="L4832" s="128">
        <v>4.1399999999999999E-2</v>
      </c>
      <c r="O4832" s="2"/>
    </row>
    <row r="4833" spans="2:15" x14ac:dyDescent="0.2">
      <c r="B4833" s="1">
        <f>B4832+1</f>
        <v>4818</v>
      </c>
      <c r="C4833" s="5">
        <f ca="1"/>
        <v>0.91266990968483752</v>
      </c>
      <c r="D4833" s="5">
        <f ca="1">S0*EXP((μ-0.5*σ*σ)*T+σ*SQRT(T)*$C4833)</f>
        <v>0.72706891314791933</v>
      </c>
      <c r="E4833" s="5">
        <f ca="1">MAX(0,CP*(D4833-K))</f>
        <v>0</v>
      </c>
      <c r="F4833" s="4">
        <f ca="1">(CP*(D4833-K)&gt;0)*1</f>
        <v>0</v>
      </c>
      <c r="H4833" s="4">
        <v>4818</v>
      </c>
      <c r="I4833" s="3">
        <v>0.66782918588746465</v>
      </c>
      <c r="J4833" s="128">
        <v>1.4940771521003524E-3</v>
      </c>
      <c r="K4833" s="128"/>
      <c r="L4833" s="128">
        <v>4.4600000000000001E-2</v>
      </c>
      <c r="O4833" s="2"/>
    </row>
    <row r="4834" spans="2:15" x14ac:dyDescent="0.2">
      <c r="B4834" s="1">
        <f>B4833+1</f>
        <v>4819</v>
      </c>
      <c r="C4834" s="5">
        <f ca="1"/>
        <v>-1.0626115691696945</v>
      </c>
      <c r="D4834" s="5">
        <f ca="1">S0*EXP((μ-0.5*σ*σ)*T+σ*SQRT(T)*$C4834)</f>
        <v>0.5984142627201583</v>
      </c>
      <c r="E4834" s="5">
        <f ca="1">MAX(0,CP*(D4834-K))</f>
        <v>0</v>
      </c>
      <c r="F4834" s="4">
        <f ca="1">(CP*(D4834-K)&gt;0)*1</f>
        <v>0</v>
      </c>
      <c r="H4834" s="4">
        <v>4819</v>
      </c>
      <c r="I4834" s="3">
        <v>0.66772612937176135</v>
      </c>
      <c r="J4834" s="128">
        <v>1.3051230029186177E-3</v>
      </c>
      <c r="K4834" s="128"/>
      <c r="L4834" s="128">
        <v>4.1000000000000002E-2</v>
      </c>
      <c r="O4834" s="2"/>
    </row>
    <row r="4835" spans="2:15" x14ac:dyDescent="0.2">
      <c r="B4835" s="1">
        <f>B4834+1</f>
        <v>4820</v>
      </c>
      <c r="C4835" s="5">
        <f ca="1"/>
        <v>-0.22385813556214673</v>
      </c>
      <c r="D4835" s="5">
        <f ca="1">S0*EXP((μ-0.5*σ*σ)*T+σ*SQRT(T)*$C4835)</f>
        <v>0.65000096005313079</v>
      </c>
      <c r="E4835" s="5">
        <f ca="1">MAX(0,CP*(D4835-K))</f>
        <v>0</v>
      </c>
      <c r="F4835" s="4">
        <f ca="1">(CP*(D4835-K)&gt;0)*1</f>
        <v>0</v>
      </c>
      <c r="H4835" s="4">
        <v>4820</v>
      </c>
      <c r="I4835" s="3">
        <v>0.66776467376154491</v>
      </c>
      <c r="J4835" s="128">
        <v>1.2192780980783409E-3</v>
      </c>
      <c r="K4835" s="128"/>
      <c r="L4835" s="128">
        <v>4.1200000000000001E-2</v>
      </c>
      <c r="O4835" s="2"/>
    </row>
    <row r="4836" spans="2:15" x14ac:dyDescent="0.2">
      <c r="B4836" s="1">
        <f>B4835+1</f>
        <v>4821</v>
      </c>
      <c r="C4836" s="5">
        <f ca="1"/>
        <v>-0.65110759084990966</v>
      </c>
      <c r="D4836" s="5">
        <f ca="1">S0*EXP((μ-0.5*σ*σ)*T+σ*SQRT(T)*$C4836)</f>
        <v>0.62319059136573751</v>
      </c>
      <c r="E4836" s="5">
        <f ca="1">MAX(0,CP*(D4836-K))</f>
        <v>0</v>
      </c>
      <c r="F4836" s="4">
        <f ca="1">(CP*(D4836-K)&gt;0)*1</f>
        <v>0</v>
      </c>
      <c r="H4836" s="4">
        <v>4821</v>
      </c>
      <c r="I4836" s="3">
        <v>0.66775644953999413</v>
      </c>
      <c r="J4836" s="128">
        <v>1.4158808842337437E-3</v>
      </c>
      <c r="K4836" s="128"/>
      <c r="L4836" s="128">
        <v>4.1200000000000001E-2</v>
      </c>
      <c r="O4836" s="2"/>
    </row>
    <row r="4837" spans="2:15" x14ac:dyDescent="0.2">
      <c r="B4837" s="1">
        <f>B4836+1</f>
        <v>4822</v>
      </c>
      <c r="C4837" s="5">
        <f ca="1"/>
        <v>-0.58558688258758107</v>
      </c>
      <c r="D4837" s="5">
        <f ca="1">S0*EXP((μ-0.5*σ*σ)*T+σ*SQRT(T)*$C4837)</f>
        <v>0.62722913346098763</v>
      </c>
      <c r="E4837" s="5">
        <f ca="1">MAX(0,CP*(D4837-K))</f>
        <v>0</v>
      </c>
      <c r="F4837" s="4">
        <f ca="1">(CP*(D4837-K)&gt;0)*1</f>
        <v>0</v>
      </c>
      <c r="H4837" s="4">
        <v>4822</v>
      </c>
      <c r="I4837" s="3">
        <v>0.66778978501601738</v>
      </c>
      <c r="J4837" s="128">
        <v>1.4135838097162755E-3</v>
      </c>
      <c r="K4837" s="128"/>
      <c r="L4837" s="128">
        <v>4.24E-2</v>
      </c>
      <c r="O4837" s="2"/>
    </row>
    <row r="4838" spans="2:15" x14ac:dyDescent="0.2">
      <c r="B4838" s="1">
        <f>B4837+1</f>
        <v>4823</v>
      </c>
      <c r="C4838" s="5">
        <f ca="1"/>
        <v>5.7950151842797705E-2</v>
      </c>
      <c r="D4838" s="5">
        <f ca="1">S0*EXP((μ-0.5*σ*σ)*T+σ*SQRT(T)*$C4838)</f>
        <v>0.66831298612024681</v>
      </c>
      <c r="E4838" s="5">
        <f ca="1">MAX(0,CP*(D4838-K))</f>
        <v>0</v>
      </c>
      <c r="F4838" s="4">
        <f ca="1">(CP*(D4838-K)&gt;0)*1</f>
        <v>0</v>
      </c>
      <c r="H4838" s="4">
        <v>4823</v>
      </c>
      <c r="I4838" s="3">
        <v>0.66777816566783699</v>
      </c>
      <c r="J4838" s="128">
        <v>1.4292422842904547E-3</v>
      </c>
      <c r="K4838" s="128"/>
      <c r="L4838" s="128">
        <v>4.1799999999999997E-2</v>
      </c>
      <c r="O4838" s="2"/>
    </row>
    <row r="4839" spans="2:15" x14ac:dyDescent="0.2">
      <c r="B4839" s="1">
        <f>B4838+1</f>
        <v>4824</v>
      </c>
      <c r="C4839" s="5">
        <f ca="1"/>
        <v>-0.3979459835151819</v>
      </c>
      <c r="D4839" s="5">
        <f ca="1">S0*EXP((μ-0.5*σ*σ)*T+σ*SQRT(T)*$C4839)</f>
        <v>0.63894025953452871</v>
      </c>
      <c r="E4839" s="5">
        <f ca="1">MAX(0,CP*(D4839-K))</f>
        <v>0</v>
      </c>
      <c r="F4839" s="4">
        <f ca="1">(CP*(D4839-K)&gt;0)*1</f>
        <v>0</v>
      </c>
      <c r="H4839" s="4">
        <v>4824</v>
      </c>
      <c r="I4839" s="3">
        <v>0.66772835343249359</v>
      </c>
      <c r="J4839" s="128">
        <v>1.398076990917999E-3</v>
      </c>
      <c r="K4839" s="128"/>
      <c r="L4839" s="128">
        <v>4.0599999999999997E-2</v>
      </c>
      <c r="O4839" s="2"/>
    </row>
    <row r="4840" spans="2:15" x14ac:dyDescent="0.2">
      <c r="B4840" s="1">
        <f>B4839+1</f>
        <v>4825</v>
      </c>
      <c r="C4840" s="5">
        <f ca="1"/>
        <v>-0.1199041161857634</v>
      </c>
      <c r="D4840" s="5">
        <f ca="1">S0*EXP((μ-0.5*σ*σ)*T+σ*SQRT(T)*$C4840)</f>
        <v>0.65669678903143847</v>
      </c>
      <c r="E4840" s="5">
        <f ca="1">MAX(0,CP*(D4840-K))</f>
        <v>0</v>
      </c>
      <c r="F4840" s="4">
        <f ca="1">(CP*(D4840-K)&gt;0)*1</f>
        <v>0</v>
      </c>
      <c r="H4840" s="4">
        <v>4825</v>
      </c>
      <c r="I4840" s="3">
        <v>0.66786018588980378</v>
      </c>
      <c r="J4840" s="128">
        <v>1.5906444731304654E-3</v>
      </c>
      <c r="K4840" s="128"/>
      <c r="L4840" s="128">
        <v>4.7800000000000002E-2</v>
      </c>
      <c r="O4840" s="2"/>
    </row>
    <row r="4841" spans="2:15" x14ac:dyDescent="0.2">
      <c r="B4841" s="1">
        <f>B4840+1</f>
        <v>4826</v>
      </c>
      <c r="C4841" s="5">
        <f ca="1"/>
        <v>-0.81140660621111527</v>
      </c>
      <c r="D4841" s="5">
        <f ca="1">S0*EXP((μ-0.5*σ*σ)*T+σ*SQRT(T)*$C4841)</f>
        <v>0.61341942738531574</v>
      </c>
      <c r="E4841" s="5">
        <f ca="1">MAX(0,CP*(D4841-K))</f>
        <v>0</v>
      </c>
      <c r="F4841" s="4">
        <f ca="1">(CP*(D4841-K)&gt;0)*1</f>
        <v>0</v>
      </c>
      <c r="H4841" s="4">
        <v>4826</v>
      </c>
      <c r="I4841" s="3">
        <v>0.66777058863497352</v>
      </c>
      <c r="J4841" s="128">
        <v>1.435775867666674E-3</v>
      </c>
      <c r="K4841" s="128"/>
      <c r="L4841" s="128">
        <v>4.1200000000000001E-2</v>
      </c>
      <c r="O4841" s="2"/>
    </row>
    <row r="4842" spans="2:15" x14ac:dyDescent="0.2">
      <c r="B4842" s="1">
        <f>B4841+1</f>
        <v>4827</v>
      </c>
      <c r="C4842" s="5">
        <f ca="1"/>
        <v>0.25617408561495947</v>
      </c>
      <c r="D4842" s="5">
        <f ca="1">S0*EXP((μ-0.5*σ*σ)*T+σ*SQRT(T)*$C4842)</f>
        <v>0.68150187469850521</v>
      </c>
      <c r="E4842" s="5">
        <f ca="1">MAX(0,CP*(D4842-K))</f>
        <v>0</v>
      </c>
      <c r="F4842" s="4">
        <f ca="1">(CP*(D4842-K)&gt;0)*1</f>
        <v>0</v>
      </c>
      <c r="H4842" s="4">
        <v>4827</v>
      </c>
      <c r="I4842" s="3">
        <v>0.6676221109246685</v>
      </c>
      <c r="J4842" s="128">
        <v>1.1707250222299213E-3</v>
      </c>
      <c r="K4842" s="128"/>
      <c r="L4842" s="128">
        <v>3.9199999999999999E-2</v>
      </c>
      <c r="O4842" s="2"/>
    </row>
    <row r="4843" spans="2:15" x14ac:dyDescent="0.2">
      <c r="B4843" s="1">
        <f>B4842+1</f>
        <v>4828</v>
      </c>
      <c r="C4843" s="5">
        <f ca="1"/>
        <v>-1.8863867367273899</v>
      </c>
      <c r="D4843" s="5">
        <f ca="1">S0*EXP((μ-0.5*σ*σ)*T+σ*SQRT(T)*$C4843)</f>
        <v>0.55173582384449138</v>
      </c>
      <c r="E4843" s="5">
        <f ca="1">MAX(0,CP*(D4843-K))</f>
        <v>0</v>
      </c>
      <c r="F4843" s="4">
        <f ca="1">(CP*(D4843-K)&gt;0)*1</f>
        <v>0</v>
      </c>
      <c r="H4843" s="4">
        <v>4828</v>
      </c>
      <c r="I4843" s="3">
        <v>0.66763421660033906</v>
      </c>
      <c r="J4843" s="128">
        <v>1.1634471886978542E-3</v>
      </c>
      <c r="K4843" s="128"/>
      <c r="L4843" s="128">
        <v>3.8199999999999998E-2</v>
      </c>
      <c r="O4843" s="2"/>
    </row>
    <row r="4844" spans="2:15" x14ac:dyDescent="0.2">
      <c r="B4844" s="1">
        <f>B4843+1</f>
        <v>4829</v>
      </c>
      <c r="C4844" s="5">
        <f ca="1"/>
        <v>-0.75968840775032043</v>
      </c>
      <c r="D4844" s="5">
        <f ca="1">S0*EXP((μ-0.5*σ*σ)*T+σ*SQRT(T)*$C4844)</f>
        <v>0.61655509693521049</v>
      </c>
      <c r="E4844" s="5">
        <f ca="1">MAX(0,CP*(D4844-K))</f>
        <v>0</v>
      </c>
      <c r="F4844" s="4">
        <f ca="1">(CP*(D4844-K)&gt;0)*1</f>
        <v>0</v>
      </c>
      <c r="H4844" s="4">
        <v>4829</v>
      </c>
      <c r="I4844" s="3">
        <v>0.66765918397293489</v>
      </c>
      <c r="J4844" s="128">
        <v>1.2587501043268474E-3</v>
      </c>
      <c r="K4844" s="128"/>
      <c r="L4844" s="128">
        <v>3.8399999999999997E-2</v>
      </c>
      <c r="O4844" s="2"/>
    </row>
    <row r="4845" spans="2:15" x14ac:dyDescent="0.2">
      <c r="B4845" s="1">
        <f>B4844+1</f>
        <v>4830</v>
      </c>
      <c r="C4845" s="5">
        <f ca="1"/>
        <v>1.5396088489842477</v>
      </c>
      <c r="D4845" s="5">
        <f ca="1">S0*EXP((μ-0.5*σ*σ)*T+σ*SQRT(T)*$C4845)</f>
        <v>0.77342568403646228</v>
      </c>
      <c r="E4845" s="5">
        <f ca="1">MAX(0,CP*(D4845-K))</f>
        <v>0</v>
      </c>
      <c r="F4845" s="4">
        <f ca="1">(CP*(D4845-K)&gt;0)*1</f>
        <v>0</v>
      </c>
      <c r="H4845" s="4">
        <v>4830</v>
      </c>
      <c r="I4845" s="3">
        <v>0.66762471834809922</v>
      </c>
      <c r="J4845" s="128">
        <v>1.1630620259261044E-3</v>
      </c>
      <c r="K4845" s="128"/>
      <c r="L4845" s="128">
        <v>3.9399999999999998E-2</v>
      </c>
      <c r="O4845" s="2"/>
    </row>
    <row r="4846" spans="2:15" x14ac:dyDescent="0.2">
      <c r="B4846" s="1">
        <f>B4845+1</f>
        <v>4831</v>
      </c>
      <c r="C4846" s="5">
        <f ca="1"/>
        <v>3.464443210640953E-2</v>
      </c>
      <c r="D4846" s="5">
        <f ca="1">S0*EXP((μ-0.5*σ*σ)*T+σ*SQRT(T)*$C4846)</f>
        <v>0.66677919822173071</v>
      </c>
      <c r="E4846" s="5">
        <f ca="1">MAX(0,CP*(D4846-K))</f>
        <v>0</v>
      </c>
      <c r="F4846" s="4">
        <f ca="1">(CP*(D4846-K)&gt;0)*1</f>
        <v>0</v>
      </c>
      <c r="H4846" s="4">
        <v>4831</v>
      </c>
      <c r="I4846" s="3">
        <v>0.66784339433077045</v>
      </c>
      <c r="J4846" s="128">
        <v>1.3896081647026251E-3</v>
      </c>
      <c r="K4846" s="128"/>
      <c r="L4846" s="128">
        <v>4.58E-2</v>
      </c>
      <c r="O4846" s="2"/>
    </row>
    <row r="4847" spans="2:15" x14ac:dyDescent="0.2">
      <c r="B4847" s="1">
        <f>B4846+1</f>
        <v>4832</v>
      </c>
      <c r="C4847" s="5">
        <f ca="1"/>
        <v>1.182047703098305</v>
      </c>
      <c r="D4847" s="5">
        <f ca="1">S0*EXP((μ-0.5*σ*σ)*T+σ*SQRT(T)*$C4847)</f>
        <v>0.74663656394543587</v>
      </c>
      <c r="E4847" s="5">
        <f ca="1">MAX(0,CP*(D4847-K))</f>
        <v>0</v>
      </c>
      <c r="F4847" s="4">
        <f ca="1">(CP*(D4847-K)&gt;0)*1</f>
        <v>0</v>
      </c>
      <c r="H4847" s="4">
        <v>4832</v>
      </c>
      <c r="I4847" s="3">
        <v>0.66778352081727876</v>
      </c>
      <c r="J4847" s="128">
        <v>1.3294385785280341E-3</v>
      </c>
      <c r="K4847" s="128"/>
      <c r="L4847" s="128">
        <v>3.7999999999999999E-2</v>
      </c>
      <c r="O4847" s="2"/>
    </row>
    <row r="4848" spans="2:15" x14ac:dyDescent="0.2">
      <c r="B4848" s="1">
        <f>B4847+1</f>
        <v>4833</v>
      </c>
      <c r="C4848" s="5">
        <f ca="1"/>
        <v>-1.244866797445068</v>
      </c>
      <c r="D4848" s="5">
        <f ca="1">S0*EXP((μ-0.5*σ*σ)*T+σ*SQRT(T)*$C4848)</f>
        <v>0.58775792992511311</v>
      </c>
      <c r="E4848" s="5">
        <f ca="1">MAX(0,CP*(D4848-K))</f>
        <v>0</v>
      </c>
      <c r="F4848" s="4">
        <f ca="1">(CP*(D4848-K)&gt;0)*1</f>
        <v>0</v>
      </c>
      <c r="H4848" s="4">
        <v>4833</v>
      </c>
      <c r="I4848" s="3">
        <v>0.66779674224972774</v>
      </c>
      <c r="J4848" s="128">
        <v>1.4259148382746755E-3</v>
      </c>
      <c r="K4848" s="128"/>
      <c r="L4848" s="128">
        <v>4.36E-2</v>
      </c>
      <c r="O4848" s="2"/>
    </row>
    <row r="4849" spans="2:15" x14ac:dyDescent="0.2">
      <c r="B4849" s="1">
        <f>B4848+1</f>
        <v>4834</v>
      </c>
      <c r="C4849" s="5">
        <f ca="1"/>
        <v>1.2305360288607257</v>
      </c>
      <c r="D4849" s="5">
        <f ca="1">S0*EXP((μ-0.5*σ*σ)*T+σ*SQRT(T)*$C4849)</f>
        <v>0.75021428613832475</v>
      </c>
      <c r="E4849" s="5">
        <f ca="1">MAX(0,CP*(D4849-K))</f>
        <v>0</v>
      </c>
      <c r="F4849" s="4">
        <f ca="1">(CP*(D4849-K)&gt;0)*1</f>
        <v>0</v>
      </c>
      <c r="H4849" s="4">
        <v>4834</v>
      </c>
      <c r="I4849" s="3">
        <v>0.66782854476148612</v>
      </c>
      <c r="J4849" s="128">
        <v>1.5232360590222665E-3</v>
      </c>
      <c r="K4849" s="128"/>
      <c r="L4849" s="128">
        <v>4.3799999999999999E-2</v>
      </c>
      <c r="O4849" s="2"/>
    </row>
    <row r="4850" spans="2:15" x14ac:dyDescent="0.2">
      <c r="B4850" s="1">
        <f>B4849+1</f>
        <v>4835</v>
      </c>
      <c r="C4850" s="5">
        <f ca="1"/>
        <v>1.3480435621027334</v>
      </c>
      <c r="D4850" s="5">
        <f ca="1">S0*EXP((μ-0.5*σ*σ)*T+σ*SQRT(T)*$C4850)</f>
        <v>0.7589558833105623</v>
      </c>
      <c r="E4850" s="5">
        <f ca="1">MAX(0,CP*(D4850-K))</f>
        <v>0</v>
      </c>
      <c r="F4850" s="4">
        <f ca="1">(CP*(D4850-K)&gt;0)*1</f>
        <v>0</v>
      </c>
      <c r="H4850" s="4">
        <v>4835</v>
      </c>
      <c r="I4850" s="3">
        <v>0.66777227699343089</v>
      </c>
      <c r="J4850" s="128">
        <v>1.3681281490513222E-3</v>
      </c>
      <c r="K4850" s="128"/>
      <c r="L4850" s="128">
        <v>4.2000000000000003E-2</v>
      </c>
      <c r="O4850" s="2"/>
    </row>
    <row r="4851" spans="2:15" x14ac:dyDescent="0.2">
      <c r="B4851" s="1">
        <f>B4850+1</f>
        <v>4836</v>
      </c>
      <c r="C4851" s="5">
        <f ca="1"/>
        <v>0.63380625385273637</v>
      </c>
      <c r="D4851" s="5">
        <f ca="1">S0*EXP((μ-0.5*σ*σ)*T+σ*SQRT(T)*$C4851)</f>
        <v>0.7073522699106537</v>
      </c>
      <c r="E4851" s="5">
        <f ca="1">MAX(0,CP*(D4851-K))</f>
        <v>0</v>
      </c>
      <c r="F4851" s="4">
        <f ca="1">(CP*(D4851-K)&gt;0)*1</f>
        <v>0</v>
      </c>
      <c r="H4851" s="4">
        <v>4836</v>
      </c>
      <c r="I4851" s="3">
        <v>0.66781120820032269</v>
      </c>
      <c r="J4851" s="128">
        <v>1.4025653223129428E-3</v>
      </c>
      <c r="K4851" s="128"/>
      <c r="L4851" s="128">
        <v>4.2999999999999997E-2</v>
      </c>
      <c r="O4851" s="2"/>
    </row>
    <row r="4852" spans="2:15" x14ac:dyDescent="0.2">
      <c r="B4852" s="1">
        <f>B4851+1</f>
        <v>4837</v>
      </c>
      <c r="C4852" s="5">
        <f ca="1"/>
        <v>-0.50265415775068778</v>
      </c>
      <c r="D4852" s="5">
        <f ca="1">S0*EXP((μ-0.5*σ*σ)*T+σ*SQRT(T)*$C4852)</f>
        <v>0.63237846092154748</v>
      </c>
      <c r="E4852" s="5">
        <f ca="1">MAX(0,CP*(D4852-K))</f>
        <v>0</v>
      </c>
      <c r="F4852" s="4">
        <f ca="1">(CP*(D4852-K)&gt;0)*1</f>
        <v>0</v>
      </c>
      <c r="H4852" s="4">
        <v>4837</v>
      </c>
      <c r="I4852" s="3">
        <v>0.66782229467697896</v>
      </c>
      <c r="J4852" s="128">
        <v>1.5302001225048192E-3</v>
      </c>
      <c r="K4852" s="128"/>
      <c r="L4852" s="128">
        <v>4.4600000000000001E-2</v>
      </c>
      <c r="O4852" s="2"/>
    </row>
    <row r="4853" spans="2:15" x14ac:dyDescent="0.2">
      <c r="B4853" s="1">
        <f>B4852+1</f>
        <v>4838</v>
      </c>
      <c r="C4853" s="5">
        <f ca="1"/>
        <v>-0.88152057204420231</v>
      </c>
      <c r="D4853" s="5">
        <f ca="1">S0*EXP((μ-0.5*σ*σ)*T+σ*SQRT(T)*$C4853)</f>
        <v>0.60919387349810106</v>
      </c>
      <c r="E4853" s="5">
        <f ca="1">MAX(0,CP*(D4853-K))</f>
        <v>0</v>
      </c>
      <c r="F4853" s="4">
        <f ca="1">(CP*(D4853-K)&gt;0)*1</f>
        <v>0</v>
      </c>
      <c r="H4853" s="4">
        <v>4838</v>
      </c>
      <c r="I4853" s="3">
        <v>0.66774906593262251</v>
      </c>
      <c r="J4853" s="128">
        <v>1.4019048792248869E-3</v>
      </c>
      <c r="K4853" s="128"/>
      <c r="L4853" s="128">
        <v>4.1000000000000002E-2</v>
      </c>
      <c r="O4853" s="2"/>
    </row>
    <row r="4854" spans="2:15" x14ac:dyDescent="0.2">
      <c r="B4854" s="1">
        <f>B4853+1</f>
        <v>4839</v>
      </c>
      <c r="C4854" s="5">
        <f ca="1"/>
        <v>0.59875567643644001</v>
      </c>
      <c r="D4854" s="5">
        <f ca="1">S0*EXP((μ-0.5*σ*σ)*T+σ*SQRT(T)*$C4854)</f>
        <v>0.70491219869195376</v>
      </c>
      <c r="E4854" s="5">
        <f ca="1">MAX(0,CP*(D4854-K))</f>
        <v>0</v>
      </c>
      <c r="F4854" s="4">
        <f ca="1">(CP*(D4854-K)&gt;0)*1</f>
        <v>0</v>
      </c>
      <c r="H4854" s="4">
        <v>4839</v>
      </c>
      <c r="I4854" s="3">
        <v>0.66789372259491298</v>
      </c>
      <c r="J4854" s="128">
        <v>1.6277814888993917E-3</v>
      </c>
      <c r="K4854" s="128"/>
      <c r="L4854" s="128">
        <v>4.48E-2</v>
      </c>
      <c r="O4854" s="2"/>
    </row>
    <row r="4855" spans="2:15" x14ac:dyDescent="0.2">
      <c r="B4855" s="1">
        <f>B4854+1</f>
        <v>4840</v>
      </c>
      <c r="C4855" s="5">
        <f ca="1"/>
        <v>0.22670913979748186</v>
      </c>
      <c r="D4855" s="5">
        <f ca="1">S0*EXP((μ-0.5*σ*σ)*T+σ*SQRT(T)*$C4855)</f>
        <v>0.67952506988713535</v>
      </c>
      <c r="E4855" s="5">
        <f ca="1">MAX(0,CP*(D4855-K))</f>
        <v>0</v>
      </c>
      <c r="F4855" s="4">
        <f ca="1">(CP*(D4855-K)&gt;0)*1</f>
        <v>0</v>
      </c>
      <c r="H4855" s="4">
        <v>4840</v>
      </c>
      <c r="I4855" s="3">
        <v>0.66752622485768986</v>
      </c>
      <c r="J4855" s="128">
        <v>1.1979471449728738E-3</v>
      </c>
      <c r="K4855" s="128"/>
      <c r="L4855" s="128">
        <v>3.78E-2</v>
      </c>
      <c r="O4855" s="2"/>
    </row>
    <row r="4856" spans="2:15" x14ac:dyDescent="0.2">
      <c r="B4856" s="1">
        <f>B4855+1</f>
        <v>4841</v>
      </c>
      <c r="C4856" s="5">
        <f ca="1"/>
        <v>-8.466374543841558E-2</v>
      </c>
      <c r="D4856" s="5">
        <f ca="1">S0*EXP((μ-0.5*σ*σ)*T+σ*SQRT(T)*$C4856)</f>
        <v>0.65898229166611633</v>
      </c>
      <c r="E4856" s="5">
        <f ca="1">MAX(0,CP*(D4856-K))</f>
        <v>0</v>
      </c>
      <c r="F4856" s="4">
        <f ca="1">(CP*(D4856-K)&gt;0)*1</f>
        <v>0</v>
      </c>
      <c r="H4856" s="4">
        <v>4841</v>
      </c>
      <c r="I4856" s="3">
        <v>0.66764719536757322</v>
      </c>
      <c r="J4856" s="128">
        <v>1.36384717889259E-3</v>
      </c>
      <c r="K4856" s="128"/>
      <c r="L4856" s="128">
        <v>4.0800000000000003E-2</v>
      </c>
      <c r="O4856" s="2"/>
    </row>
    <row r="4857" spans="2:15" x14ac:dyDescent="0.2">
      <c r="B4857" s="1">
        <f>B4856+1</f>
        <v>4842</v>
      </c>
      <c r="C4857" s="5">
        <f ca="1"/>
        <v>0.52648954710672868</v>
      </c>
      <c r="D4857" s="5">
        <f ca="1">S0*EXP((μ-0.5*σ*σ)*T+σ*SQRT(T)*$C4857)</f>
        <v>0.69990787508093422</v>
      </c>
      <c r="E4857" s="5">
        <f ca="1">MAX(0,CP*(D4857-K))</f>
        <v>0</v>
      </c>
      <c r="F4857" s="4">
        <f ca="1">(CP*(D4857-K)&gt;0)*1</f>
        <v>0</v>
      </c>
      <c r="H4857" s="4">
        <v>4842</v>
      </c>
      <c r="I4857" s="3">
        <v>0.66772738674144061</v>
      </c>
      <c r="J4857" s="128">
        <v>1.3348357076360558E-3</v>
      </c>
      <c r="K4857" s="128"/>
      <c r="L4857" s="128">
        <v>4.3400000000000001E-2</v>
      </c>
      <c r="O4857" s="2"/>
    </row>
    <row r="4858" spans="2:15" x14ac:dyDescent="0.2">
      <c r="B4858" s="1">
        <f>B4857+1</f>
        <v>4843</v>
      </c>
      <c r="C4858" s="5">
        <f ca="1"/>
        <v>-0.6368000475994624</v>
      </c>
      <c r="D4858" s="5">
        <f ca="1">S0*EXP((μ-0.5*σ*σ)*T+σ*SQRT(T)*$C4858)</f>
        <v>0.62407024967166225</v>
      </c>
      <c r="E4858" s="5">
        <f ca="1">MAX(0,CP*(D4858-K))</f>
        <v>0</v>
      </c>
      <c r="F4858" s="4">
        <f ca="1">(CP*(D4858-K)&gt;0)*1</f>
        <v>0</v>
      </c>
      <c r="H4858" s="4">
        <v>4843</v>
      </c>
      <c r="I4858" s="3">
        <v>0.66789775339166213</v>
      </c>
      <c r="J4858" s="128">
        <v>1.4959074668834257E-3</v>
      </c>
      <c r="K4858" s="128"/>
      <c r="L4858" s="128">
        <v>4.2799999999999998E-2</v>
      </c>
      <c r="O4858" s="2"/>
    </row>
    <row r="4859" spans="2:15" x14ac:dyDescent="0.2">
      <c r="B4859" s="1">
        <f>B4858+1</f>
        <v>4844</v>
      </c>
      <c r="C4859" s="5">
        <f ca="1"/>
        <v>0.25393014201474384</v>
      </c>
      <c r="D4859" s="5">
        <f ca="1">S0*EXP((μ-0.5*σ*σ)*T+σ*SQRT(T)*$C4859)</f>
        <v>0.68135112631112482</v>
      </c>
      <c r="E4859" s="5">
        <f ca="1">MAX(0,CP*(D4859-K))</f>
        <v>0</v>
      </c>
      <c r="F4859" s="4">
        <f ca="1">(CP*(D4859-K)&gt;0)*1</f>
        <v>0</v>
      </c>
      <c r="H4859" s="4">
        <v>4844</v>
      </c>
      <c r="I4859" s="3">
        <v>0.66779420648472232</v>
      </c>
      <c r="J4859" s="128">
        <v>1.5587819713638895E-3</v>
      </c>
      <c r="K4859" s="128"/>
      <c r="L4859" s="128">
        <v>4.58E-2</v>
      </c>
      <c r="O4859" s="2"/>
    </row>
    <row r="4860" spans="2:15" x14ac:dyDescent="0.2">
      <c r="B4860" s="1">
        <f>B4859+1</f>
        <v>4845</v>
      </c>
      <c r="C4860" s="5">
        <f ca="1"/>
        <v>-0.38475010620661254</v>
      </c>
      <c r="D4860" s="5">
        <f ca="1">S0*EXP((μ-0.5*σ*σ)*T+σ*SQRT(T)*$C4860)</f>
        <v>0.6397720286131674</v>
      </c>
      <c r="E4860" s="5">
        <f ca="1">MAX(0,CP*(D4860-K))</f>
        <v>0</v>
      </c>
      <c r="F4860" s="4">
        <f ca="1">(CP*(D4860-K)&gt;0)*1</f>
        <v>0</v>
      </c>
      <c r="H4860" s="4">
        <v>4845</v>
      </c>
      <c r="I4860" s="3">
        <v>0.66776027295577067</v>
      </c>
      <c r="J4860" s="128">
        <v>1.3215676782395421E-3</v>
      </c>
      <c r="K4860" s="128"/>
      <c r="L4860" s="128">
        <v>4.1200000000000001E-2</v>
      </c>
      <c r="O4860" s="2"/>
    </row>
    <row r="4861" spans="2:15" x14ac:dyDescent="0.2">
      <c r="B4861" s="1">
        <f>B4860+1</f>
        <v>4846</v>
      </c>
      <c r="C4861" s="5">
        <f ca="1"/>
        <v>1.0143003028184754</v>
      </c>
      <c r="D4861" s="5">
        <f ca="1">S0*EXP((μ-0.5*σ*σ)*T+σ*SQRT(T)*$C4861)</f>
        <v>0.73439038542146373</v>
      </c>
      <c r="E4861" s="5">
        <f ca="1">MAX(0,CP*(D4861-K))</f>
        <v>0</v>
      </c>
      <c r="F4861" s="4">
        <f ca="1">(CP*(D4861-K)&gt;0)*1</f>
        <v>0</v>
      </c>
      <c r="H4861" s="4">
        <v>4846</v>
      </c>
      <c r="I4861" s="3">
        <v>0.66767426238530647</v>
      </c>
      <c r="J4861" s="128">
        <v>1.2508250153278118E-3</v>
      </c>
      <c r="K4861" s="128"/>
      <c r="L4861" s="128">
        <v>4.1799999999999997E-2</v>
      </c>
      <c r="O4861" s="2"/>
    </row>
    <row r="4862" spans="2:15" x14ac:dyDescent="0.2">
      <c r="B4862" s="1">
        <f>B4861+1</f>
        <v>4847</v>
      </c>
      <c r="C4862" s="5">
        <f ca="1"/>
        <v>1.6500850112902932</v>
      </c>
      <c r="D4862" s="5">
        <f ca="1">S0*EXP((μ-0.5*σ*σ)*T+σ*SQRT(T)*$C4862)</f>
        <v>0.78189554166052644</v>
      </c>
      <c r="E4862" s="5">
        <f ca="1">MAX(0,CP*(D4862-K))</f>
        <v>0</v>
      </c>
      <c r="F4862" s="4">
        <f ca="1">(CP*(D4862-K)&gt;0)*1</f>
        <v>0</v>
      </c>
      <c r="H4862" s="4">
        <v>4847</v>
      </c>
      <c r="I4862" s="3">
        <v>0.66796250329570339</v>
      </c>
      <c r="J4862" s="128">
        <v>1.6891221590503744E-3</v>
      </c>
      <c r="K4862" s="128"/>
      <c r="L4862" s="128">
        <v>4.7199999999999999E-2</v>
      </c>
      <c r="O4862" s="2"/>
    </row>
    <row r="4863" spans="2:15" x14ac:dyDescent="0.2">
      <c r="B4863" s="1">
        <f>B4862+1</f>
        <v>4848</v>
      </c>
      <c r="C4863" s="5">
        <f ca="1"/>
        <v>-0.94558671713379761</v>
      </c>
      <c r="D4863" s="5">
        <f ca="1">S0*EXP((μ-0.5*σ*σ)*T+σ*SQRT(T)*$C4863)</f>
        <v>0.60535825826606526</v>
      </c>
      <c r="E4863" s="5">
        <f ca="1">MAX(0,CP*(D4863-K))</f>
        <v>0</v>
      </c>
      <c r="F4863" s="4">
        <f ca="1">(CP*(D4863-K)&gt;0)*1</f>
        <v>0</v>
      </c>
      <c r="H4863" s="4">
        <v>4848</v>
      </c>
      <c r="I4863" s="3">
        <v>0.66779842007608625</v>
      </c>
      <c r="J4863" s="128">
        <v>1.4564322552079818E-3</v>
      </c>
      <c r="K4863" s="128"/>
      <c r="L4863" s="128">
        <v>4.02E-2</v>
      </c>
      <c r="O4863" s="2"/>
    </row>
    <row r="4864" spans="2:15" x14ac:dyDescent="0.2">
      <c r="B4864" s="1">
        <f>B4863+1</f>
        <v>4849</v>
      </c>
      <c r="C4864" s="5">
        <f ca="1"/>
        <v>-1.2929904247791011</v>
      </c>
      <c r="D4864" s="5">
        <f ca="1">S0*EXP((μ-0.5*σ*σ)*T+σ*SQRT(T)*$C4864)</f>
        <v>0.58497598357959979</v>
      </c>
      <c r="E4864" s="5">
        <f ca="1">MAX(0,CP*(D4864-K))</f>
        <v>0</v>
      </c>
      <c r="F4864" s="4">
        <f ca="1">(CP*(D4864-K)&gt;0)*1</f>
        <v>0</v>
      </c>
      <c r="H4864" s="4">
        <v>4849</v>
      </c>
      <c r="I4864" s="3">
        <v>0.66771600183870983</v>
      </c>
      <c r="J4864" s="128">
        <v>1.4984563654539902E-3</v>
      </c>
      <c r="K4864" s="128"/>
      <c r="L4864" s="128">
        <v>4.2599999999999999E-2</v>
      </c>
      <c r="O4864" s="2"/>
    </row>
    <row r="4865" spans="2:15" x14ac:dyDescent="0.2">
      <c r="B4865" s="1">
        <f>B4864+1</f>
        <v>4850</v>
      </c>
      <c r="C4865" s="5">
        <f ca="1"/>
        <v>2.3299768080733365</v>
      </c>
      <c r="D4865" s="5">
        <f ca="1">S0*EXP((μ-0.5*σ*σ)*T+σ*SQRT(T)*$C4865)</f>
        <v>0.83610145646363454</v>
      </c>
      <c r="E4865" s="5">
        <f ca="1">MAX(0,CP*(D4865-K))</f>
        <v>4.7901456463634529E-2</v>
      </c>
      <c r="F4865" s="4">
        <f ca="1">(CP*(D4865-K)&gt;0)*1</f>
        <v>1</v>
      </c>
      <c r="H4865" s="4">
        <v>4850</v>
      </c>
      <c r="I4865" s="3">
        <v>0.66795254134465742</v>
      </c>
      <c r="J4865" s="128">
        <v>1.6327649144187437E-3</v>
      </c>
      <c r="K4865" s="128"/>
      <c r="L4865" s="128">
        <v>4.6800000000000001E-2</v>
      </c>
      <c r="O4865" s="2"/>
    </row>
    <row r="4866" spans="2:15" x14ac:dyDescent="0.2">
      <c r="B4866" s="1">
        <f>B4865+1</f>
        <v>4851</v>
      </c>
      <c r="C4866" s="5">
        <f ca="1"/>
        <v>1.4520893053704453</v>
      </c>
      <c r="D4866" s="5">
        <f ca="1">S0*EXP((μ-0.5*σ*σ)*T+σ*SQRT(T)*$C4866)</f>
        <v>0.76678101913273</v>
      </c>
      <c r="E4866" s="5">
        <f ca="1">MAX(0,CP*(D4866-K))</f>
        <v>0</v>
      </c>
      <c r="F4866" s="4">
        <f ca="1">(CP*(D4866-K)&gt;0)*1</f>
        <v>0</v>
      </c>
      <c r="H4866" s="4">
        <v>4851</v>
      </c>
      <c r="I4866" s="3">
        <v>0.66767971600265053</v>
      </c>
      <c r="J4866" s="128">
        <v>1.325419599785205E-3</v>
      </c>
      <c r="K4866" s="128"/>
      <c r="L4866" s="128">
        <v>4.0800000000000003E-2</v>
      </c>
      <c r="O4866" s="2"/>
    </row>
    <row r="4867" spans="2:15" x14ac:dyDescent="0.2">
      <c r="B4867" s="1">
        <f>B4866+1</f>
        <v>4852</v>
      </c>
      <c r="C4867" s="5">
        <f ca="1"/>
        <v>-0.78392898667956556</v>
      </c>
      <c r="D4867" s="5">
        <f ca="1">S0*EXP((μ-0.5*σ*σ)*T+σ*SQRT(T)*$C4867)</f>
        <v>0.61508340211375268</v>
      </c>
      <c r="E4867" s="5">
        <f ca="1">MAX(0,CP*(D4867-K))</f>
        <v>0</v>
      </c>
      <c r="F4867" s="4">
        <f ca="1">(CP*(D4867-K)&gt;0)*1</f>
        <v>0</v>
      </c>
      <c r="H4867" s="4">
        <v>4852</v>
      </c>
      <c r="I4867" s="3">
        <v>0.66765122656789277</v>
      </c>
      <c r="J4867" s="128">
        <v>1.1299940780590862E-3</v>
      </c>
      <c r="K4867" s="128"/>
      <c r="L4867" s="128">
        <v>3.7600000000000001E-2</v>
      </c>
      <c r="O4867" s="2"/>
    </row>
    <row r="4868" spans="2:15" x14ac:dyDescent="0.2">
      <c r="B4868" s="1">
        <f>B4867+1</f>
        <v>4853</v>
      </c>
      <c r="C4868" s="5">
        <f ca="1"/>
        <v>-0.28487274354698716</v>
      </c>
      <c r="D4868" s="5">
        <f ca="1">S0*EXP((μ-0.5*σ*σ)*T+σ*SQRT(T)*$C4868)</f>
        <v>0.64610276112116749</v>
      </c>
      <c r="E4868" s="5">
        <f ca="1">MAX(0,CP*(D4868-K))</f>
        <v>0</v>
      </c>
      <c r="F4868" s="4">
        <f ca="1">(CP*(D4868-K)&gt;0)*1</f>
        <v>0</v>
      </c>
      <c r="H4868" s="4">
        <v>4853</v>
      </c>
      <c r="I4868" s="3">
        <v>0.66777770419824078</v>
      </c>
      <c r="J4868" s="128">
        <v>1.3875883915976514E-3</v>
      </c>
      <c r="K4868" s="128"/>
      <c r="L4868" s="128">
        <v>4.4400000000000002E-2</v>
      </c>
      <c r="O4868" s="2"/>
    </row>
    <row r="4869" spans="2:15" x14ac:dyDescent="0.2">
      <c r="B4869" s="1">
        <f>B4868+1</f>
        <v>4854</v>
      </c>
      <c r="C4869" s="5">
        <f ca="1"/>
        <v>-0.55305325427511631</v>
      </c>
      <c r="D4869" s="5">
        <f ca="1">S0*EXP((μ-0.5*σ*σ)*T+σ*SQRT(T)*$C4869)</f>
        <v>0.62924414301378362</v>
      </c>
      <c r="E4869" s="5">
        <f ca="1">MAX(0,CP*(D4869-K))</f>
        <v>0</v>
      </c>
      <c r="F4869" s="4">
        <f ca="1">(CP*(D4869-K)&gt;0)*1</f>
        <v>0</v>
      </c>
      <c r="H4869" s="4">
        <v>4854</v>
      </c>
      <c r="I4869" s="3">
        <v>0.6679494864779254</v>
      </c>
      <c r="J4869" s="128">
        <v>1.6494058393390443E-3</v>
      </c>
      <c r="K4869" s="128"/>
      <c r="L4869" s="128">
        <v>4.5600000000000002E-2</v>
      </c>
      <c r="O4869" s="2"/>
    </row>
    <row r="4870" spans="2:15" x14ac:dyDescent="0.2">
      <c r="B4870" s="1">
        <f>B4869+1</f>
        <v>4855</v>
      </c>
      <c r="C4870" s="5">
        <f ca="1"/>
        <v>0.12548374247182884</v>
      </c>
      <c r="D4870" s="5">
        <f ca="1">S0*EXP((μ-0.5*σ*σ)*T+σ*SQRT(T)*$C4870)</f>
        <v>0.67277743672867596</v>
      </c>
      <c r="E4870" s="5">
        <f ca="1">MAX(0,CP*(D4870-K))</f>
        <v>0</v>
      </c>
      <c r="F4870" s="4">
        <f ca="1">(CP*(D4870-K)&gt;0)*1</f>
        <v>0</v>
      </c>
      <c r="H4870" s="4">
        <v>4855</v>
      </c>
      <c r="I4870" s="3">
        <v>0.66770337422743342</v>
      </c>
      <c r="J4870" s="128">
        <v>1.2613403076129613E-3</v>
      </c>
      <c r="K4870" s="128"/>
      <c r="L4870" s="128">
        <v>4.1599999999999998E-2</v>
      </c>
      <c r="O4870" s="2"/>
    </row>
    <row r="4871" spans="2:15" x14ac:dyDescent="0.2">
      <c r="B4871" s="1">
        <f>B4870+1</f>
        <v>4856</v>
      </c>
      <c r="C4871" s="5">
        <f ca="1"/>
        <v>-0.19609300399345994</v>
      </c>
      <c r="D4871" s="5">
        <f ca="1">S0*EXP((μ-0.5*σ*σ)*T+σ*SQRT(T)*$C4871)</f>
        <v>0.65178264120570917</v>
      </c>
      <c r="E4871" s="5">
        <f ca="1">MAX(0,CP*(D4871-K))</f>
        <v>0</v>
      </c>
      <c r="F4871" s="4">
        <f ca="1">(CP*(D4871-K)&gt;0)*1</f>
        <v>0</v>
      </c>
      <c r="H4871" s="4">
        <v>4856</v>
      </c>
      <c r="I4871" s="3">
        <v>0.66790165194325279</v>
      </c>
      <c r="J4871" s="128">
        <v>1.4602986618227523E-3</v>
      </c>
      <c r="K4871" s="128"/>
      <c r="L4871" s="128">
        <v>4.6600000000000003E-2</v>
      </c>
      <c r="O4871" s="2"/>
    </row>
    <row r="4872" spans="2:15" x14ac:dyDescent="0.2">
      <c r="B4872" s="1">
        <f>B4871+1</f>
        <v>4857</v>
      </c>
      <c r="C4872" s="5">
        <f ca="1"/>
        <v>0.22140922909094754</v>
      </c>
      <c r="D4872" s="5">
        <f ca="1">S0*EXP((μ-0.5*σ*σ)*T+σ*SQRT(T)*$C4872)</f>
        <v>0.67917010752846807</v>
      </c>
      <c r="E4872" s="5">
        <f ca="1">MAX(0,CP*(D4872-K))</f>
        <v>0</v>
      </c>
      <c r="F4872" s="4">
        <f ca="1">(CP*(D4872-K)&gt;0)*1</f>
        <v>0</v>
      </c>
      <c r="H4872" s="4">
        <v>4857</v>
      </c>
      <c r="I4872" s="3">
        <v>0.66763579404758033</v>
      </c>
      <c r="J4872" s="128">
        <v>1.2620018700134081E-3</v>
      </c>
      <c r="K4872" s="128"/>
      <c r="L4872" s="128">
        <v>3.7600000000000001E-2</v>
      </c>
      <c r="O4872" s="2"/>
    </row>
    <row r="4873" spans="2:15" x14ac:dyDescent="0.2">
      <c r="B4873" s="1">
        <f>B4872+1</f>
        <v>4858</v>
      </c>
      <c r="C4873" s="5">
        <f ca="1"/>
        <v>-1.1362593659932123</v>
      </c>
      <c r="D4873" s="5">
        <f ca="1">S0*EXP((μ-0.5*σ*σ)*T+σ*SQRT(T)*$C4873)</f>
        <v>0.59408506203829381</v>
      </c>
      <c r="E4873" s="5">
        <f ca="1">MAX(0,CP*(D4873-K))</f>
        <v>0</v>
      </c>
      <c r="F4873" s="4">
        <f ca="1">(CP*(D4873-K)&gt;0)*1</f>
        <v>0</v>
      </c>
      <c r="H4873" s="4">
        <v>4858</v>
      </c>
      <c r="I4873" s="3">
        <v>0.66761691866304185</v>
      </c>
      <c r="J4873" s="128">
        <v>1.1895474233687014E-3</v>
      </c>
      <c r="K4873" s="128"/>
      <c r="L4873" s="128">
        <v>3.8399999999999997E-2</v>
      </c>
      <c r="O4873" s="2"/>
    </row>
    <row r="4874" spans="2:15" x14ac:dyDescent="0.2">
      <c r="B4874" s="1">
        <f>B4873+1</f>
        <v>4859</v>
      </c>
      <c r="C4874" s="5">
        <f ca="1"/>
        <v>0.65284618738067612</v>
      </c>
      <c r="D4874" s="5">
        <f ca="1">S0*EXP((μ-0.5*σ*σ)*T+σ*SQRT(T)*$C4874)</f>
        <v>0.70868128701563515</v>
      </c>
      <c r="E4874" s="5">
        <f ca="1">MAX(0,CP*(D4874-K))</f>
        <v>0</v>
      </c>
      <c r="F4874" s="4">
        <f ca="1">(CP*(D4874-K)&gt;0)*1</f>
        <v>0</v>
      </c>
      <c r="H4874" s="4">
        <v>4859</v>
      </c>
      <c r="I4874" s="3">
        <v>0.66788653968462197</v>
      </c>
      <c r="J4874" s="128">
        <v>1.6230102384120594E-3</v>
      </c>
      <c r="K4874" s="128"/>
      <c r="L4874" s="128">
        <v>4.5400000000000003E-2</v>
      </c>
      <c r="O4874" s="2"/>
    </row>
    <row r="4875" spans="2:15" x14ac:dyDescent="0.2">
      <c r="B4875" s="1">
        <f>B4874+1</f>
        <v>4860</v>
      </c>
      <c r="C4875" s="5">
        <f ca="1"/>
        <v>0.42847609139979193</v>
      </c>
      <c r="D4875" s="5">
        <f ca="1">S0*EXP((μ-0.5*σ*σ)*T+σ*SQRT(T)*$C4875)</f>
        <v>0.69317730702402325</v>
      </c>
      <c r="E4875" s="5">
        <f ca="1">MAX(0,CP*(D4875-K))</f>
        <v>0</v>
      </c>
      <c r="F4875" s="4">
        <f ca="1">(CP*(D4875-K)&gt;0)*1</f>
        <v>0</v>
      </c>
      <c r="H4875" s="4">
        <v>4860</v>
      </c>
      <c r="I4875" s="3">
        <v>0.66781221580638095</v>
      </c>
      <c r="J4875" s="128">
        <v>1.5571613822940944E-3</v>
      </c>
      <c r="K4875" s="128"/>
      <c r="L4875" s="128">
        <v>4.3799999999999999E-2</v>
      </c>
      <c r="O4875" s="2"/>
    </row>
    <row r="4876" spans="2:15" x14ac:dyDescent="0.2">
      <c r="B4876" s="1">
        <f>B4875+1</f>
        <v>4861</v>
      </c>
      <c r="C4876" s="5">
        <f ca="1"/>
        <v>0.51225653622207157</v>
      </c>
      <c r="D4876" s="5">
        <f ca="1">S0*EXP((μ-0.5*σ*σ)*T+σ*SQRT(T)*$C4876)</f>
        <v>0.69892645550264632</v>
      </c>
      <c r="E4876" s="5">
        <f ca="1">MAX(0,CP*(D4876-K))</f>
        <v>0</v>
      </c>
      <c r="F4876" s="4">
        <f ca="1">(CP*(D4876-K)&gt;0)*1</f>
        <v>0</v>
      </c>
      <c r="H4876" s="4">
        <v>4861</v>
      </c>
      <c r="I4876" s="3">
        <v>0.66765194586925947</v>
      </c>
      <c r="J4876" s="128">
        <v>1.1610492386202791E-3</v>
      </c>
      <c r="K4876" s="128"/>
      <c r="L4876" s="128">
        <v>3.8800000000000001E-2</v>
      </c>
      <c r="O4876" s="2"/>
    </row>
    <row r="4877" spans="2:15" x14ac:dyDescent="0.2">
      <c r="B4877" s="1">
        <f>B4876+1</f>
        <v>4862</v>
      </c>
      <c r="C4877" s="5">
        <f ca="1"/>
        <v>1.063745819185921</v>
      </c>
      <c r="D4877" s="5">
        <f ca="1">S0*EXP((μ-0.5*σ*σ)*T+σ*SQRT(T)*$C4877)</f>
        <v>0.73797906413919578</v>
      </c>
      <c r="E4877" s="5">
        <f ca="1">MAX(0,CP*(D4877-K))</f>
        <v>0</v>
      </c>
      <c r="F4877" s="4">
        <f ca="1">(CP*(D4877-K)&gt;0)*1</f>
        <v>0</v>
      </c>
      <c r="H4877" s="4">
        <v>4862</v>
      </c>
      <c r="I4877" s="3">
        <v>0.66775792906141496</v>
      </c>
      <c r="J4877" s="128">
        <v>1.3882253153986739E-3</v>
      </c>
      <c r="K4877" s="128"/>
      <c r="L4877" s="128">
        <v>4.0399999999999998E-2</v>
      </c>
      <c r="O4877" s="2"/>
    </row>
    <row r="4878" spans="2:15" x14ac:dyDescent="0.2">
      <c r="B4878" s="1">
        <f>B4877+1</f>
        <v>4863</v>
      </c>
      <c r="C4878" s="5">
        <f ca="1"/>
        <v>-0.92732073655030267</v>
      </c>
      <c r="D4878" s="5">
        <f ca="1">S0*EXP((μ-0.5*σ*σ)*T+σ*SQRT(T)*$C4878)</f>
        <v>0.60644936762357171</v>
      </c>
      <c r="E4878" s="5">
        <f ca="1">MAX(0,CP*(D4878-K))</f>
        <v>0</v>
      </c>
      <c r="F4878" s="4">
        <f ca="1">(CP*(D4878-K)&gt;0)*1</f>
        <v>0</v>
      </c>
      <c r="H4878" s="4">
        <v>4863</v>
      </c>
      <c r="I4878" s="3">
        <v>0.66778257659955964</v>
      </c>
      <c r="J4878" s="128">
        <v>1.3675191215653947E-3</v>
      </c>
      <c r="K4878" s="128"/>
      <c r="L4878" s="128">
        <v>4.0800000000000003E-2</v>
      </c>
      <c r="O4878" s="2"/>
    </row>
    <row r="4879" spans="2:15" x14ac:dyDescent="0.2">
      <c r="B4879" s="1">
        <f>B4878+1</f>
        <v>4864</v>
      </c>
      <c r="C4879" s="5">
        <f ca="1"/>
        <v>-0.52826900111223374</v>
      </c>
      <c r="D4879" s="5">
        <f ca="1">S0*EXP((μ-0.5*σ*σ)*T+σ*SQRT(T)*$C4879)</f>
        <v>0.63078352864414178</v>
      </c>
      <c r="E4879" s="5">
        <f ca="1">MAX(0,CP*(D4879-K))</f>
        <v>0</v>
      </c>
      <c r="F4879" s="4">
        <f ca="1">(CP*(D4879-K)&gt;0)*1</f>
        <v>0</v>
      </c>
      <c r="H4879" s="4">
        <v>4864</v>
      </c>
      <c r="I4879" s="3">
        <v>0.66759436821547269</v>
      </c>
      <c r="J4879" s="128">
        <v>1.2164973433827968E-3</v>
      </c>
      <c r="K4879" s="128"/>
      <c r="L4879" s="128">
        <v>3.8800000000000001E-2</v>
      </c>
      <c r="O4879" s="2"/>
    </row>
    <row r="4880" spans="2:15" x14ac:dyDescent="0.2">
      <c r="B4880" s="1">
        <f>B4879+1</f>
        <v>4865</v>
      </c>
      <c r="C4880" s="5">
        <f ca="1"/>
        <v>0.47139562238091171</v>
      </c>
      <c r="D4880" s="5">
        <f ca="1">S0*EXP((μ-0.5*σ*σ)*T+σ*SQRT(T)*$C4880)</f>
        <v>0.69611658167793089</v>
      </c>
      <c r="E4880" s="5">
        <f ca="1">MAX(0,CP*(D4880-K))</f>
        <v>0</v>
      </c>
      <c r="F4880" s="4">
        <f ca="1">(CP*(D4880-K)&gt;0)*1</f>
        <v>0</v>
      </c>
      <c r="H4880" s="4">
        <v>4865</v>
      </c>
      <c r="I4880" s="3">
        <v>0.66765389161297284</v>
      </c>
      <c r="J4880" s="128">
        <v>1.2484098144526126E-3</v>
      </c>
      <c r="K4880" s="128"/>
      <c r="L4880" s="128">
        <v>3.9399999999999998E-2</v>
      </c>
      <c r="O4880" s="2"/>
    </row>
    <row r="4881" spans="2:15" x14ac:dyDescent="0.2">
      <c r="B4881" s="1">
        <f>B4880+1</f>
        <v>4866</v>
      </c>
      <c r="C4881" s="5">
        <f ca="1"/>
        <v>-1.6328290208535605</v>
      </c>
      <c r="D4881" s="5">
        <f ca="1">S0*EXP((μ-0.5*σ*σ)*T+σ*SQRT(T)*$C4881)</f>
        <v>0.56570173275417868</v>
      </c>
      <c r="E4881" s="5">
        <f ca="1">MAX(0,CP*(D4881-K))</f>
        <v>0</v>
      </c>
      <c r="F4881" s="4">
        <f ca="1">(CP*(D4881-K)&gt;0)*1</f>
        <v>0</v>
      </c>
      <c r="H4881" s="4">
        <v>4866</v>
      </c>
      <c r="I4881" s="3">
        <v>0.66775003630560437</v>
      </c>
      <c r="J4881" s="128">
        <v>1.2234614482264697E-3</v>
      </c>
      <c r="K4881" s="128"/>
      <c r="L4881" s="128">
        <v>4.2200000000000001E-2</v>
      </c>
      <c r="O4881" s="2"/>
    </row>
    <row r="4882" spans="2:15" x14ac:dyDescent="0.2">
      <c r="B4882" s="1">
        <f>B4881+1</f>
        <v>4867</v>
      </c>
      <c r="C4882" s="5">
        <f ca="1"/>
        <v>-0.57233013246505771</v>
      </c>
      <c r="D4882" s="5">
        <f ca="1">S0*EXP((μ-0.5*σ*σ)*T+σ*SQRT(T)*$C4882)</f>
        <v>0.62804942615676962</v>
      </c>
      <c r="E4882" s="5">
        <f ca="1">MAX(0,CP*(D4882-K))</f>
        <v>0</v>
      </c>
      <c r="F4882" s="4">
        <f ca="1">(CP*(D4882-K)&gt;0)*1</f>
        <v>0</v>
      </c>
      <c r="H4882" s="4">
        <v>4867</v>
      </c>
      <c r="I4882" s="3">
        <v>0.66769909687621731</v>
      </c>
      <c r="J4882" s="128">
        <v>1.3057315893336299E-3</v>
      </c>
      <c r="K4882" s="128"/>
      <c r="L4882" s="128">
        <v>4.2000000000000003E-2</v>
      </c>
      <c r="O4882" s="2"/>
    </row>
    <row r="4883" spans="2:15" x14ac:dyDescent="0.2">
      <c r="B4883" s="1">
        <f>B4882+1</f>
        <v>4868</v>
      </c>
      <c r="C4883" s="5">
        <f ca="1"/>
        <v>-1.0956720043600818</v>
      </c>
      <c r="D4883" s="5">
        <f ca="1">S0*EXP((μ-0.5*σ*σ)*T+σ*SQRT(T)*$C4883)</f>
        <v>0.59646699951689519</v>
      </c>
      <c r="E4883" s="5">
        <f ca="1">MAX(0,CP*(D4883-K))</f>
        <v>0</v>
      </c>
      <c r="F4883" s="4">
        <f ca="1">(CP*(D4883-K)&gt;0)*1</f>
        <v>0</v>
      </c>
      <c r="H4883" s="4">
        <v>4868</v>
      </c>
      <c r="I4883" s="3">
        <v>0.66766889920899175</v>
      </c>
      <c r="J4883" s="128">
        <v>1.1862130558148722E-3</v>
      </c>
      <c r="K4883" s="128"/>
      <c r="L4883" s="128">
        <v>3.7999999999999999E-2</v>
      </c>
      <c r="O4883" s="2"/>
    </row>
    <row r="4884" spans="2:15" x14ac:dyDescent="0.2">
      <c r="B4884" s="1">
        <f>B4883+1</f>
        <v>4869</v>
      </c>
      <c r="C4884" s="5">
        <f ca="1"/>
        <v>0.86784284610001361</v>
      </c>
      <c r="D4884" s="5">
        <f ca="1">S0*EXP((μ-0.5*σ*σ)*T+σ*SQRT(T)*$C4884)</f>
        <v>0.72386280414482707</v>
      </c>
      <c r="E4884" s="5">
        <f ca="1">MAX(0,CP*(D4884-K))</f>
        <v>0</v>
      </c>
      <c r="F4884" s="4">
        <f ca="1">(CP*(D4884-K)&gt;0)*1</f>
        <v>0</v>
      </c>
      <c r="H4884" s="4">
        <v>4869</v>
      </c>
      <c r="I4884" s="3">
        <v>0.66758816533893273</v>
      </c>
      <c r="J4884" s="128">
        <v>1.1978685908824221E-3</v>
      </c>
      <c r="K4884" s="128"/>
      <c r="L4884" s="128">
        <v>3.6799999999999999E-2</v>
      </c>
      <c r="O4884" s="2"/>
    </row>
    <row r="4885" spans="2:15" x14ac:dyDescent="0.2">
      <c r="B4885" s="1">
        <f>B4884+1</f>
        <v>4870</v>
      </c>
      <c r="C4885" s="5">
        <f ca="1"/>
        <v>-0.78406611199147014</v>
      </c>
      <c r="D4885" s="5">
        <f ca="1">S0*EXP((μ-0.5*σ*σ)*T+σ*SQRT(T)*$C4885)</f>
        <v>0.61507508695737267</v>
      </c>
      <c r="E4885" s="5">
        <f ca="1">MAX(0,CP*(D4885-K))</f>
        <v>0</v>
      </c>
      <c r="F4885" s="4">
        <f ca="1">(CP*(D4885-K)&gt;0)*1</f>
        <v>0</v>
      </c>
      <c r="H4885" s="4">
        <v>4870</v>
      </c>
      <c r="I4885" s="3">
        <v>0.66758951978200154</v>
      </c>
      <c r="J4885" s="128">
        <v>1.2199050593390264E-3</v>
      </c>
      <c r="K4885" s="128"/>
      <c r="L4885" s="128">
        <v>0.04</v>
      </c>
      <c r="O4885" s="2"/>
    </row>
    <row r="4886" spans="2:15" x14ac:dyDescent="0.2">
      <c r="B4886" s="1">
        <f>B4885+1</f>
        <v>4871</v>
      </c>
      <c r="C4886" s="5">
        <f ca="1"/>
        <v>-2.5683400493176847</v>
      </c>
      <c r="D4886" s="5">
        <f ca="1">S0*EXP((μ-0.5*σ*σ)*T+σ*SQRT(T)*$C4886)</f>
        <v>0.51586097462524017</v>
      </c>
      <c r="E4886" s="5">
        <f ca="1">MAX(0,CP*(D4886-K))</f>
        <v>0</v>
      </c>
      <c r="F4886" s="4">
        <f ca="1">(CP*(D4886-K)&gt;0)*1</f>
        <v>0</v>
      </c>
      <c r="H4886" s="4">
        <v>4871</v>
      </c>
      <c r="I4886" s="3">
        <v>0.6678300820778541</v>
      </c>
      <c r="J4886" s="128">
        <v>1.4469592572736039E-3</v>
      </c>
      <c r="K4886" s="128"/>
      <c r="L4886" s="128">
        <v>4.36E-2</v>
      </c>
      <c r="O4886" s="2"/>
    </row>
    <row r="4887" spans="2:15" x14ac:dyDescent="0.2">
      <c r="B4887" s="1">
        <f>B4886+1</f>
        <v>4872</v>
      </c>
      <c r="C4887" s="5">
        <f ca="1"/>
        <v>-1.5037349295877989</v>
      </c>
      <c r="D4887" s="5">
        <f ca="1">S0*EXP((μ-0.5*σ*σ)*T+σ*SQRT(T)*$C4887)</f>
        <v>0.57294746316365064</v>
      </c>
      <c r="E4887" s="5">
        <f ca="1">MAX(0,CP*(D4887-K))</f>
        <v>0</v>
      </c>
      <c r="F4887" s="4">
        <f ca="1">(CP*(D4887-K)&gt;0)*1</f>
        <v>0</v>
      </c>
      <c r="H4887" s="4">
        <v>4872</v>
      </c>
      <c r="I4887" s="3">
        <v>0.6678106488252249</v>
      </c>
      <c r="J4887" s="128">
        <v>1.4694767612735366E-3</v>
      </c>
      <c r="K4887" s="128"/>
      <c r="L4887" s="128">
        <v>3.9399999999999998E-2</v>
      </c>
      <c r="O4887" s="2"/>
    </row>
    <row r="4888" spans="2:15" x14ac:dyDescent="0.2">
      <c r="B4888" s="1">
        <f>B4887+1</f>
        <v>4873</v>
      </c>
      <c r="C4888" s="5">
        <f ca="1"/>
        <v>-1.3095797433020246</v>
      </c>
      <c r="D4888" s="5">
        <f ca="1">S0*EXP((μ-0.5*σ*σ)*T+σ*SQRT(T)*$C4888)</f>
        <v>0.58402003791688095</v>
      </c>
      <c r="E4888" s="5">
        <f ca="1">MAX(0,CP*(D4888-K))</f>
        <v>0</v>
      </c>
      <c r="F4888" s="4">
        <f ca="1">(CP*(D4888-K)&gt;0)*1</f>
        <v>0</v>
      </c>
      <c r="H4888" s="4">
        <v>4873</v>
      </c>
      <c r="I4888" s="3">
        <v>0.66770288352030183</v>
      </c>
      <c r="J4888" s="128">
        <v>1.3242483099005953E-3</v>
      </c>
      <c r="K4888" s="128"/>
      <c r="L4888" s="128">
        <v>3.8399999999999997E-2</v>
      </c>
      <c r="O4888" s="2"/>
    </row>
    <row r="4889" spans="2:15" x14ac:dyDescent="0.2">
      <c r="B4889" s="1">
        <f>B4888+1</f>
        <v>4874</v>
      </c>
      <c r="C4889" s="5">
        <f ca="1"/>
        <v>-0.85471177678514698</v>
      </c>
      <c r="D4889" s="5">
        <f ca="1">S0*EXP((μ-0.5*σ*σ)*T+σ*SQRT(T)*$C4889)</f>
        <v>0.61080610942479197</v>
      </c>
      <c r="E4889" s="5">
        <f ca="1">MAX(0,CP*(D4889-K))</f>
        <v>0</v>
      </c>
      <c r="F4889" s="4">
        <f ca="1">(CP*(D4889-K)&gt;0)*1</f>
        <v>0</v>
      </c>
      <c r="H4889" s="4">
        <v>4874</v>
      </c>
      <c r="I4889" s="3">
        <v>0.66778161670963787</v>
      </c>
      <c r="J4889" s="128">
        <v>1.3068010217982618E-3</v>
      </c>
      <c r="K4889" s="128"/>
      <c r="L4889" s="128">
        <v>4.1599999999999998E-2</v>
      </c>
      <c r="O4889" s="2"/>
    </row>
    <row r="4890" spans="2:15" x14ac:dyDescent="0.2">
      <c r="B4890" s="1">
        <f>B4889+1</f>
        <v>4875</v>
      </c>
      <c r="C4890" s="5">
        <f ca="1"/>
        <v>-1.246124301050072</v>
      </c>
      <c r="D4890" s="5">
        <f ca="1">S0*EXP((μ-0.5*σ*σ)*T+σ*SQRT(T)*$C4890)</f>
        <v>0.58768506768215867</v>
      </c>
      <c r="E4890" s="5">
        <f ca="1">MAX(0,CP*(D4890-K))</f>
        <v>0</v>
      </c>
      <c r="F4890" s="4">
        <f ca="1">(CP*(D4890-K)&gt;0)*1</f>
        <v>0</v>
      </c>
      <c r="H4890" s="4">
        <v>4875</v>
      </c>
      <c r="I4890" s="3">
        <v>0.66766469144926455</v>
      </c>
      <c r="J4890" s="128">
        <v>1.3459962834955885E-3</v>
      </c>
      <c r="K4890" s="128"/>
      <c r="L4890" s="128">
        <v>4.1599999999999998E-2</v>
      </c>
      <c r="O4890" s="2"/>
    </row>
    <row r="4891" spans="2:15" x14ac:dyDescent="0.2">
      <c r="B4891" s="1">
        <f>B4890+1</f>
        <v>4876</v>
      </c>
      <c r="C4891" s="5">
        <f ca="1"/>
        <v>-0.54249852951636857</v>
      </c>
      <c r="D4891" s="5">
        <f ca="1">S0*EXP((μ-0.5*σ*σ)*T+σ*SQRT(T)*$C4891)</f>
        <v>0.62989925235178079</v>
      </c>
      <c r="E4891" s="5">
        <f ca="1">MAX(0,CP*(D4891-K))</f>
        <v>0</v>
      </c>
      <c r="F4891" s="4">
        <f ca="1">(CP*(D4891-K)&gt;0)*1</f>
        <v>0</v>
      </c>
      <c r="H4891" s="4">
        <v>4876</v>
      </c>
      <c r="I4891" s="3">
        <v>0.6677854786616958</v>
      </c>
      <c r="J4891" s="128">
        <v>1.3527799457442864E-3</v>
      </c>
      <c r="K4891" s="128"/>
      <c r="L4891" s="128">
        <v>4.2200000000000001E-2</v>
      </c>
      <c r="O4891" s="2"/>
    </row>
    <row r="4892" spans="2:15" x14ac:dyDescent="0.2">
      <c r="B4892" s="1">
        <f>B4891+1</f>
        <v>4877</v>
      </c>
      <c r="C4892" s="5">
        <f ca="1"/>
        <v>1.1397761532031569</v>
      </c>
      <c r="D4892" s="5">
        <f ca="1">S0*EXP((μ-0.5*σ*σ)*T+σ*SQRT(T)*$C4892)</f>
        <v>0.74353147166586342</v>
      </c>
      <c r="E4892" s="5">
        <f ca="1">MAX(0,CP*(D4892-K))</f>
        <v>0</v>
      </c>
      <c r="F4892" s="4">
        <f ca="1">(CP*(D4892-K)&gt;0)*1</f>
        <v>0</v>
      </c>
      <c r="H4892" s="4">
        <v>4877</v>
      </c>
      <c r="I4892" s="3">
        <v>0.66810404765412545</v>
      </c>
      <c r="J4892" s="128">
        <v>1.741014769076045E-3</v>
      </c>
      <c r="K4892" s="128"/>
      <c r="L4892" s="128">
        <v>5.0799999999999998E-2</v>
      </c>
      <c r="O4892" s="2"/>
    </row>
    <row r="4893" spans="2:15" x14ac:dyDescent="0.2">
      <c r="B4893" s="1">
        <f>B4892+1</f>
        <v>4878</v>
      </c>
      <c r="C4893" s="5">
        <f ca="1"/>
        <v>0.3118206398163057</v>
      </c>
      <c r="D4893" s="5">
        <f ca="1">S0*EXP((μ-0.5*σ*σ)*T+σ*SQRT(T)*$C4893)</f>
        <v>0.68525090437303438</v>
      </c>
      <c r="E4893" s="5">
        <f ca="1">MAX(0,CP*(D4893-K))</f>
        <v>0</v>
      </c>
      <c r="F4893" s="4">
        <f ca="1">(CP*(D4893-K)&gt;0)*1</f>
        <v>0</v>
      </c>
      <c r="H4893" s="4">
        <v>4878</v>
      </c>
      <c r="I4893" s="3">
        <v>0.6676670034334834</v>
      </c>
      <c r="J4893" s="128">
        <v>1.2187637396621862E-3</v>
      </c>
      <c r="K4893" s="128"/>
      <c r="L4893" s="128">
        <v>4.0800000000000003E-2</v>
      </c>
      <c r="O4893" s="2"/>
    </row>
    <row r="4894" spans="2:15" x14ac:dyDescent="0.2">
      <c r="B4894" s="1">
        <f>B4893+1</f>
        <v>4879</v>
      </c>
      <c r="C4894" s="5">
        <f ca="1"/>
        <v>0.88628246233528329</v>
      </c>
      <c r="D4894" s="5">
        <f ca="1">S0*EXP((μ-0.5*σ*σ)*T+σ*SQRT(T)*$C4894)</f>
        <v>0.72517992211395077</v>
      </c>
      <c r="E4894" s="5">
        <f ca="1">MAX(0,CP*(D4894-K))</f>
        <v>0</v>
      </c>
      <c r="F4894" s="4">
        <f ca="1">(CP*(D4894-K)&gt;0)*1</f>
        <v>0</v>
      </c>
      <c r="H4894" s="4">
        <v>4879</v>
      </c>
      <c r="I4894" s="3">
        <v>0.66785155369524019</v>
      </c>
      <c r="J4894" s="128">
        <v>1.499007529944551E-3</v>
      </c>
      <c r="K4894" s="128"/>
      <c r="L4894" s="128">
        <v>4.4600000000000001E-2</v>
      </c>
      <c r="O4894" s="2"/>
    </row>
    <row r="4895" spans="2:15" x14ac:dyDescent="0.2">
      <c r="B4895" s="1">
        <f>B4894+1</f>
        <v>4880</v>
      </c>
      <c r="C4895" s="5">
        <f ca="1"/>
        <v>0.25720122482712754</v>
      </c>
      <c r="D4895" s="5">
        <f ca="1">S0*EXP((μ-0.5*σ*σ)*T+σ*SQRT(T)*$C4895)</f>
        <v>0.68157088915525632</v>
      </c>
      <c r="E4895" s="5">
        <f ca="1">MAX(0,CP*(D4895-K))</f>
        <v>0</v>
      </c>
      <c r="F4895" s="4">
        <f ca="1">(CP*(D4895-K)&gt;0)*1</f>
        <v>0</v>
      </c>
      <c r="H4895" s="4">
        <v>4880</v>
      </c>
      <c r="I4895" s="3">
        <v>0.6677282564783884</v>
      </c>
      <c r="J4895" s="128">
        <v>1.3133816041785481E-3</v>
      </c>
      <c r="K4895" s="128"/>
      <c r="L4895" s="128">
        <v>4.0800000000000003E-2</v>
      </c>
      <c r="O4895" s="2"/>
    </row>
    <row r="4896" spans="2:15" x14ac:dyDescent="0.2">
      <c r="B4896" s="1">
        <f>B4895+1</f>
        <v>4881</v>
      </c>
      <c r="C4896" s="5">
        <f ca="1"/>
        <v>-0.70910580996981409</v>
      </c>
      <c r="D4896" s="5">
        <f ca="1">S0*EXP((μ-0.5*σ*σ)*T+σ*SQRT(T)*$C4896)</f>
        <v>0.6196374193514762</v>
      </c>
      <c r="E4896" s="5">
        <f ca="1">MAX(0,CP*(D4896-K))</f>
        <v>0</v>
      </c>
      <c r="F4896" s="4">
        <f ca="1">(CP*(D4896-K)&gt;0)*1</f>
        <v>0</v>
      </c>
      <c r="H4896" s="4">
        <v>4881</v>
      </c>
      <c r="I4896" s="3">
        <v>0.66764889436243724</v>
      </c>
      <c r="J4896" s="128">
        <v>1.1737445456459965E-3</v>
      </c>
      <c r="K4896" s="128"/>
      <c r="L4896" s="128">
        <v>3.9399999999999998E-2</v>
      </c>
      <c r="O4896" s="2"/>
    </row>
    <row r="4897" spans="2:15" x14ac:dyDescent="0.2">
      <c r="B4897" s="1">
        <f>B4896+1</f>
        <v>4882</v>
      </c>
      <c r="C4897" s="5">
        <f ca="1"/>
        <v>2.517742981768702</v>
      </c>
      <c r="D4897" s="5">
        <f ca="1">S0*EXP((μ-0.5*σ*σ)*T+σ*SQRT(T)*$C4897)</f>
        <v>0.85172300042512039</v>
      </c>
      <c r="E4897" s="5">
        <f ca="1">MAX(0,CP*(D4897-K))</f>
        <v>6.3523000425120379E-2</v>
      </c>
      <c r="F4897" s="4">
        <f ca="1">(CP*(D4897-K)&gt;0)*1</f>
        <v>1</v>
      </c>
      <c r="H4897" s="4">
        <v>4882</v>
      </c>
      <c r="I4897" s="3">
        <v>0.66775072947215253</v>
      </c>
      <c r="J4897" s="128">
        <v>1.4113218796417254E-3</v>
      </c>
      <c r="K4897" s="128"/>
      <c r="L4897" s="128">
        <v>4.5400000000000003E-2</v>
      </c>
      <c r="O4897" s="2"/>
    </row>
    <row r="4898" spans="2:15" x14ac:dyDescent="0.2">
      <c r="B4898" s="1">
        <f>B4897+1</f>
        <v>4883</v>
      </c>
      <c r="C4898" s="5">
        <f ca="1"/>
        <v>-0.57438602772738068</v>
      </c>
      <c r="D4898" s="5">
        <f ca="1">S0*EXP((μ-0.5*σ*σ)*T+σ*SQRT(T)*$C4898)</f>
        <v>0.62792214253699585</v>
      </c>
      <c r="E4898" s="5">
        <f ca="1">MAX(0,CP*(D4898-K))</f>
        <v>0</v>
      </c>
      <c r="F4898" s="4">
        <f ca="1">(CP*(D4898-K)&gt;0)*1</f>
        <v>0</v>
      </c>
      <c r="H4898" s="4">
        <v>4883</v>
      </c>
      <c r="I4898" s="3">
        <v>0.66769664557662489</v>
      </c>
      <c r="J4898" s="128">
        <v>1.4373775157654283E-3</v>
      </c>
      <c r="K4898" s="128"/>
      <c r="L4898" s="128">
        <v>4.0800000000000003E-2</v>
      </c>
      <c r="O4898" s="2"/>
    </row>
    <row r="4899" spans="2:15" x14ac:dyDescent="0.2">
      <c r="B4899" s="1">
        <f>B4898+1</f>
        <v>4884</v>
      </c>
      <c r="C4899" s="5">
        <f ca="1"/>
        <v>-0.99388112058330191</v>
      </c>
      <c r="D4899" s="5">
        <f ca="1">S0*EXP((μ-0.5*σ*σ)*T+σ*SQRT(T)*$C4899)</f>
        <v>0.60248286321057198</v>
      </c>
      <c r="E4899" s="5">
        <f ca="1">MAX(0,CP*(D4899-K))</f>
        <v>0</v>
      </c>
      <c r="F4899" s="4">
        <f ca="1">(CP*(D4899-K)&gt;0)*1</f>
        <v>0</v>
      </c>
      <c r="H4899" s="4">
        <v>4884</v>
      </c>
      <c r="I4899" s="3">
        <v>0.6676910512369939</v>
      </c>
      <c r="J4899" s="128">
        <v>1.3938236554889944E-3</v>
      </c>
      <c r="K4899" s="128"/>
      <c r="L4899" s="128">
        <v>4.0800000000000003E-2</v>
      </c>
      <c r="O4899" s="2"/>
    </row>
    <row r="4900" spans="2:15" x14ac:dyDescent="0.2">
      <c r="B4900" s="1">
        <f>B4899+1</f>
        <v>4885</v>
      </c>
      <c r="C4900" s="5">
        <f ca="1"/>
        <v>-0.56747566164437924</v>
      </c>
      <c r="D4900" s="5">
        <f ca="1">S0*EXP((μ-0.5*σ*σ)*T+σ*SQRT(T)*$C4900)</f>
        <v>0.62835007626691775</v>
      </c>
      <c r="E4900" s="5">
        <f ca="1">MAX(0,CP*(D4900-K))</f>
        <v>0</v>
      </c>
      <c r="F4900" s="4">
        <f ca="1">(CP*(D4900-K)&gt;0)*1</f>
        <v>0</v>
      </c>
      <c r="H4900" s="4">
        <v>4885</v>
      </c>
      <c r="I4900" s="3">
        <v>0.66775504086638138</v>
      </c>
      <c r="J4900" s="128">
        <v>1.3329492668848555E-3</v>
      </c>
      <c r="K4900" s="128"/>
      <c r="L4900" s="128">
        <v>4.0800000000000003E-2</v>
      </c>
      <c r="O4900" s="2"/>
    </row>
    <row r="4901" spans="2:15" x14ac:dyDescent="0.2">
      <c r="B4901" s="1">
        <f>B4900+1</f>
        <v>4886</v>
      </c>
      <c r="C4901" s="5">
        <f ca="1"/>
        <v>0.4145028118486585</v>
      </c>
      <c r="D4901" s="5">
        <f ca="1">S0*EXP((μ-0.5*σ*σ)*T+σ*SQRT(T)*$C4901)</f>
        <v>0.69222305014545604</v>
      </c>
      <c r="E4901" s="5">
        <f ca="1">MAX(0,CP*(D4901-K))</f>
        <v>0</v>
      </c>
      <c r="F4901" s="4">
        <f ca="1">(CP*(D4901-K)&gt;0)*1</f>
        <v>0</v>
      </c>
      <c r="H4901" s="4">
        <v>4886</v>
      </c>
      <c r="I4901" s="3">
        <v>0.66768969434968684</v>
      </c>
      <c r="J4901" s="128">
        <v>1.3843449081795513E-3</v>
      </c>
      <c r="K4901" s="128"/>
      <c r="L4901" s="128">
        <v>4.1399999999999999E-2</v>
      </c>
      <c r="O4901" s="2"/>
    </row>
    <row r="4902" spans="2:15" x14ac:dyDescent="0.2">
      <c r="B4902" s="1">
        <f>B4901+1</f>
        <v>4887</v>
      </c>
      <c r="C4902" s="5">
        <f ca="1"/>
        <v>1.9251674866632611</v>
      </c>
      <c r="D4902" s="5">
        <f ca="1">S0*EXP((μ-0.5*σ*σ)*T+σ*SQRT(T)*$C4902)</f>
        <v>0.80339045283366828</v>
      </c>
      <c r="E4902" s="5">
        <f ca="1">MAX(0,CP*(D4902-K))</f>
        <v>1.5190452833668266E-2</v>
      </c>
      <c r="F4902" s="4">
        <f ca="1">(CP*(D4902-K)&gt;0)*1</f>
        <v>1</v>
      </c>
      <c r="H4902" s="4">
        <v>4887</v>
      </c>
      <c r="I4902" s="3">
        <v>0.66771950375012934</v>
      </c>
      <c r="J4902" s="128">
        <v>1.3629787986889135E-3</v>
      </c>
      <c r="K4902" s="128"/>
      <c r="L4902" s="128">
        <v>4.1799999999999997E-2</v>
      </c>
      <c r="O4902" s="2"/>
    </row>
    <row r="4903" spans="2:15" x14ac:dyDescent="0.2">
      <c r="B4903" s="1">
        <f>B4902+1</f>
        <v>4888</v>
      </c>
      <c r="C4903" s="5">
        <f ca="1"/>
        <v>0.83746081712250953</v>
      </c>
      <c r="D4903" s="5">
        <f ca="1">S0*EXP((μ-0.5*σ*σ)*T+σ*SQRT(T)*$C4903)</f>
        <v>0.72169787095247151</v>
      </c>
      <c r="E4903" s="5">
        <f ca="1">MAX(0,CP*(D4903-K))</f>
        <v>0</v>
      </c>
      <c r="F4903" s="4">
        <f ca="1">(CP*(D4903-K)&gt;0)*1</f>
        <v>0</v>
      </c>
      <c r="H4903" s="4">
        <v>4888</v>
      </c>
      <c r="I4903" s="3">
        <v>0.6676031674601649</v>
      </c>
      <c r="J4903" s="128">
        <v>1.2003878000737733E-3</v>
      </c>
      <c r="K4903" s="128"/>
      <c r="L4903" s="128">
        <v>3.9199999999999999E-2</v>
      </c>
      <c r="O4903" s="2"/>
    </row>
    <row r="4904" spans="2:15" x14ac:dyDescent="0.2">
      <c r="B4904" s="1">
        <f>B4903+1</f>
        <v>4889</v>
      </c>
      <c r="C4904" s="5">
        <f ca="1"/>
        <v>-0.85497632705230564</v>
      </c>
      <c r="D4904" s="5">
        <f ca="1">S0*EXP((μ-0.5*σ*σ)*T+σ*SQRT(T)*$C4904)</f>
        <v>0.61079017898983123</v>
      </c>
      <c r="E4904" s="5">
        <f ca="1">MAX(0,CP*(D4904-K))</f>
        <v>0</v>
      </c>
      <c r="F4904" s="4">
        <f ca="1">(CP*(D4904-K)&gt;0)*1</f>
        <v>0</v>
      </c>
      <c r="H4904" s="4">
        <v>4889</v>
      </c>
      <c r="I4904" s="3">
        <v>0.66777444399692598</v>
      </c>
      <c r="J4904" s="128">
        <v>1.3393935271210618E-3</v>
      </c>
      <c r="K4904" s="128"/>
      <c r="L4904" s="128">
        <v>4.2599999999999999E-2</v>
      </c>
      <c r="O4904" s="2"/>
    </row>
    <row r="4905" spans="2:15" x14ac:dyDescent="0.2">
      <c r="B4905" s="1">
        <f>B4904+1</f>
        <v>4890</v>
      </c>
      <c r="C4905" s="5">
        <f ca="1"/>
        <v>-0.12976629437336346</v>
      </c>
      <c r="D4905" s="5">
        <f ca="1">S0*EXP((μ-0.5*σ*σ)*T+σ*SQRT(T)*$C4905)</f>
        <v>0.65605860145441897</v>
      </c>
      <c r="E4905" s="5">
        <f ca="1">MAX(0,CP*(D4905-K))</f>
        <v>0</v>
      </c>
      <c r="F4905" s="4">
        <f ca="1">(CP*(D4905-K)&gt;0)*1</f>
        <v>0</v>
      </c>
      <c r="H4905" s="4">
        <v>4890</v>
      </c>
      <c r="I4905" s="3">
        <v>0.66788779682986588</v>
      </c>
      <c r="J4905" s="128">
        <v>1.5371993199608355E-3</v>
      </c>
      <c r="K4905" s="128"/>
      <c r="L4905" s="128">
        <v>4.48E-2</v>
      </c>
      <c r="O4905" s="2"/>
    </row>
    <row r="4906" spans="2:15" x14ac:dyDescent="0.2">
      <c r="B4906" s="1">
        <f>B4905+1</f>
        <v>4891</v>
      </c>
      <c r="C4906" s="5">
        <f ca="1"/>
        <v>-0.46901329269606151</v>
      </c>
      <c r="D4906" s="5">
        <f ca="1">S0*EXP((μ-0.5*σ*σ)*T+σ*SQRT(T)*$C4906)</f>
        <v>0.63447926875085259</v>
      </c>
      <c r="E4906" s="5">
        <f ca="1">MAX(0,CP*(D4906-K))</f>
        <v>0</v>
      </c>
      <c r="F4906" s="4">
        <f ca="1">(CP*(D4906-K)&gt;0)*1</f>
        <v>0</v>
      </c>
      <c r="H4906" s="4">
        <v>4891</v>
      </c>
      <c r="I4906" s="3">
        <v>0.66783840857652477</v>
      </c>
      <c r="J4906" s="128">
        <v>1.5252124378839068E-3</v>
      </c>
      <c r="K4906" s="128"/>
      <c r="L4906" s="128">
        <v>4.48E-2</v>
      </c>
      <c r="O4906" s="2"/>
    </row>
    <row r="4907" spans="2:15" x14ac:dyDescent="0.2">
      <c r="B4907" s="1">
        <f>B4906+1</f>
        <v>4892</v>
      </c>
      <c r="C4907" s="5">
        <f ca="1"/>
        <v>0.67134186925428219</v>
      </c>
      <c r="D4907" s="5">
        <f ca="1">S0*EXP((μ-0.5*σ*σ)*T+σ*SQRT(T)*$C4907)</f>
        <v>0.70997470545578123</v>
      </c>
      <c r="E4907" s="5">
        <f ca="1">MAX(0,CP*(D4907-K))</f>
        <v>0</v>
      </c>
      <c r="F4907" s="4">
        <f ca="1">(CP*(D4907-K)&gt;0)*1</f>
        <v>0</v>
      </c>
      <c r="H4907" s="4">
        <v>4892</v>
      </c>
      <c r="I4907" s="3">
        <v>0.66757852276688612</v>
      </c>
      <c r="J4907" s="128">
        <v>1.3134639904850305E-3</v>
      </c>
      <c r="K4907" s="128"/>
      <c r="L4907" s="128">
        <v>3.8800000000000001E-2</v>
      </c>
      <c r="O4907" s="2"/>
    </row>
    <row r="4908" spans="2:15" x14ac:dyDescent="0.2">
      <c r="B4908" s="1">
        <f>B4907+1</f>
        <v>4893</v>
      </c>
      <c r="C4908" s="5">
        <f ca="1"/>
        <v>-1.2406489570675017</v>
      </c>
      <c r="D4908" s="5">
        <f ca="1">S0*EXP((μ-0.5*σ*σ)*T+σ*SQRT(T)*$C4908)</f>
        <v>0.58800238589994469</v>
      </c>
      <c r="E4908" s="5">
        <f ca="1">MAX(0,CP*(D4908-K))</f>
        <v>0</v>
      </c>
      <c r="F4908" s="4">
        <f ca="1">(CP*(D4908-K)&gt;0)*1</f>
        <v>0</v>
      </c>
      <c r="H4908" s="4">
        <v>4893</v>
      </c>
      <c r="I4908" s="3">
        <v>0.66781929368704596</v>
      </c>
      <c r="J4908" s="128">
        <v>1.4985655616283648E-3</v>
      </c>
      <c r="K4908" s="128"/>
      <c r="L4908" s="128">
        <v>4.2999999999999997E-2</v>
      </c>
      <c r="O4908" s="2"/>
    </row>
    <row r="4909" spans="2:15" x14ac:dyDescent="0.2">
      <c r="B4909" s="1">
        <f>B4908+1</f>
        <v>4894</v>
      </c>
      <c r="C4909" s="5">
        <f ca="1"/>
        <v>-2.2495002519225666</v>
      </c>
      <c r="D4909" s="5">
        <f ca="1">S0*EXP((μ-0.5*σ*σ)*T+σ*SQRT(T)*$C4909)</f>
        <v>0.53233389201204118</v>
      </c>
      <c r="E4909" s="5">
        <f ca="1">MAX(0,CP*(D4909-K))</f>
        <v>0</v>
      </c>
      <c r="F4909" s="4">
        <f ca="1">(CP*(D4909-K)&gt;0)*1</f>
        <v>0</v>
      </c>
      <c r="H4909" s="4">
        <v>4894</v>
      </c>
      <c r="I4909" s="3">
        <v>0.667619059939218</v>
      </c>
      <c r="J4909" s="128">
        <v>1.2901465795078896E-3</v>
      </c>
      <c r="K4909" s="128"/>
      <c r="L4909" s="128">
        <v>3.6799999999999999E-2</v>
      </c>
      <c r="O4909" s="2"/>
    </row>
    <row r="4910" spans="2:15" x14ac:dyDescent="0.2">
      <c r="B4910" s="1">
        <f>B4909+1</f>
        <v>4895</v>
      </c>
      <c r="C4910" s="5">
        <f ca="1"/>
        <v>-1.6333808880605498</v>
      </c>
      <c r="D4910" s="5">
        <f ca="1">S0*EXP((μ-0.5*σ*σ)*T+σ*SQRT(T)*$C4910)</f>
        <v>0.56567095534889633</v>
      </c>
      <c r="E4910" s="5">
        <f ca="1">MAX(0,CP*(D4910-K))</f>
        <v>0</v>
      </c>
      <c r="F4910" s="4">
        <f ca="1">(CP*(D4910-K)&gt;0)*1</f>
        <v>0</v>
      </c>
      <c r="H4910" s="4">
        <v>4895</v>
      </c>
      <c r="I4910" s="3">
        <v>0.66783034624039095</v>
      </c>
      <c r="J4910" s="128">
        <v>1.4970786570752024E-3</v>
      </c>
      <c r="K4910" s="128"/>
      <c r="L4910" s="128">
        <v>4.0599999999999997E-2</v>
      </c>
      <c r="O4910" s="2"/>
    </row>
    <row r="4911" spans="2:15" x14ac:dyDescent="0.2">
      <c r="B4911" s="1">
        <f>B4910+1</f>
        <v>4896</v>
      </c>
      <c r="C4911" s="5">
        <f ca="1"/>
        <v>-0.58975261689860092</v>
      </c>
      <c r="D4911" s="5">
        <f ca="1">S0*EXP((μ-0.5*σ*σ)*T+σ*SQRT(T)*$C4911)</f>
        <v>0.62697159011535342</v>
      </c>
      <c r="E4911" s="5">
        <f ca="1">MAX(0,CP*(D4911-K))</f>
        <v>0</v>
      </c>
      <c r="F4911" s="4">
        <f ca="1">(CP*(D4911-K)&gt;0)*1</f>
        <v>0</v>
      </c>
      <c r="H4911" s="4">
        <v>4896</v>
      </c>
      <c r="I4911" s="3">
        <v>0.6678952074755804</v>
      </c>
      <c r="J4911" s="128">
        <v>1.4686612903258591E-3</v>
      </c>
      <c r="K4911" s="128"/>
      <c r="L4911" s="128">
        <v>4.6199999999999998E-2</v>
      </c>
      <c r="O4911" s="2"/>
    </row>
    <row r="4912" spans="2:15" x14ac:dyDescent="0.2">
      <c r="B4912" s="1">
        <f>B4911+1</f>
        <v>4897</v>
      </c>
      <c r="C4912" s="5">
        <f ca="1"/>
        <v>-0.8875247871220916</v>
      </c>
      <c r="D4912" s="5">
        <f ca="1">S0*EXP((μ-0.5*σ*σ)*T+σ*SQRT(T)*$C4912)</f>
        <v>0.60883337375750834</v>
      </c>
      <c r="E4912" s="5">
        <f ca="1">MAX(0,CP*(D4912-K))</f>
        <v>0</v>
      </c>
      <c r="F4912" s="4">
        <f ca="1">(CP*(D4912-K)&gt;0)*1</f>
        <v>0</v>
      </c>
      <c r="H4912" s="4">
        <v>4897</v>
      </c>
      <c r="I4912" s="3">
        <v>0.66777817405866491</v>
      </c>
      <c r="J4912" s="128">
        <v>1.3670449484074604E-3</v>
      </c>
      <c r="K4912" s="128"/>
      <c r="L4912" s="128">
        <v>4.4400000000000002E-2</v>
      </c>
      <c r="O4912" s="2"/>
    </row>
    <row r="4913" spans="2:15" x14ac:dyDescent="0.2">
      <c r="B4913" s="1">
        <f>B4912+1</f>
        <v>4898</v>
      </c>
      <c r="C4913" s="5">
        <f ca="1"/>
        <v>4.7279472198869686E-3</v>
      </c>
      <c r="D4913" s="5">
        <f ca="1">S0*EXP((μ-0.5*σ*σ)*T+σ*SQRT(T)*$C4913)</f>
        <v>0.6648155032317371</v>
      </c>
      <c r="E4913" s="5">
        <f ca="1">MAX(0,CP*(D4913-K))</f>
        <v>0</v>
      </c>
      <c r="F4913" s="4">
        <f ca="1">(CP*(D4913-K)&gt;0)*1</f>
        <v>0</v>
      </c>
      <c r="H4913" s="4">
        <v>4898</v>
      </c>
      <c r="I4913" s="3">
        <v>0.66776978384001262</v>
      </c>
      <c r="J4913" s="128">
        <v>1.3976100305742401E-3</v>
      </c>
      <c r="K4913" s="128"/>
      <c r="L4913" s="128">
        <v>4.2599999999999999E-2</v>
      </c>
      <c r="O4913" s="2"/>
    </row>
    <row r="4914" spans="2:15" x14ac:dyDescent="0.2">
      <c r="B4914" s="1">
        <f>B4913+1</f>
        <v>4899</v>
      </c>
      <c r="C4914" s="5">
        <f ca="1"/>
        <v>-6.0859168306311898E-2</v>
      </c>
      <c r="D4914" s="5">
        <f ca="1">S0*EXP((μ-0.5*σ*σ)*T+σ*SQRT(T)*$C4914)</f>
        <v>0.66053062920710481</v>
      </c>
      <c r="E4914" s="5">
        <f ca="1">MAX(0,CP*(D4914-K))</f>
        <v>0</v>
      </c>
      <c r="F4914" s="4">
        <f ca="1">(CP*(D4914-K)&gt;0)*1</f>
        <v>0</v>
      </c>
      <c r="H4914" s="4">
        <v>4899</v>
      </c>
      <c r="I4914" s="3">
        <v>0.66771106450091144</v>
      </c>
      <c r="J4914" s="128">
        <v>1.3674893056870078E-3</v>
      </c>
      <c r="K4914" s="128"/>
      <c r="L4914" s="128">
        <v>4.2599999999999999E-2</v>
      </c>
      <c r="O4914" s="2"/>
    </row>
    <row r="4915" spans="2:15" x14ac:dyDescent="0.2">
      <c r="B4915" s="1">
        <f>B4914+1</f>
        <v>4900</v>
      </c>
      <c r="C4915" s="5">
        <f ca="1"/>
        <v>1.0444317087281869</v>
      </c>
      <c r="D4915" s="5">
        <f ca="1">S0*EXP((μ-0.5*σ*σ)*T+σ*SQRT(T)*$C4915)</f>
        <v>0.73657519359454693</v>
      </c>
      <c r="E4915" s="5">
        <f ca="1">MAX(0,CP*(D4915-K))</f>
        <v>0</v>
      </c>
      <c r="F4915" s="4">
        <f ca="1">(CP*(D4915-K)&gt;0)*1</f>
        <v>0</v>
      </c>
      <c r="H4915" s="4">
        <v>4900</v>
      </c>
      <c r="I4915" s="3">
        <v>0.66781065680435536</v>
      </c>
      <c r="J4915" s="128">
        <v>1.3361996179098413E-3</v>
      </c>
      <c r="K4915" s="128"/>
      <c r="L4915" s="128">
        <v>4.3799999999999999E-2</v>
      </c>
      <c r="O4915" s="2"/>
    </row>
    <row r="4916" spans="2:15" x14ac:dyDescent="0.2">
      <c r="B4916" s="1">
        <f>B4915+1</f>
        <v>4901</v>
      </c>
      <c r="C4916" s="5">
        <f ca="1"/>
        <v>0.26215341542040077</v>
      </c>
      <c r="D4916" s="5">
        <f ca="1">S0*EXP((μ-0.5*σ*σ)*T+σ*SQRT(T)*$C4916)</f>
        <v>0.68190372962406809</v>
      </c>
      <c r="E4916" s="5">
        <f ca="1">MAX(0,CP*(D4916-K))</f>
        <v>0</v>
      </c>
      <c r="F4916" s="4">
        <f ca="1">(CP*(D4916-K)&gt;0)*1</f>
        <v>0</v>
      </c>
      <c r="H4916" s="4">
        <v>4901</v>
      </c>
      <c r="I4916" s="3">
        <v>0.66782187878643606</v>
      </c>
      <c r="J4916" s="128">
        <v>1.4359991537940806E-3</v>
      </c>
      <c r="K4916" s="128"/>
      <c r="L4916" s="128">
        <v>4.36E-2</v>
      </c>
      <c r="O4916" s="2"/>
    </row>
    <row r="4917" spans="2:15" x14ac:dyDescent="0.2">
      <c r="B4917" s="1">
        <f>B4916+1</f>
        <v>4902</v>
      </c>
      <c r="C4917" s="5">
        <f ca="1"/>
        <v>0.7175402837372501</v>
      </c>
      <c r="D4917" s="5">
        <f ca="1">S0*EXP((μ-0.5*σ*σ)*T+σ*SQRT(T)*$C4917)</f>
        <v>0.71321572058695448</v>
      </c>
      <c r="E4917" s="5">
        <f ca="1">MAX(0,CP*(D4917-K))</f>
        <v>0</v>
      </c>
      <c r="F4917" s="4">
        <f ca="1">(CP*(D4917-K)&gt;0)*1</f>
        <v>0</v>
      </c>
      <c r="H4917" s="4">
        <v>4902</v>
      </c>
      <c r="I4917" s="3">
        <v>0.66778710663683527</v>
      </c>
      <c r="J4917" s="128">
        <v>1.3748598870031894E-3</v>
      </c>
      <c r="K4917" s="128"/>
      <c r="L4917" s="128">
        <v>4.1599999999999998E-2</v>
      </c>
      <c r="O4917" s="2"/>
    </row>
    <row r="4918" spans="2:15" x14ac:dyDescent="0.2">
      <c r="B4918" s="1">
        <f>B4917+1</f>
        <v>4903</v>
      </c>
      <c r="C4918" s="5">
        <f ca="1"/>
        <v>0.1661018005194467</v>
      </c>
      <c r="D4918" s="5">
        <f ca="1">S0*EXP((μ-0.5*σ*σ)*T+σ*SQRT(T)*$C4918)</f>
        <v>0.67547692929440184</v>
      </c>
      <c r="E4918" s="5">
        <f ca="1">MAX(0,CP*(D4918-K))</f>
        <v>0</v>
      </c>
      <c r="F4918" s="4">
        <f ca="1">(CP*(D4918-K)&gt;0)*1</f>
        <v>0</v>
      </c>
      <c r="H4918" s="4">
        <v>4903</v>
      </c>
      <c r="I4918" s="3">
        <v>0.66767353334658031</v>
      </c>
      <c r="J4918" s="128">
        <v>1.3873573582853281E-3</v>
      </c>
      <c r="K4918" s="128"/>
      <c r="L4918" s="128">
        <v>4.2999999999999997E-2</v>
      </c>
      <c r="O4918" s="2"/>
    </row>
    <row r="4919" spans="2:15" x14ac:dyDescent="0.2">
      <c r="B4919" s="1">
        <f>B4918+1</f>
        <v>4904</v>
      </c>
      <c r="C4919" s="5">
        <f ca="1"/>
        <v>5.7666667972753494E-2</v>
      </c>
      <c r="D4919" s="5">
        <f ca="1">S0*EXP((μ-0.5*σ*σ)*T+σ*SQRT(T)*$C4919)</f>
        <v>0.66829430839834369</v>
      </c>
      <c r="E4919" s="5">
        <f ca="1">MAX(0,CP*(D4919-K))</f>
        <v>0</v>
      </c>
      <c r="F4919" s="4">
        <f ca="1">(CP*(D4919-K)&gt;0)*1</f>
        <v>0</v>
      </c>
      <c r="H4919" s="4">
        <v>4904</v>
      </c>
      <c r="I4919" s="3">
        <v>0.6677783055651374</v>
      </c>
      <c r="J4919" s="128">
        <v>1.2774806226412388E-3</v>
      </c>
      <c r="K4919" s="128"/>
      <c r="L4919" s="128">
        <v>4.4600000000000001E-2</v>
      </c>
      <c r="O4919" s="2"/>
    </row>
    <row r="4920" spans="2:15" x14ac:dyDescent="0.2">
      <c r="B4920" s="1">
        <f>B4919+1</f>
        <v>4905</v>
      </c>
      <c r="C4920" s="5">
        <f ca="1"/>
        <v>1.2397710132799586</v>
      </c>
      <c r="D4920" s="5">
        <f ca="1">S0*EXP((μ-0.5*σ*σ)*T+σ*SQRT(T)*$C4920)</f>
        <v>0.75089763257665709</v>
      </c>
      <c r="E4920" s="5">
        <f ca="1">MAX(0,CP*(D4920-K))</f>
        <v>0</v>
      </c>
      <c r="F4920" s="4">
        <f ca="1">(CP*(D4920-K)&gt;0)*1</f>
        <v>0</v>
      </c>
      <c r="H4920" s="4">
        <v>4905</v>
      </c>
      <c r="I4920" s="3">
        <v>0.66770258738796295</v>
      </c>
      <c r="J4920" s="128">
        <v>1.3625808617431956E-3</v>
      </c>
      <c r="K4920" s="128"/>
      <c r="L4920" s="128">
        <v>4.5400000000000003E-2</v>
      </c>
      <c r="O4920" s="2"/>
    </row>
    <row r="4921" spans="2:15" x14ac:dyDescent="0.2">
      <c r="B4921" s="1">
        <f>B4920+1</f>
        <v>4906</v>
      </c>
      <c r="C4921" s="5">
        <f ca="1"/>
        <v>0.29741367296399379</v>
      </c>
      <c r="D4921" s="5">
        <f ca="1">S0*EXP((μ-0.5*σ*σ)*T+σ*SQRT(T)*$C4921)</f>
        <v>0.68427830159193404</v>
      </c>
      <c r="E4921" s="5">
        <f ca="1">MAX(0,CP*(D4921-K))</f>
        <v>0</v>
      </c>
      <c r="F4921" s="4">
        <f ca="1">(CP*(D4921-K)&gt;0)*1</f>
        <v>0</v>
      </c>
      <c r="H4921" s="4">
        <v>4906</v>
      </c>
      <c r="I4921" s="3">
        <v>0.66769575048549479</v>
      </c>
      <c r="J4921" s="128">
        <v>1.1493157016659382E-3</v>
      </c>
      <c r="K4921" s="128"/>
      <c r="L4921" s="128">
        <v>3.6600000000000001E-2</v>
      </c>
      <c r="O4921" s="2"/>
    </row>
    <row r="4922" spans="2:15" x14ac:dyDescent="0.2">
      <c r="B4922" s="1">
        <f>B4921+1</f>
        <v>4907</v>
      </c>
      <c r="C4922" s="5">
        <f ca="1"/>
        <v>-1.6446156575572448</v>
      </c>
      <c r="D4922" s="5">
        <f ca="1">S0*EXP((μ-0.5*σ*σ)*T+σ*SQRT(T)*$C4922)</f>
        <v>0.56504476081035115</v>
      </c>
      <c r="E4922" s="5">
        <f ca="1">MAX(0,CP*(D4922-K))</f>
        <v>0</v>
      </c>
      <c r="F4922" s="4">
        <f ca="1">(CP*(D4922-K)&gt;0)*1</f>
        <v>0</v>
      </c>
      <c r="H4922" s="4">
        <v>4907</v>
      </c>
      <c r="I4922" s="3">
        <v>0.66777437602470668</v>
      </c>
      <c r="J4922" s="128">
        <v>1.4829918979611916E-3</v>
      </c>
      <c r="K4922" s="128"/>
      <c r="L4922" s="128">
        <v>4.4600000000000001E-2</v>
      </c>
      <c r="O4922" s="2"/>
    </row>
    <row r="4923" spans="2:15" x14ac:dyDescent="0.2">
      <c r="B4923" s="1">
        <f>B4922+1</f>
        <v>4908</v>
      </c>
      <c r="C4923" s="5">
        <f ca="1"/>
        <v>-0.33522004740794975</v>
      </c>
      <c r="D4923" s="5">
        <f ca="1">S0*EXP((μ-0.5*σ*σ)*T+σ*SQRT(T)*$C4923)</f>
        <v>0.64290370287753307</v>
      </c>
      <c r="E4923" s="5">
        <f ca="1">MAX(0,CP*(D4923-K))</f>
        <v>0</v>
      </c>
      <c r="F4923" s="4">
        <f ca="1">(CP*(D4923-K)&gt;0)*1</f>
        <v>0</v>
      </c>
      <c r="H4923" s="4">
        <v>4908</v>
      </c>
      <c r="I4923" s="3">
        <v>0.66772749028040312</v>
      </c>
      <c r="J4923" s="128">
        <v>1.2974734983746642E-3</v>
      </c>
      <c r="K4923" s="128"/>
      <c r="L4923" s="128">
        <v>4.0399999999999998E-2</v>
      </c>
      <c r="O4923" s="2"/>
    </row>
    <row r="4924" spans="2:15" x14ac:dyDescent="0.2">
      <c r="B4924" s="1">
        <f>B4923+1</f>
        <v>4909</v>
      </c>
      <c r="C4924" s="5">
        <f ca="1"/>
        <v>1.0316439003506532</v>
      </c>
      <c r="D4924" s="5">
        <f ca="1">S0*EXP((μ-0.5*σ*σ)*T+σ*SQRT(T)*$C4924)</f>
        <v>0.7356471653453196</v>
      </c>
      <c r="E4924" s="5">
        <f ca="1">MAX(0,CP*(D4924-K))</f>
        <v>0</v>
      </c>
      <c r="F4924" s="4">
        <f ca="1">(CP*(D4924-K)&gt;0)*1</f>
        <v>0</v>
      </c>
      <c r="H4924" s="4">
        <v>4909</v>
      </c>
      <c r="I4924" s="3">
        <v>0.66763308673954402</v>
      </c>
      <c r="J4924" s="128">
        <v>1.2470652346603655E-3</v>
      </c>
      <c r="K4924" s="128"/>
      <c r="L4924" s="128">
        <v>3.7199999999999997E-2</v>
      </c>
      <c r="O4924" s="2"/>
    </row>
    <row r="4925" spans="2:15" x14ac:dyDescent="0.2">
      <c r="B4925" s="1">
        <f>B4924+1</f>
        <v>4910</v>
      </c>
      <c r="C4925" s="5">
        <f ca="1"/>
        <v>8.1198712586227087E-2</v>
      </c>
      <c r="D4925" s="5">
        <f ca="1">S0*EXP((μ-0.5*σ*σ)*T+σ*SQRT(T)*$C4925)</f>
        <v>0.66984652747787421</v>
      </c>
      <c r="E4925" s="5">
        <f ca="1">MAX(0,CP*(D4925-K))</f>
        <v>0</v>
      </c>
      <c r="F4925" s="4">
        <f ca="1">(CP*(D4925-K)&gt;0)*1</f>
        <v>0</v>
      </c>
      <c r="H4925" s="4">
        <v>4910</v>
      </c>
      <c r="I4925" s="3">
        <v>0.66772386714642673</v>
      </c>
      <c r="J4925" s="128">
        <v>1.284389666110783E-3</v>
      </c>
      <c r="K4925" s="128"/>
      <c r="L4925" s="128">
        <v>4.2999999999999997E-2</v>
      </c>
      <c r="O4925" s="2"/>
    </row>
    <row r="4926" spans="2:15" x14ac:dyDescent="0.2">
      <c r="B4926" s="1">
        <f>B4925+1</f>
        <v>4911</v>
      </c>
      <c r="C4926" s="5">
        <f ca="1"/>
        <v>-0.92580486856827204</v>
      </c>
      <c r="D4926" s="5">
        <f ca="1">S0*EXP((μ-0.5*σ*σ)*T+σ*SQRT(T)*$C4926)</f>
        <v>0.60654000557895393</v>
      </c>
      <c r="E4926" s="5">
        <f ca="1">MAX(0,CP*(D4926-K))</f>
        <v>0</v>
      </c>
      <c r="F4926" s="4">
        <f ca="1">(CP*(D4926-K)&gt;0)*1</f>
        <v>0</v>
      </c>
      <c r="H4926" s="4">
        <v>4911</v>
      </c>
      <c r="I4926" s="3">
        <v>0.66755553426799874</v>
      </c>
      <c r="J4926" s="128">
        <v>1.1573157359867235E-3</v>
      </c>
      <c r="K4926" s="128"/>
      <c r="L4926" s="128">
        <v>3.78E-2</v>
      </c>
      <c r="O4926" s="2"/>
    </row>
    <row r="4927" spans="2:15" x14ac:dyDescent="0.2">
      <c r="B4927" s="1">
        <f>B4926+1</f>
        <v>4912</v>
      </c>
      <c r="C4927" s="5">
        <f ca="1"/>
        <v>9.6468753508492558E-2</v>
      </c>
      <c r="D4927" s="5">
        <f ca="1">S0*EXP((μ-0.5*σ*σ)*T+σ*SQRT(T)*$C4927)</f>
        <v>0.67085569711116821</v>
      </c>
      <c r="E4927" s="5">
        <f ca="1">MAX(0,CP*(D4927-K))</f>
        <v>0</v>
      </c>
      <c r="F4927" s="4">
        <f ca="1">(CP*(D4927-K)&gt;0)*1</f>
        <v>0</v>
      </c>
      <c r="H4927" s="4">
        <v>4912</v>
      </c>
      <c r="I4927" s="3">
        <v>0.66768051546714946</v>
      </c>
      <c r="J4927" s="128">
        <v>1.3344218362794037E-3</v>
      </c>
      <c r="K4927" s="128"/>
      <c r="L4927" s="128">
        <v>0.04</v>
      </c>
      <c r="O4927" s="2"/>
    </row>
    <row r="4928" spans="2:15" x14ac:dyDescent="0.2">
      <c r="B4928" s="1">
        <f>B4927+1</f>
        <v>4913</v>
      </c>
      <c r="C4928" s="5">
        <f ca="1"/>
        <v>-2.4796583150129503E-2</v>
      </c>
      <c r="D4928" s="5">
        <f ca="1">S0*EXP((μ-0.5*σ*σ)*T+σ*SQRT(T)*$C4928)</f>
        <v>0.66288320592062411</v>
      </c>
      <c r="E4928" s="5">
        <f ca="1">MAX(0,CP*(D4928-K))</f>
        <v>0</v>
      </c>
      <c r="F4928" s="4">
        <f ca="1">(CP*(D4928-K)&gt;0)*1</f>
        <v>0</v>
      </c>
      <c r="H4928" s="4">
        <v>4913</v>
      </c>
      <c r="I4928" s="3">
        <v>0.66776085655944095</v>
      </c>
      <c r="J4928" s="128">
        <v>1.2683422028907216E-3</v>
      </c>
      <c r="K4928" s="128"/>
      <c r="L4928" s="128">
        <v>4.1599999999999998E-2</v>
      </c>
      <c r="O4928" s="2"/>
    </row>
    <row r="4929" spans="2:15" x14ac:dyDescent="0.2">
      <c r="B4929" s="1">
        <f>B4928+1</f>
        <v>4914</v>
      </c>
      <c r="C4929" s="5">
        <f ca="1"/>
        <v>1.4843134319306979</v>
      </c>
      <c r="D4929" s="5">
        <f ca="1">S0*EXP((μ-0.5*σ*σ)*T+σ*SQRT(T)*$C4929)</f>
        <v>0.76922087552877572</v>
      </c>
      <c r="E4929" s="5">
        <f ca="1">MAX(0,CP*(D4929-K))</f>
        <v>0</v>
      </c>
      <c r="F4929" s="4">
        <f ca="1">(CP*(D4929-K)&gt;0)*1</f>
        <v>0</v>
      </c>
      <c r="H4929" s="4">
        <v>4914</v>
      </c>
      <c r="I4929" s="3">
        <v>0.66760435271279484</v>
      </c>
      <c r="J4929" s="128">
        <v>1.2556524710955501E-3</v>
      </c>
      <c r="K4929" s="128"/>
      <c r="L4929" s="128">
        <v>3.9600000000000003E-2</v>
      </c>
      <c r="O4929" s="2"/>
    </row>
    <row r="4930" spans="2:15" x14ac:dyDescent="0.2">
      <c r="B4930" s="1">
        <f>B4929+1</f>
        <v>4915</v>
      </c>
      <c r="C4930" s="5">
        <f ca="1"/>
        <v>-0.25424605790431692</v>
      </c>
      <c r="D4930" s="5">
        <f ca="1">S0*EXP((μ-0.5*σ*σ)*T+σ*SQRT(T)*$C4930)</f>
        <v>0.6480565567759704</v>
      </c>
      <c r="E4930" s="5">
        <f ca="1">MAX(0,CP*(D4930-K))</f>
        <v>0</v>
      </c>
      <c r="F4930" s="4">
        <f ca="1">(CP*(D4930-K)&gt;0)*1</f>
        <v>0</v>
      </c>
      <c r="H4930" s="4">
        <v>4915</v>
      </c>
      <c r="I4930" s="3">
        <v>0.66764978352073256</v>
      </c>
      <c r="J4930" s="128">
        <v>1.2774215278469041E-3</v>
      </c>
      <c r="K4930" s="128"/>
      <c r="L4930" s="128">
        <v>4.1399999999999999E-2</v>
      </c>
      <c r="O4930" s="2"/>
    </row>
    <row r="4931" spans="2:15" x14ac:dyDescent="0.2">
      <c r="B4931" s="1">
        <f>B4930+1</f>
        <v>4916</v>
      </c>
      <c r="C4931" s="5">
        <f ca="1"/>
        <v>-1.8003969997113027</v>
      </c>
      <c r="D4931" s="5">
        <f ca="1">S0*EXP((μ-0.5*σ*σ)*T+σ*SQRT(T)*$C4931)</f>
        <v>0.55643305240819807</v>
      </c>
      <c r="E4931" s="5">
        <f ca="1">MAX(0,CP*(D4931-K))</f>
        <v>0</v>
      </c>
      <c r="F4931" s="4">
        <f ca="1">(CP*(D4931-K)&gt;0)*1</f>
        <v>0</v>
      </c>
      <c r="H4931" s="4">
        <v>4916</v>
      </c>
      <c r="I4931" s="3">
        <v>0.66779941751587168</v>
      </c>
      <c r="J4931" s="128">
        <v>1.5190354056836075E-3</v>
      </c>
      <c r="K4931" s="128"/>
      <c r="L4931" s="128">
        <v>4.1799999999999997E-2</v>
      </c>
      <c r="O4931" s="2"/>
    </row>
    <row r="4932" spans="2:15" x14ac:dyDescent="0.2">
      <c r="B4932" s="1">
        <f>B4931+1</f>
        <v>4917</v>
      </c>
      <c r="C4932" s="5">
        <f ca="1"/>
        <v>-1.5185523511750814</v>
      </c>
      <c r="D4932" s="5">
        <f ca="1">S0*EXP((μ-0.5*σ*σ)*T+σ*SQRT(T)*$C4932)</f>
        <v>0.57211110560477141</v>
      </c>
      <c r="E4932" s="5">
        <f ca="1">MAX(0,CP*(D4932-K))</f>
        <v>0</v>
      </c>
      <c r="F4932" s="4">
        <f ca="1">(CP*(D4932-K)&gt;0)*1</f>
        <v>0</v>
      </c>
      <c r="H4932" s="4">
        <v>4917</v>
      </c>
      <c r="I4932" s="3">
        <v>0.66781479597004068</v>
      </c>
      <c r="J4932" s="128">
        <v>1.5133925677593026E-3</v>
      </c>
      <c r="K4932" s="128"/>
      <c r="L4932" s="128">
        <v>4.2999999999999997E-2</v>
      </c>
      <c r="O4932" s="2"/>
    </row>
    <row r="4933" spans="2:15" x14ac:dyDescent="0.2">
      <c r="B4933" s="1">
        <f>B4932+1</f>
        <v>4918</v>
      </c>
      <c r="C4933" s="5">
        <f ca="1"/>
        <v>0.74719184617658119</v>
      </c>
      <c r="D4933" s="5">
        <f ca="1">S0*EXP((μ-0.5*σ*σ)*T+σ*SQRT(T)*$C4933)</f>
        <v>0.71530369487209999</v>
      </c>
      <c r="E4933" s="5">
        <f ca="1">MAX(0,CP*(D4933-K))</f>
        <v>0</v>
      </c>
      <c r="F4933" s="4">
        <f ca="1">(CP*(D4933-K)&gt;0)*1</f>
        <v>0</v>
      </c>
      <c r="H4933" s="4">
        <v>4918</v>
      </c>
      <c r="I4933" s="3">
        <v>0.66774305546413437</v>
      </c>
      <c r="J4933" s="128">
        <v>1.4923020703811406E-3</v>
      </c>
      <c r="K4933" s="128"/>
      <c r="L4933" s="128">
        <v>4.2000000000000003E-2</v>
      </c>
      <c r="O4933" s="2"/>
    </row>
    <row r="4934" spans="2:15" x14ac:dyDescent="0.2">
      <c r="B4934" s="1">
        <f>B4933+1</f>
        <v>4919</v>
      </c>
      <c r="C4934" s="5">
        <f ca="1"/>
        <v>0.44327833656340415</v>
      </c>
      <c r="D4934" s="5">
        <f ca="1">S0*EXP((μ-0.5*σ*σ)*T+σ*SQRT(T)*$C4934)</f>
        <v>0.6941896101431051</v>
      </c>
      <c r="E4934" s="5">
        <f ca="1">MAX(0,CP*(D4934-K))</f>
        <v>0</v>
      </c>
      <c r="F4934" s="4">
        <f ca="1">(CP*(D4934-K)&gt;0)*1</f>
        <v>0</v>
      </c>
      <c r="H4934" s="4">
        <v>4919</v>
      </c>
      <c r="I4934" s="3">
        <v>0.66772713594057842</v>
      </c>
      <c r="J4934" s="128">
        <v>1.3185625240312378E-3</v>
      </c>
      <c r="K4934" s="128"/>
      <c r="L4934" s="128">
        <v>3.9600000000000003E-2</v>
      </c>
      <c r="O4934" s="2"/>
    </row>
    <row r="4935" spans="2:15" x14ac:dyDescent="0.2">
      <c r="B4935" s="1">
        <f>B4934+1</f>
        <v>4920</v>
      </c>
      <c r="C4935" s="5">
        <f ca="1"/>
        <v>0.52955910744630785</v>
      </c>
      <c r="D4935" s="5">
        <f ca="1">S0*EXP((μ-0.5*σ*σ)*T+σ*SQRT(T)*$C4935)</f>
        <v>0.70011971338470247</v>
      </c>
      <c r="E4935" s="5">
        <f ca="1">MAX(0,CP*(D4935-K))</f>
        <v>0</v>
      </c>
      <c r="F4935" s="4">
        <f ca="1">(CP*(D4935-K)&gt;0)*1</f>
        <v>0</v>
      </c>
      <c r="H4935" s="4">
        <v>4920</v>
      </c>
      <c r="I4935" s="3">
        <v>0.66769554506527951</v>
      </c>
      <c r="J4935" s="128">
        <v>1.3646309483277914E-3</v>
      </c>
      <c r="K4935" s="128"/>
      <c r="L4935" s="128">
        <v>0.04</v>
      </c>
      <c r="O4935" s="2"/>
    </row>
    <row r="4936" spans="2:15" x14ac:dyDescent="0.2">
      <c r="B4936" s="1">
        <f>B4935+1</f>
        <v>4921</v>
      </c>
      <c r="C4936" s="5">
        <f ca="1"/>
        <v>1.9747898436811271</v>
      </c>
      <c r="D4936" s="5">
        <f ca="1">S0*EXP((μ-0.5*σ*σ)*T+σ*SQRT(T)*$C4936)</f>
        <v>0.80733038300160842</v>
      </c>
      <c r="E4936" s="5">
        <f ca="1">MAX(0,CP*(D4936-K))</f>
        <v>1.9130383001608409E-2</v>
      </c>
      <c r="F4936" s="4">
        <f ca="1">(CP*(D4936-K)&gt;0)*1</f>
        <v>1</v>
      </c>
      <c r="H4936" s="4">
        <v>4921</v>
      </c>
      <c r="I4936" s="3">
        <v>0.66787007206358107</v>
      </c>
      <c r="J4936" s="128">
        <v>1.5862894790454028E-3</v>
      </c>
      <c r="K4936" s="128"/>
      <c r="L4936" s="128">
        <v>4.7E-2</v>
      </c>
      <c r="O4936" s="2"/>
    </row>
    <row r="4937" spans="2:15" x14ac:dyDescent="0.2">
      <c r="B4937" s="1">
        <f>B4936+1</f>
        <v>4922</v>
      </c>
      <c r="C4937" s="5">
        <f ca="1"/>
        <v>0.290962941969096</v>
      </c>
      <c r="D4937" s="5">
        <f ca="1">S0*EXP((μ-0.5*σ*σ)*T+σ*SQRT(T)*$C4937)</f>
        <v>0.68384326545783314</v>
      </c>
      <c r="E4937" s="5">
        <f ca="1">MAX(0,CP*(D4937-K))</f>
        <v>0</v>
      </c>
      <c r="F4937" s="4">
        <f ca="1">(CP*(D4937-K)&gt;0)*1</f>
        <v>0</v>
      </c>
      <c r="H4937" s="4">
        <v>4922</v>
      </c>
      <c r="I4937" s="3">
        <v>0.66764790601461321</v>
      </c>
      <c r="J4937" s="128">
        <v>1.3566174602231444E-3</v>
      </c>
      <c r="K4937" s="128"/>
      <c r="L4937" s="128">
        <v>3.9600000000000003E-2</v>
      </c>
      <c r="O4937" s="2"/>
    </row>
    <row r="4938" spans="2:15" x14ac:dyDescent="0.2">
      <c r="B4938" s="1">
        <f>B4937+1</f>
        <v>4923</v>
      </c>
      <c r="C4938" s="5">
        <f ca="1"/>
        <v>0.32053907112957319</v>
      </c>
      <c r="D4938" s="5">
        <f ca="1">S0*EXP((μ-0.5*σ*σ)*T+σ*SQRT(T)*$C4938)</f>
        <v>0.6858401499697433</v>
      </c>
      <c r="E4938" s="5">
        <f ca="1">MAX(0,CP*(D4938-K))</f>
        <v>0</v>
      </c>
      <c r="F4938" s="4">
        <f ca="1">(CP*(D4938-K)&gt;0)*1</f>
        <v>0</v>
      </c>
      <c r="H4938" s="4">
        <v>4923</v>
      </c>
      <c r="I4938" s="3">
        <v>0.66766562085047187</v>
      </c>
      <c r="J4938" s="128">
        <v>1.2925073654041271E-3</v>
      </c>
      <c r="K4938" s="128"/>
      <c r="L4938" s="128">
        <v>4.1200000000000001E-2</v>
      </c>
      <c r="O4938" s="2"/>
    </row>
    <row r="4939" spans="2:15" x14ac:dyDescent="0.2">
      <c r="B4939" s="1">
        <f>B4938+1</f>
        <v>4924</v>
      </c>
      <c r="C4939" s="5">
        <f ca="1"/>
        <v>1.6587815160712185</v>
      </c>
      <c r="D4939" s="5">
        <f ca="1">S0*EXP((μ-0.5*σ*σ)*T+σ*SQRT(T)*$C4939)</f>
        <v>0.78256620008670619</v>
      </c>
      <c r="E4939" s="5">
        <f ca="1">MAX(0,CP*(D4939-K))</f>
        <v>0</v>
      </c>
      <c r="F4939" s="4">
        <f ca="1">(CP*(D4939-K)&gt;0)*1</f>
        <v>0</v>
      </c>
      <c r="H4939" s="4">
        <v>4924</v>
      </c>
      <c r="I4939" s="3">
        <v>0.66761635535533403</v>
      </c>
      <c r="J4939" s="128">
        <v>1.2216743552748302E-3</v>
      </c>
      <c r="K4939" s="128"/>
      <c r="L4939" s="128">
        <v>3.8399999999999997E-2</v>
      </c>
      <c r="O4939" s="2"/>
    </row>
    <row r="4940" spans="2:15" x14ac:dyDescent="0.2">
      <c r="B4940" s="1">
        <f>B4939+1</f>
        <v>4925</v>
      </c>
      <c r="C4940" s="5">
        <f ca="1"/>
        <v>0.16091595903531089</v>
      </c>
      <c r="D4940" s="5">
        <f ca="1">S0*EXP((μ-0.5*σ*σ)*T+σ*SQRT(T)*$C4940)</f>
        <v>0.67513167390646722</v>
      </c>
      <c r="E4940" s="5">
        <f ca="1">MAX(0,CP*(D4940-K))</f>
        <v>0</v>
      </c>
      <c r="F4940" s="4">
        <f ca="1">(CP*(D4940-K)&gt;0)*1</f>
        <v>0</v>
      </c>
      <c r="H4940" s="4">
        <v>4925</v>
      </c>
      <c r="I4940" s="3">
        <v>0.66772761010802129</v>
      </c>
      <c r="J4940" s="128">
        <v>1.4138755833180863E-3</v>
      </c>
      <c r="K4940" s="128"/>
      <c r="L4940" s="128">
        <v>4.3200000000000002E-2</v>
      </c>
      <c r="O4940" s="2"/>
    </row>
    <row r="4941" spans="2:15" x14ac:dyDescent="0.2">
      <c r="B4941" s="1">
        <f>B4940+1</f>
        <v>4926</v>
      </c>
      <c r="C4941" s="5">
        <f ca="1"/>
        <v>1.1854012789457993</v>
      </c>
      <c r="D4941" s="5">
        <f ca="1">S0*EXP((μ-0.5*σ*σ)*T+σ*SQRT(T)*$C4941)</f>
        <v>0.74688345815428081</v>
      </c>
      <c r="E4941" s="5">
        <f ca="1">MAX(0,CP*(D4941-K))</f>
        <v>0</v>
      </c>
      <c r="F4941" s="4">
        <f ca="1">(CP*(D4941-K)&gt;0)*1</f>
        <v>0</v>
      </c>
      <c r="H4941" s="4">
        <v>4926</v>
      </c>
      <c r="I4941" s="3">
        <v>0.66770720602831379</v>
      </c>
      <c r="J4941" s="128">
        <v>1.3663457245704103E-3</v>
      </c>
      <c r="K4941" s="128"/>
      <c r="L4941" s="128">
        <v>4.2599999999999999E-2</v>
      </c>
      <c r="O4941" s="2"/>
    </row>
    <row r="4942" spans="2:15" x14ac:dyDescent="0.2">
      <c r="B4942" s="1">
        <f>B4941+1</f>
        <v>4927</v>
      </c>
      <c r="C4942" s="5">
        <f ca="1"/>
        <v>-0.87229419575530209</v>
      </c>
      <c r="D4942" s="5">
        <f ca="1">S0*EXP((μ-0.5*σ*σ)*T+σ*SQRT(T)*$C4942)</f>
        <v>0.60974825144246991</v>
      </c>
      <c r="E4942" s="5">
        <f ca="1">MAX(0,CP*(D4942-K))</f>
        <v>0</v>
      </c>
      <c r="F4942" s="4">
        <f ca="1">(CP*(D4942-K)&gt;0)*1</f>
        <v>0</v>
      </c>
      <c r="H4942" s="4">
        <v>4927</v>
      </c>
      <c r="I4942" s="3">
        <v>0.66785094088783148</v>
      </c>
      <c r="J4942" s="128">
        <v>1.5229091132585827E-3</v>
      </c>
      <c r="K4942" s="128"/>
      <c r="L4942" s="128">
        <v>4.5400000000000003E-2</v>
      </c>
      <c r="O4942" s="2"/>
    </row>
    <row r="4943" spans="2:15" x14ac:dyDescent="0.2">
      <c r="B4943" s="1">
        <f>B4942+1</f>
        <v>4928</v>
      </c>
      <c r="C4943" s="5">
        <f ca="1"/>
        <v>4.928363944295383E-2</v>
      </c>
      <c r="D4943" s="5">
        <f ca="1">S0*EXP((μ-0.5*σ*σ)*T+σ*SQRT(T)*$C4943)</f>
        <v>0.667742217006561</v>
      </c>
      <c r="E4943" s="5">
        <f ca="1">MAX(0,CP*(D4943-K))</f>
        <v>0</v>
      </c>
      <c r="F4943" s="4">
        <f ca="1">(CP*(D4943-K)&gt;0)*1</f>
        <v>0</v>
      </c>
      <c r="H4943" s="4">
        <v>4928</v>
      </c>
      <c r="I4943" s="3">
        <v>0.66779992628526308</v>
      </c>
      <c r="J4943" s="128">
        <v>1.5363954609120282E-3</v>
      </c>
      <c r="K4943" s="128"/>
      <c r="L4943" s="128">
        <v>4.1799999999999997E-2</v>
      </c>
      <c r="O4943" s="2"/>
    </row>
    <row r="4944" spans="2:15" x14ac:dyDescent="0.2">
      <c r="B4944" s="1">
        <f>B4943+1</f>
        <v>4929</v>
      </c>
      <c r="C4944" s="5">
        <f ca="1"/>
        <v>1.1438180071256889</v>
      </c>
      <c r="D4944" s="5">
        <f ca="1">S0*EXP((μ-0.5*σ*σ)*T+σ*SQRT(T)*$C4944)</f>
        <v>0.74382781026306877</v>
      </c>
      <c r="E4944" s="5">
        <f ca="1">MAX(0,CP*(D4944-K))</f>
        <v>0</v>
      </c>
      <c r="F4944" s="4">
        <f ca="1">(CP*(D4944-K)&gt;0)*1</f>
        <v>0</v>
      </c>
      <c r="H4944" s="4">
        <v>4929</v>
      </c>
      <c r="I4944" s="3">
        <v>0.66753965881330202</v>
      </c>
      <c r="J4944" s="128">
        <v>1.1964742140926278E-3</v>
      </c>
      <c r="K4944" s="128"/>
      <c r="L4944" s="128">
        <v>3.8399999999999997E-2</v>
      </c>
      <c r="O4944" s="2"/>
    </row>
    <row r="4945" spans="2:15" x14ac:dyDescent="0.2">
      <c r="B4945" s="1">
        <f>B4944+1</f>
        <v>4930</v>
      </c>
      <c r="C4945" s="5">
        <f ca="1"/>
        <v>0.96719715974427312</v>
      </c>
      <c r="D4945" s="5">
        <f ca="1">S0*EXP((μ-0.5*σ*σ)*T+σ*SQRT(T)*$C4945)</f>
        <v>0.73098794447066073</v>
      </c>
      <c r="E4945" s="5">
        <f ca="1">MAX(0,CP*(D4945-K))</f>
        <v>0</v>
      </c>
      <c r="F4945" s="4">
        <f ca="1">(CP*(D4945-K)&gt;0)*1</f>
        <v>0</v>
      </c>
      <c r="H4945" s="4">
        <v>4930</v>
      </c>
      <c r="I4945" s="3">
        <v>0.66787565944298743</v>
      </c>
      <c r="J4945" s="128">
        <v>1.586675648817964E-3</v>
      </c>
      <c r="K4945" s="128"/>
      <c r="L4945" s="128">
        <v>4.4200000000000003E-2</v>
      </c>
      <c r="O4945" s="2"/>
    </row>
    <row r="4946" spans="2:15" x14ac:dyDescent="0.2">
      <c r="B4946" s="1">
        <f>B4945+1</f>
        <v>4931</v>
      </c>
      <c r="C4946" s="5">
        <f ca="1"/>
        <v>-0.9685721733386734</v>
      </c>
      <c r="D4946" s="5">
        <f ca="1">S0*EXP((μ-0.5*σ*σ)*T+σ*SQRT(T)*$C4946)</f>
        <v>0.60398802237123117</v>
      </c>
      <c r="E4946" s="5">
        <f ca="1">MAX(0,CP*(D4946-K))</f>
        <v>0</v>
      </c>
      <c r="F4946" s="4">
        <f ca="1">(CP*(D4946-K)&gt;0)*1</f>
        <v>0</v>
      </c>
      <c r="H4946" s="4">
        <v>4931</v>
      </c>
      <c r="I4946" s="3">
        <v>0.66758721609157556</v>
      </c>
      <c r="J4946" s="128">
        <v>1.2524692599660196E-3</v>
      </c>
      <c r="K4946" s="128"/>
      <c r="L4946" s="128">
        <v>3.8600000000000002E-2</v>
      </c>
      <c r="O4946" s="2"/>
    </row>
    <row r="4947" spans="2:15" x14ac:dyDescent="0.2">
      <c r="B4947" s="1">
        <f>B4946+1</f>
        <v>4932</v>
      </c>
      <c r="C4947" s="5">
        <f ca="1"/>
        <v>0.44298198123393595</v>
      </c>
      <c r="D4947" s="5">
        <f ca="1">S0*EXP((μ-0.5*σ*σ)*T+σ*SQRT(T)*$C4947)</f>
        <v>0.69416932835564593</v>
      </c>
      <c r="E4947" s="5">
        <f ca="1">MAX(0,CP*(D4947-K))</f>
        <v>0</v>
      </c>
      <c r="F4947" s="4">
        <f ca="1">(CP*(D4947-K)&gt;0)*1</f>
        <v>0</v>
      </c>
      <c r="H4947" s="4">
        <v>4932</v>
      </c>
      <c r="I4947" s="3">
        <v>0.66773473897419866</v>
      </c>
      <c r="J4947" s="128">
        <v>1.3384974361031411E-3</v>
      </c>
      <c r="K4947" s="128"/>
      <c r="L4947" s="128">
        <v>3.9199999999999999E-2</v>
      </c>
      <c r="O4947" s="2"/>
    </row>
    <row r="4948" spans="2:15" x14ac:dyDescent="0.2">
      <c r="B4948" s="1">
        <f>B4947+1</f>
        <v>4933</v>
      </c>
      <c r="C4948" s="5">
        <f ca="1"/>
        <v>3.0883192311565208</v>
      </c>
      <c r="D4948" s="5">
        <f ca="1">S0*EXP((μ-0.5*σ*σ)*T+σ*SQRT(T)*$C4948)</f>
        <v>0.90100699918408989</v>
      </c>
      <c r="E4948" s="5">
        <f ca="1">MAX(0,CP*(D4948-K))</f>
        <v>0.11280699918408987</v>
      </c>
      <c r="F4948" s="4">
        <f ca="1">(CP*(D4948-K)&gt;0)*1</f>
        <v>1</v>
      </c>
      <c r="H4948" s="4">
        <v>4933</v>
      </c>
      <c r="I4948" s="3">
        <v>0.6678280397750247</v>
      </c>
      <c r="J4948" s="128">
        <v>1.5603767824360531E-3</v>
      </c>
      <c r="K4948" s="128"/>
      <c r="L4948" s="128">
        <v>4.6399999999999997E-2</v>
      </c>
      <c r="O4948" s="2"/>
    </row>
    <row r="4949" spans="2:15" x14ac:dyDescent="0.2">
      <c r="B4949" s="1">
        <f>B4948+1</f>
        <v>4934</v>
      </c>
      <c r="C4949" s="5">
        <f ca="1"/>
        <v>-0.61830990190660895</v>
      </c>
      <c r="D4949" s="5">
        <f ca="1">S0*EXP((μ-0.5*σ*σ)*T+σ*SQRT(T)*$C4949)</f>
        <v>0.62520890276543839</v>
      </c>
      <c r="E4949" s="5">
        <f ca="1">MAX(0,CP*(D4949-K))</f>
        <v>0</v>
      </c>
      <c r="F4949" s="4">
        <f ca="1">(CP*(D4949-K)&gt;0)*1</f>
        <v>0</v>
      </c>
      <c r="H4949" s="4">
        <v>4934</v>
      </c>
      <c r="I4949" s="3">
        <v>0.66785680482343135</v>
      </c>
      <c r="J4949" s="128">
        <v>1.5301235683504019E-3</v>
      </c>
      <c r="K4949" s="128"/>
      <c r="L4949" s="128">
        <v>4.2799999999999998E-2</v>
      </c>
      <c r="O4949" s="2"/>
    </row>
    <row r="4950" spans="2:15" x14ac:dyDescent="0.2">
      <c r="B4950" s="1">
        <f>B4949+1</f>
        <v>4935</v>
      </c>
      <c r="C4950" s="5">
        <f ca="1"/>
        <v>-0.37658519637717447</v>
      </c>
      <c r="D4950" s="5">
        <f ca="1">S0*EXP((μ-0.5*σ*σ)*T+σ*SQRT(T)*$C4950)</f>
        <v>0.64028722542633787</v>
      </c>
      <c r="E4950" s="5">
        <f ca="1">MAX(0,CP*(D4950-K))</f>
        <v>0</v>
      </c>
      <c r="F4950" s="4">
        <f ca="1">(CP*(D4950-K)&gt;0)*1</f>
        <v>0</v>
      </c>
      <c r="H4950" s="4">
        <v>4935</v>
      </c>
      <c r="I4950" s="3">
        <v>0.6676972067495861</v>
      </c>
      <c r="J4950" s="128">
        <v>1.2224688525272649E-3</v>
      </c>
      <c r="K4950" s="128"/>
      <c r="L4950" s="128">
        <v>4.2999999999999997E-2</v>
      </c>
      <c r="O4950" s="2"/>
    </row>
    <row r="4951" spans="2:15" x14ac:dyDescent="0.2">
      <c r="B4951" s="1">
        <f>B4950+1</f>
        <v>4936</v>
      </c>
      <c r="C4951" s="5">
        <f ca="1"/>
        <v>1.1947761960626133</v>
      </c>
      <c r="D4951" s="5">
        <f ca="1">S0*EXP((μ-0.5*σ*σ)*T+σ*SQRT(T)*$C4951)</f>
        <v>0.74757408381667856</v>
      </c>
      <c r="E4951" s="5">
        <f ca="1">MAX(0,CP*(D4951-K))</f>
        <v>0</v>
      </c>
      <c r="F4951" s="4">
        <f ca="1">(CP*(D4951-K)&gt;0)*1</f>
        <v>0</v>
      </c>
      <c r="H4951" s="4">
        <v>4936</v>
      </c>
      <c r="I4951" s="3">
        <v>0.66769732179108732</v>
      </c>
      <c r="J4951" s="128">
        <v>1.3868147181519842E-3</v>
      </c>
      <c r="K4951" s="128"/>
      <c r="L4951" s="128">
        <v>4.1799999999999997E-2</v>
      </c>
      <c r="O4951" s="2"/>
    </row>
    <row r="4952" spans="2:15" x14ac:dyDescent="0.2">
      <c r="B4952" s="1">
        <f>B4951+1</f>
        <v>4937</v>
      </c>
      <c r="C4952" s="5">
        <f ca="1"/>
        <v>0.21064055054951092</v>
      </c>
      <c r="D4952" s="5">
        <f ca="1">S0*EXP((μ-0.5*σ*σ)*T+σ*SQRT(T)*$C4952)</f>
        <v>0.67844944460194001</v>
      </c>
      <c r="E4952" s="5">
        <f ca="1">MAX(0,CP*(D4952-K))</f>
        <v>0</v>
      </c>
      <c r="F4952" s="4">
        <f ca="1">(CP*(D4952-K)&gt;0)*1</f>
        <v>0</v>
      </c>
      <c r="H4952" s="4">
        <v>4937</v>
      </c>
      <c r="I4952" s="3">
        <v>0.66774867551839323</v>
      </c>
      <c r="J4952" s="128">
        <v>1.3663176377639334E-3</v>
      </c>
      <c r="K4952" s="128"/>
      <c r="L4952" s="128">
        <v>4.2200000000000001E-2</v>
      </c>
      <c r="O4952" s="2"/>
    </row>
    <row r="4953" spans="2:15" x14ac:dyDescent="0.2">
      <c r="B4953" s="1">
        <f>B4952+1</f>
        <v>4938</v>
      </c>
      <c r="C4953" s="5">
        <f ca="1"/>
        <v>-0.73982868189731443</v>
      </c>
      <c r="D4953" s="5">
        <f ca="1">S0*EXP((μ-0.5*σ*σ)*T+σ*SQRT(T)*$C4953)</f>
        <v>0.61776344510418224</v>
      </c>
      <c r="E4953" s="5">
        <f ca="1">MAX(0,CP*(D4953-K))</f>
        <v>0</v>
      </c>
      <c r="F4953" s="4">
        <f ca="1">(CP*(D4953-K)&gt;0)*1</f>
        <v>0</v>
      </c>
      <c r="H4953" s="4">
        <v>4938</v>
      </c>
      <c r="I4953" s="3">
        <v>0.66784486952649946</v>
      </c>
      <c r="J4953" s="128">
        <v>1.5321886085193886E-3</v>
      </c>
      <c r="K4953" s="128"/>
      <c r="L4953" s="128">
        <v>4.0599999999999997E-2</v>
      </c>
      <c r="O4953" s="2"/>
    </row>
    <row r="4954" spans="2:15" x14ac:dyDescent="0.2">
      <c r="B4954" s="1">
        <f>B4953+1</f>
        <v>4939</v>
      </c>
      <c r="C4954" s="5">
        <f ca="1"/>
        <v>-1.7624543322889648</v>
      </c>
      <c r="D4954" s="5">
        <f ca="1">S0*EXP((μ-0.5*σ*σ)*T+σ*SQRT(T)*$C4954)</f>
        <v>0.5585183835494073</v>
      </c>
      <c r="E4954" s="5">
        <f ca="1">MAX(0,CP*(D4954-K))</f>
        <v>0</v>
      </c>
      <c r="F4954" s="4">
        <f ca="1">(CP*(D4954-K)&gt;0)*1</f>
        <v>0</v>
      </c>
      <c r="H4954" s="4">
        <v>4939</v>
      </c>
      <c r="I4954" s="3">
        <v>0.6677576817099462</v>
      </c>
      <c r="J4954" s="128">
        <v>1.3735213576543054E-3</v>
      </c>
      <c r="K4954" s="128"/>
      <c r="L4954" s="128">
        <v>4.3400000000000001E-2</v>
      </c>
      <c r="O4954" s="2"/>
    </row>
    <row r="4955" spans="2:15" x14ac:dyDescent="0.2">
      <c r="B4955" s="1">
        <f>B4954+1</f>
        <v>4940</v>
      </c>
      <c r="C4955" s="5">
        <f ca="1"/>
        <v>-9.5399680231149211E-2</v>
      </c>
      <c r="D4955" s="5">
        <f ca="1">S0*EXP((μ-0.5*σ*σ)*T+σ*SQRT(T)*$C4955)</f>
        <v>0.65828517492030081</v>
      </c>
      <c r="E4955" s="5">
        <f ca="1">MAX(0,CP*(D4955-K))</f>
        <v>0</v>
      </c>
      <c r="F4955" s="4">
        <f ca="1">(CP*(D4955-K)&gt;0)*1</f>
        <v>0</v>
      </c>
      <c r="H4955" s="4">
        <v>4940</v>
      </c>
      <c r="I4955" s="3">
        <v>0.66776396036686614</v>
      </c>
      <c r="J4955" s="128">
        <v>1.4724987760551752E-3</v>
      </c>
      <c r="K4955" s="128"/>
      <c r="L4955" s="128">
        <v>4.1000000000000002E-2</v>
      </c>
      <c r="O4955" s="2"/>
    </row>
    <row r="4956" spans="2:15" x14ac:dyDescent="0.2">
      <c r="B4956" s="1">
        <f>B4955+1</f>
        <v>4941</v>
      </c>
      <c r="C4956" s="5">
        <f ca="1"/>
        <v>-1.0582856834899597</v>
      </c>
      <c r="D4956" s="5">
        <f ca="1">S0*EXP((μ-0.5*σ*σ)*T+σ*SQRT(T)*$C4956)</f>
        <v>0.59866952774064053</v>
      </c>
      <c r="E4956" s="5">
        <f ca="1">MAX(0,CP*(D4956-K))</f>
        <v>0</v>
      </c>
      <c r="F4956" s="4">
        <f ca="1">(CP*(D4956-K)&gt;0)*1</f>
        <v>0</v>
      </c>
      <c r="H4956" s="4">
        <v>4941</v>
      </c>
      <c r="I4956" s="3">
        <v>0.66795097001231996</v>
      </c>
      <c r="J4956" s="128">
        <v>1.5998336965390818E-3</v>
      </c>
      <c r="K4956" s="128"/>
      <c r="L4956" s="128">
        <v>4.4600000000000001E-2</v>
      </c>
      <c r="O4956" s="2"/>
    </row>
    <row r="4957" spans="2:15" x14ac:dyDescent="0.2">
      <c r="B4957" s="1">
        <f>B4956+1</f>
        <v>4942</v>
      </c>
      <c r="C4957" s="5">
        <f ca="1"/>
        <v>-3.8387844818411961E-2</v>
      </c>
      <c r="D4957" s="5">
        <f ca="1">S0*EXP((μ-0.5*σ*σ)*T+σ*SQRT(T)*$C4957)</f>
        <v>0.66199558489397459</v>
      </c>
      <c r="E4957" s="5">
        <f ca="1">MAX(0,CP*(D4957-K))</f>
        <v>0</v>
      </c>
      <c r="F4957" s="4">
        <f ca="1">(CP*(D4957-K)&gt;0)*1</f>
        <v>0</v>
      </c>
      <c r="H4957" s="4">
        <v>4942</v>
      </c>
      <c r="I4957" s="3">
        <v>0.66786918036727827</v>
      </c>
      <c r="J4957" s="128">
        <v>1.5392308328198447E-3</v>
      </c>
      <c r="K4957" s="128"/>
      <c r="L4957" s="128">
        <v>4.4600000000000001E-2</v>
      </c>
      <c r="O4957" s="2"/>
    </row>
    <row r="4958" spans="2:15" x14ac:dyDescent="0.2">
      <c r="B4958" s="1">
        <f>B4957+1</f>
        <v>4943</v>
      </c>
      <c r="C4958" s="5">
        <f ca="1"/>
        <v>0.92011686668788772</v>
      </c>
      <c r="D4958" s="5">
        <f ca="1">S0*EXP((μ-0.5*σ*σ)*T+σ*SQRT(T)*$C4958)</f>
        <v>0.7276029061642113</v>
      </c>
      <c r="E4958" s="5">
        <f ca="1">MAX(0,CP*(D4958-K))</f>
        <v>0</v>
      </c>
      <c r="F4958" s="4">
        <f ca="1">(CP*(D4958-K)&gt;0)*1</f>
        <v>0</v>
      </c>
      <c r="H4958" s="4">
        <v>4943</v>
      </c>
      <c r="I4958" s="3">
        <v>0.66773933397305207</v>
      </c>
      <c r="J4958" s="128">
        <v>1.3684749789499723E-3</v>
      </c>
      <c r="K4958" s="128"/>
      <c r="L4958" s="128">
        <v>4.4600000000000001E-2</v>
      </c>
      <c r="O4958" s="2"/>
    </row>
    <row r="4959" spans="2:15" x14ac:dyDescent="0.2">
      <c r="B4959" s="1">
        <f>B4958+1</f>
        <v>4944</v>
      </c>
      <c r="C4959" s="5">
        <f ca="1"/>
        <v>1.2824999396927048</v>
      </c>
      <c r="D4959" s="5">
        <f ca="1">S0*EXP((μ-0.5*σ*σ)*T+σ*SQRT(T)*$C4959)</f>
        <v>0.75406748832110937</v>
      </c>
      <c r="E4959" s="5">
        <f ca="1">MAX(0,CP*(D4959-K))</f>
        <v>0</v>
      </c>
      <c r="F4959" s="4">
        <f ca="1">(CP*(D4959-K)&gt;0)*1</f>
        <v>0</v>
      </c>
      <c r="H4959" s="4">
        <v>4944</v>
      </c>
      <c r="I4959" s="3">
        <v>0.66771040543667537</v>
      </c>
      <c r="J4959" s="128">
        <v>1.340017237160598E-3</v>
      </c>
      <c r="K4959" s="128"/>
      <c r="L4959" s="128">
        <v>4.2000000000000003E-2</v>
      </c>
      <c r="O4959" s="2"/>
    </row>
    <row r="4960" spans="2:15" x14ac:dyDescent="0.2">
      <c r="B4960" s="1">
        <f>B4959+1</f>
        <v>4945</v>
      </c>
      <c r="C4960" s="5">
        <f ca="1"/>
        <v>1.3615524311012543</v>
      </c>
      <c r="D4960" s="5">
        <f ca="1">S0*EXP((μ-0.5*σ*σ)*T+σ*SQRT(T)*$C4960)</f>
        <v>0.7599673380937626</v>
      </c>
      <c r="E4960" s="5">
        <f ca="1">MAX(0,CP*(D4960-K))</f>
        <v>0</v>
      </c>
      <c r="F4960" s="4">
        <f ca="1">(CP*(D4960-K)&gt;0)*1</f>
        <v>0</v>
      </c>
      <c r="H4960" s="4">
        <v>4945</v>
      </c>
      <c r="I4960" s="3">
        <v>0.66773540265671372</v>
      </c>
      <c r="J4960" s="128">
        <v>1.4233981282779252E-3</v>
      </c>
      <c r="K4960" s="128"/>
      <c r="L4960" s="128">
        <v>3.9199999999999999E-2</v>
      </c>
      <c r="O4960" s="2"/>
    </row>
    <row r="4961" spans="2:15" x14ac:dyDescent="0.2">
      <c r="B4961" s="1">
        <f>B4960+1</f>
        <v>4946</v>
      </c>
      <c r="C4961" s="5">
        <f ca="1"/>
        <v>1.7502433721405328</v>
      </c>
      <c r="D4961" s="5">
        <f ca="1">S0*EXP((μ-0.5*σ*σ)*T+σ*SQRT(T)*$C4961)</f>
        <v>0.78965450357429723</v>
      </c>
      <c r="E4961" s="5">
        <f ca="1">MAX(0,CP*(D4961-K))</f>
        <v>1.4545035742972168E-3</v>
      </c>
      <c r="F4961" s="4">
        <f ca="1">(CP*(D4961-K)&gt;0)*1</f>
        <v>1</v>
      </c>
      <c r="H4961" s="4">
        <v>4946</v>
      </c>
      <c r="I4961" s="3">
        <v>0.66763836961310641</v>
      </c>
      <c r="J4961" s="128">
        <v>1.3992041237685399E-3</v>
      </c>
      <c r="K4961" s="128"/>
      <c r="L4961" s="128">
        <v>3.9199999999999999E-2</v>
      </c>
      <c r="O4961" s="2"/>
    </row>
    <row r="4962" spans="2:15" x14ac:dyDescent="0.2">
      <c r="B4962" s="1">
        <f>B4961+1</f>
        <v>4947</v>
      </c>
      <c r="C4962" s="5">
        <f ca="1"/>
        <v>-1.0009235986710787</v>
      </c>
      <c r="D4962" s="5">
        <f ca="1">S0*EXP((μ-0.5*σ*σ)*T+σ*SQRT(T)*$C4962)</f>
        <v>0.60206470448179217</v>
      </c>
      <c r="E4962" s="5">
        <f ca="1">MAX(0,CP*(D4962-K))</f>
        <v>0</v>
      </c>
      <c r="F4962" s="4">
        <f ca="1">(CP*(D4962-K)&gt;0)*1</f>
        <v>0</v>
      </c>
      <c r="H4962" s="4">
        <v>4947</v>
      </c>
      <c r="I4962" s="3">
        <v>0.66795122832151799</v>
      </c>
      <c r="J4962" s="128">
        <v>1.6320560994468611E-3</v>
      </c>
      <c r="K4962" s="128"/>
      <c r="L4962" s="128">
        <v>4.7399999999999998E-2</v>
      </c>
      <c r="O4962" s="2"/>
    </row>
    <row r="4963" spans="2:15" x14ac:dyDescent="0.2">
      <c r="B4963" s="1">
        <f>B4962+1</f>
        <v>4948</v>
      </c>
      <c r="C4963" s="5">
        <f ca="1"/>
        <v>1.1078873773264999</v>
      </c>
      <c r="D4963" s="5">
        <f ca="1">S0*EXP((μ-0.5*σ*σ)*T+σ*SQRT(T)*$C4963)</f>
        <v>0.74119760291815528</v>
      </c>
      <c r="E4963" s="5">
        <f ca="1">MAX(0,CP*(D4963-K))</f>
        <v>0</v>
      </c>
      <c r="F4963" s="4">
        <f ca="1">(CP*(D4963-K)&gt;0)*1</f>
        <v>0</v>
      </c>
      <c r="H4963" s="4">
        <v>4948</v>
      </c>
      <c r="I4963" s="3">
        <v>0.66766531769330018</v>
      </c>
      <c r="J4963" s="128">
        <v>1.2321409619510527E-3</v>
      </c>
      <c r="K4963" s="128"/>
      <c r="L4963" s="128">
        <v>3.9199999999999999E-2</v>
      </c>
      <c r="O4963" s="2"/>
    </row>
    <row r="4964" spans="2:15" x14ac:dyDescent="0.2">
      <c r="B4964" s="1">
        <f>B4963+1</f>
        <v>4949</v>
      </c>
      <c r="C4964" s="5">
        <f ca="1"/>
        <v>-1.0486863675182694</v>
      </c>
      <c r="D4964" s="5">
        <f ca="1">S0*EXP((μ-0.5*σ*σ)*T+σ*SQRT(T)*$C4964)</f>
        <v>0.59923636015726722</v>
      </c>
      <c r="E4964" s="5">
        <f ca="1">MAX(0,CP*(D4964-K))</f>
        <v>0</v>
      </c>
      <c r="F4964" s="4">
        <f ca="1">(CP*(D4964-K)&gt;0)*1</f>
        <v>0</v>
      </c>
      <c r="H4964" s="4">
        <v>4949</v>
      </c>
      <c r="I4964" s="3">
        <v>0.6677181375843908</v>
      </c>
      <c r="J4964" s="128">
        <v>1.3373423277323192E-3</v>
      </c>
      <c r="K4964" s="128"/>
      <c r="L4964" s="128">
        <v>4.5400000000000003E-2</v>
      </c>
      <c r="O4964" s="2"/>
    </row>
    <row r="4965" spans="2:15" x14ac:dyDescent="0.2">
      <c r="B4965" s="1">
        <f>B4964+1</f>
        <v>4950</v>
      </c>
      <c r="C4965" s="5">
        <f ca="1"/>
        <v>-0.68833808759323212</v>
      </c>
      <c r="D4965" s="5">
        <f ca="1">S0*EXP((μ-0.5*σ*σ)*T+σ*SQRT(T)*$C4965)</f>
        <v>0.6209073877018354</v>
      </c>
      <c r="E4965" s="5">
        <f ca="1">MAX(0,CP*(D4965-K))</f>
        <v>0</v>
      </c>
      <c r="F4965" s="4">
        <f ca="1">(CP*(D4965-K)&gt;0)*1</f>
        <v>0</v>
      </c>
      <c r="H4965" s="4">
        <v>4950</v>
      </c>
      <c r="I4965" s="3">
        <v>0.66774290681670934</v>
      </c>
      <c r="J4965" s="128">
        <v>1.3329108271504428E-3</v>
      </c>
      <c r="K4965" s="128"/>
      <c r="L4965" s="128">
        <v>4.24E-2</v>
      </c>
      <c r="O4965" s="2"/>
    </row>
    <row r="4966" spans="2:15" x14ac:dyDescent="0.2">
      <c r="B4966" s="1">
        <f>B4965+1</f>
        <v>4951</v>
      </c>
      <c r="C4966" s="5">
        <f ca="1"/>
        <v>0.4275824065020547</v>
      </c>
      <c r="D4966" s="5">
        <f ca="1">S0*EXP((μ-0.5*σ*σ)*T+σ*SQRT(T)*$C4966)</f>
        <v>0.69311623654252752</v>
      </c>
      <c r="E4966" s="5">
        <f ca="1">MAX(0,CP*(D4966-K))</f>
        <v>0</v>
      </c>
      <c r="F4966" s="4">
        <f ca="1">(CP*(D4966-K)&gt;0)*1</f>
        <v>0</v>
      </c>
      <c r="H4966" s="4">
        <v>4951</v>
      </c>
      <c r="I4966" s="3">
        <v>0.66793849526131999</v>
      </c>
      <c r="J4966" s="128">
        <v>1.699766979041934E-3</v>
      </c>
      <c r="K4966" s="128"/>
      <c r="L4966" s="128">
        <v>4.8800000000000003E-2</v>
      </c>
      <c r="O4966" s="2"/>
    </row>
    <row r="4967" spans="2:15" x14ac:dyDescent="0.2">
      <c r="B4967" s="1">
        <f>B4966+1</f>
        <v>4952</v>
      </c>
      <c r="C4967" s="5">
        <f ca="1"/>
        <v>1.5208150302283616</v>
      </c>
      <c r="D4967" s="5">
        <f ca="1">S0*EXP((μ-0.5*σ*σ)*T+σ*SQRT(T)*$C4967)</f>
        <v>0.77199398059456581</v>
      </c>
      <c r="E4967" s="5">
        <f ca="1">MAX(0,CP*(D4967-K))</f>
        <v>0</v>
      </c>
      <c r="F4967" s="4">
        <f ca="1">(CP*(D4967-K)&gt;0)*1</f>
        <v>0</v>
      </c>
      <c r="H4967" s="4">
        <v>4952</v>
      </c>
      <c r="I4967" s="3">
        <v>0.66766940522039864</v>
      </c>
      <c r="J4967" s="128">
        <v>1.2781704191066649E-3</v>
      </c>
      <c r="K4967" s="128"/>
      <c r="L4967" s="128">
        <v>4.0599999999999997E-2</v>
      </c>
      <c r="O4967" s="2"/>
    </row>
    <row r="4968" spans="2:15" x14ac:dyDescent="0.2">
      <c r="B4968" s="1">
        <f>B4967+1</f>
        <v>4953</v>
      </c>
      <c r="C4968" s="5">
        <f ca="1"/>
        <v>1.8131460266904595</v>
      </c>
      <c r="D4968" s="5">
        <f ca="1">S0*EXP((μ-0.5*σ*σ)*T+σ*SQRT(T)*$C4968)</f>
        <v>0.79456669323152018</v>
      </c>
      <c r="E4968" s="5">
        <f ca="1">MAX(0,CP*(D4968-K))</f>
        <v>6.3666932315201707E-3</v>
      </c>
      <c r="F4968" s="4">
        <f ca="1">(CP*(D4968-K)&gt;0)*1</f>
        <v>1</v>
      </c>
      <c r="H4968" s="4">
        <v>4953</v>
      </c>
      <c r="I4968" s="3">
        <v>0.66786406600533432</v>
      </c>
      <c r="J4968" s="128">
        <v>1.4972659138532474E-3</v>
      </c>
      <c r="K4968" s="128"/>
      <c r="L4968" s="128">
        <v>4.7600000000000003E-2</v>
      </c>
      <c r="O4968" s="2"/>
    </row>
    <row r="4969" spans="2:15" x14ac:dyDescent="0.2">
      <c r="B4969" s="1">
        <f>B4968+1</f>
        <v>4954</v>
      </c>
      <c r="C4969" s="5">
        <f ca="1"/>
        <v>-1.1672097761496301</v>
      </c>
      <c r="D4969" s="5">
        <f ca="1">S0*EXP((μ-0.5*σ*σ)*T+σ*SQRT(T)*$C4969)</f>
        <v>0.59227507967182769</v>
      </c>
      <c r="E4969" s="5">
        <f ca="1">MAX(0,CP*(D4969-K))</f>
        <v>0</v>
      </c>
      <c r="F4969" s="4">
        <f ca="1">(CP*(D4969-K)&gt;0)*1</f>
        <v>0</v>
      </c>
      <c r="H4969" s="4">
        <v>4954</v>
      </c>
      <c r="I4969" s="3">
        <v>0.66778488300999406</v>
      </c>
      <c r="J4969" s="128">
        <v>1.5523550398862673E-3</v>
      </c>
      <c r="K4969" s="128"/>
      <c r="L4969" s="128">
        <v>4.3799999999999999E-2</v>
      </c>
      <c r="O4969" s="2"/>
    </row>
    <row r="4970" spans="2:15" x14ac:dyDescent="0.2">
      <c r="B4970" s="1">
        <f>B4969+1</f>
        <v>4955</v>
      </c>
      <c r="C4970" s="5">
        <f ca="1"/>
        <v>0.18053802445923992</v>
      </c>
      <c r="D4970" s="5">
        <f ca="1">S0*EXP((μ-0.5*σ*σ)*T+σ*SQRT(T)*$C4970)</f>
        <v>0.67643897330162839</v>
      </c>
      <c r="E4970" s="5">
        <f ca="1">MAX(0,CP*(D4970-K))</f>
        <v>0</v>
      </c>
      <c r="F4970" s="4">
        <f ca="1">(CP*(D4970-K)&gt;0)*1</f>
        <v>0</v>
      </c>
      <c r="H4970" s="4">
        <v>4955</v>
      </c>
      <c r="I4970" s="3">
        <v>0.66767090697192688</v>
      </c>
      <c r="J4970" s="128">
        <v>1.2763788397954705E-3</v>
      </c>
      <c r="K4970" s="128"/>
      <c r="L4970" s="128">
        <v>3.9399999999999998E-2</v>
      </c>
      <c r="O4970" s="2"/>
    </row>
    <row r="4971" spans="2:15" x14ac:dyDescent="0.2">
      <c r="B4971" s="1">
        <f>B4970+1</f>
        <v>4956</v>
      </c>
      <c r="C4971" s="5">
        <f ca="1"/>
        <v>-9.5115923381446851E-3</v>
      </c>
      <c r="D4971" s="5">
        <f ca="1">S0*EXP((μ-0.5*σ*σ)*T+σ*SQRT(T)*$C4971)</f>
        <v>0.66388286331098068</v>
      </c>
      <c r="E4971" s="5">
        <f ca="1">MAX(0,CP*(D4971-K))</f>
        <v>0</v>
      </c>
      <c r="F4971" s="4">
        <f ca="1">(CP*(D4971-K)&gt;0)*1</f>
        <v>0</v>
      </c>
      <c r="H4971" s="4">
        <v>4956</v>
      </c>
      <c r="I4971" s="3">
        <v>0.66777314825764011</v>
      </c>
      <c r="J4971" s="128">
        <v>1.4114528516073967E-3</v>
      </c>
      <c r="K4971" s="128"/>
      <c r="L4971" s="128">
        <v>4.0399999999999998E-2</v>
      </c>
      <c r="O4971" s="2"/>
    </row>
    <row r="4972" spans="2:15" x14ac:dyDescent="0.2">
      <c r="B4972" s="1">
        <f>B4971+1</f>
        <v>4957</v>
      </c>
      <c r="C4972" s="5">
        <f ca="1"/>
        <v>-8.561754811690836E-2</v>
      </c>
      <c r="D4972" s="5">
        <f ca="1">S0*EXP((μ-0.5*σ*σ)*T+σ*SQRT(T)*$C4972)</f>
        <v>0.65892032850242677</v>
      </c>
      <c r="E4972" s="5">
        <f ca="1">MAX(0,CP*(D4972-K))</f>
        <v>0</v>
      </c>
      <c r="F4972" s="4">
        <f ca="1">(CP*(D4972-K)&gt;0)*1</f>
        <v>0</v>
      </c>
      <c r="H4972" s="4">
        <v>4957</v>
      </c>
      <c r="I4972" s="3">
        <v>0.66755324574495367</v>
      </c>
      <c r="J4972" s="128">
        <v>1.2208188507326721E-3</v>
      </c>
      <c r="K4972" s="128"/>
      <c r="L4972" s="128">
        <v>0.04</v>
      </c>
      <c r="O4972" s="2"/>
    </row>
    <row r="4973" spans="2:15" x14ac:dyDescent="0.2">
      <c r="B4973" s="1">
        <f>B4972+1</f>
        <v>4958</v>
      </c>
      <c r="C4973" s="5">
        <f ca="1"/>
        <v>1.7256059506259249</v>
      </c>
      <c r="D4973" s="5">
        <f ca="1">S0*EXP((μ-0.5*σ*σ)*T+σ*SQRT(T)*$C4973)</f>
        <v>0.78773880683580344</v>
      </c>
      <c r="E4973" s="5">
        <f ca="1">MAX(0,CP*(D4973-K))</f>
        <v>0</v>
      </c>
      <c r="F4973" s="4">
        <f ca="1">(CP*(D4973-K)&gt;0)*1</f>
        <v>0</v>
      </c>
      <c r="H4973" s="4">
        <v>4958</v>
      </c>
      <c r="I4973" s="3">
        <v>0.66789711909388993</v>
      </c>
      <c r="J4973" s="128">
        <v>1.5756143373745022E-3</v>
      </c>
      <c r="K4973" s="128"/>
      <c r="L4973" s="128">
        <v>4.48E-2</v>
      </c>
      <c r="O4973" s="2"/>
    </row>
    <row r="4974" spans="2:15" x14ac:dyDescent="0.2">
      <c r="B4974" s="1">
        <f>B4973+1</f>
        <v>4959</v>
      </c>
      <c r="C4974" s="5">
        <f ca="1"/>
        <v>-1.7404580643064842</v>
      </c>
      <c r="D4974" s="5">
        <f ca="1">S0*EXP((μ-0.5*σ*σ)*T+σ*SQRT(T)*$C4974)</f>
        <v>0.55973087637128316</v>
      </c>
      <c r="E4974" s="5">
        <f ca="1">MAX(0,CP*(D4974-K))</f>
        <v>0</v>
      </c>
      <c r="F4974" s="4">
        <f ca="1">(CP*(D4974-K)&gt;0)*1</f>
        <v>0</v>
      </c>
      <c r="H4974" s="4">
        <v>4959</v>
      </c>
      <c r="I4974" s="3">
        <v>0.66779083359279534</v>
      </c>
      <c r="J4974" s="128">
        <v>1.4992492197344E-3</v>
      </c>
      <c r="K4974" s="128"/>
      <c r="L4974" s="128">
        <v>4.58E-2</v>
      </c>
      <c r="O4974" s="2"/>
    </row>
    <row r="4975" spans="2:15" x14ac:dyDescent="0.2">
      <c r="B4975" s="1">
        <f>B4974+1</f>
        <v>4960</v>
      </c>
      <c r="C4975" s="5">
        <f ca="1"/>
        <v>0.48303614575350395</v>
      </c>
      <c r="D4975" s="5">
        <f ca="1">S0*EXP((μ-0.5*σ*σ)*T+σ*SQRT(T)*$C4975)</f>
        <v>0.6969159104222703</v>
      </c>
      <c r="E4975" s="5">
        <f ca="1">MAX(0,CP*(D4975-K))</f>
        <v>0</v>
      </c>
      <c r="F4975" s="4">
        <f ca="1">(CP*(D4975-K)&gt;0)*1</f>
        <v>0</v>
      </c>
      <c r="H4975" s="4">
        <v>4960</v>
      </c>
      <c r="I4975" s="3">
        <v>0.66772432084051658</v>
      </c>
      <c r="J4975" s="128">
        <v>1.3051664957778408E-3</v>
      </c>
      <c r="K4975" s="128"/>
      <c r="L4975" s="128">
        <v>3.8800000000000001E-2</v>
      </c>
      <c r="O4975" s="2"/>
    </row>
    <row r="4976" spans="2:15" x14ac:dyDescent="0.2">
      <c r="B4976" s="1">
        <f>B4975+1</f>
        <v>4961</v>
      </c>
      <c r="C4976" s="5">
        <f ca="1"/>
        <v>1.9505606925682484</v>
      </c>
      <c r="D4976" s="5">
        <f ca="1">S0*EXP((μ-0.5*σ*σ)*T+σ*SQRT(T)*$C4976)</f>
        <v>0.80540422183959226</v>
      </c>
      <c r="E4976" s="5">
        <f ca="1">MAX(0,CP*(D4976-K))</f>
        <v>1.7204221839592249E-2</v>
      </c>
      <c r="F4976" s="4">
        <f ca="1">(CP*(D4976-K)&gt;0)*1</f>
        <v>1</v>
      </c>
      <c r="H4976" s="4">
        <v>4961</v>
      </c>
      <c r="I4976" s="3">
        <v>0.66774786687838494</v>
      </c>
      <c r="J4976" s="128">
        <v>1.2780327939563095E-3</v>
      </c>
      <c r="K4976" s="128"/>
      <c r="L4976" s="128">
        <v>4.3200000000000002E-2</v>
      </c>
      <c r="O4976" s="2"/>
    </row>
    <row r="4977" spans="2:15" x14ac:dyDescent="0.2">
      <c r="B4977" s="1">
        <f>B4976+1</f>
        <v>4962</v>
      </c>
      <c r="C4977" s="5">
        <f ca="1"/>
        <v>-1.48780258360548</v>
      </c>
      <c r="D4977" s="5">
        <f ca="1">S0*EXP((μ-0.5*σ*σ)*T+σ*SQRT(T)*$C4977)</f>
        <v>0.57384811590349061</v>
      </c>
      <c r="E4977" s="5">
        <f ca="1">MAX(0,CP*(D4977-K))</f>
        <v>0</v>
      </c>
      <c r="F4977" s="4">
        <f ca="1">(CP*(D4977-K)&gt;0)*1</f>
        <v>0</v>
      </c>
      <c r="H4977" s="4">
        <v>4962</v>
      </c>
      <c r="I4977" s="3">
        <v>0.66772972371005956</v>
      </c>
      <c r="J4977" s="128">
        <v>1.3030552820002285E-3</v>
      </c>
      <c r="K4977" s="128"/>
      <c r="L4977" s="128">
        <v>3.9800000000000002E-2</v>
      </c>
      <c r="O4977" s="2"/>
    </row>
    <row r="4978" spans="2:15" x14ac:dyDescent="0.2">
      <c r="B4978" s="1">
        <f>B4977+1</f>
        <v>4963</v>
      </c>
      <c r="C4978" s="5">
        <f ca="1"/>
        <v>0.16729187061931142</v>
      </c>
      <c r="D4978" s="5">
        <f ca="1">S0*EXP((μ-0.5*σ*σ)*T+σ*SQRT(T)*$C4978)</f>
        <v>0.67555618494986647</v>
      </c>
      <c r="E4978" s="5">
        <f ca="1">MAX(0,CP*(D4978-K))</f>
        <v>0</v>
      </c>
      <c r="F4978" s="4">
        <f ca="1">(CP*(D4978-K)&gt;0)*1</f>
        <v>0</v>
      </c>
      <c r="H4978" s="4">
        <v>4963</v>
      </c>
      <c r="I4978" s="3">
        <v>0.66765656208587776</v>
      </c>
      <c r="J4978" s="128">
        <v>1.3659049832608048E-3</v>
      </c>
      <c r="K4978" s="128"/>
      <c r="L4978" s="128">
        <v>4.1399999999999999E-2</v>
      </c>
      <c r="O4978" s="2"/>
    </row>
    <row r="4979" spans="2:15" x14ac:dyDescent="0.2">
      <c r="B4979" s="1">
        <f>B4978+1</f>
        <v>4964</v>
      </c>
      <c r="C4979" s="5">
        <f ca="1"/>
        <v>-0.29177416840801013</v>
      </c>
      <c r="D4979" s="5">
        <f ca="1">S0*EXP((μ-0.5*σ*σ)*T+σ*SQRT(T)*$C4979)</f>
        <v>0.64566330618784584</v>
      </c>
      <c r="E4979" s="5">
        <f ca="1">MAX(0,CP*(D4979-K))</f>
        <v>0</v>
      </c>
      <c r="F4979" s="4">
        <f ca="1">(CP*(D4979-K)&gt;0)*1</f>
        <v>0</v>
      </c>
      <c r="H4979" s="4">
        <v>4964</v>
      </c>
      <c r="I4979" s="3">
        <v>0.66784402030437984</v>
      </c>
      <c r="J4979" s="128">
        <v>1.4288400985733307E-3</v>
      </c>
      <c r="K4979" s="128"/>
      <c r="L4979" s="128">
        <v>4.1799999999999997E-2</v>
      </c>
      <c r="O4979" s="2"/>
    </row>
    <row r="4980" spans="2:15" x14ac:dyDescent="0.2">
      <c r="B4980" s="1">
        <f>B4979+1</f>
        <v>4965</v>
      </c>
      <c r="C4980" s="5">
        <f ca="1"/>
        <v>-1.213039785857003</v>
      </c>
      <c r="D4980" s="5">
        <f ca="1">S0*EXP((μ-0.5*σ*σ)*T+σ*SQRT(T)*$C4980)</f>
        <v>0.58960506055826822</v>
      </c>
      <c r="E4980" s="5">
        <f ca="1">MAX(0,CP*(D4980-K))</f>
        <v>0</v>
      </c>
      <c r="F4980" s="4">
        <f ca="1">(CP*(D4980-K)&gt;0)*1</f>
        <v>0</v>
      </c>
      <c r="H4980" s="4">
        <v>4965</v>
      </c>
      <c r="I4980" s="3">
        <v>0.66781186359531164</v>
      </c>
      <c r="J4980" s="128">
        <v>1.4190010063280442E-3</v>
      </c>
      <c r="K4980" s="128"/>
      <c r="L4980" s="128">
        <v>4.2000000000000003E-2</v>
      </c>
      <c r="O4980" s="2"/>
    </row>
    <row r="4981" spans="2:15" x14ac:dyDescent="0.2">
      <c r="B4981" s="1">
        <f>B4980+1</f>
        <v>4966</v>
      </c>
      <c r="C4981" s="5">
        <f ca="1"/>
        <v>-9.3214400338025236E-2</v>
      </c>
      <c r="D4981" s="5">
        <f ca="1">S0*EXP((μ-0.5*σ*σ)*T+σ*SQRT(T)*$C4981)</f>
        <v>0.6584270119566511</v>
      </c>
      <c r="E4981" s="5">
        <f ca="1">MAX(0,CP*(D4981-K))</f>
        <v>0</v>
      </c>
      <c r="F4981" s="4">
        <f ca="1">(CP*(D4981-K)&gt;0)*1</f>
        <v>0</v>
      </c>
      <c r="H4981" s="4">
        <v>4966</v>
      </c>
      <c r="I4981" s="3">
        <v>0.66778080603264323</v>
      </c>
      <c r="J4981" s="128">
        <v>1.3642652123000564E-3</v>
      </c>
      <c r="K4981" s="128"/>
      <c r="L4981" s="128">
        <v>4.1599999999999998E-2</v>
      </c>
      <c r="O4981" s="2"/>
    </row>
    <row r="4982" spans="2:15" x14ac:dyDescent="0.2">
      <c r="B4982" s="1">
        <f>B4981+1</f>
        <v>4967</v>
      </c>
      <c r="C4982" s="5">
        <f ca="1"/>
        <v>8.0014040548036999E-2</v>
      </c>
      <c r="D4982" s="5">
        <f ca="1">S0*EXP((μ-0.5*σ*σ)*T+σ*SQRT(T)*$C4982)</f>
        <v>0.66976829811241556</v>
      </c>
      <c r="E4982" s="5">
        <f ca="1">MAX(0,CP*(D4982-K))</f>
        <v>0</v>
      </c>
      <c r="F4982" s="4">
        <f ca="1">(CP*(D4982-K)&gt;0)*1</f>
        <v>0</v>
      </c>
      <c r="H4982" s="4">
        <v>4967</v>
      </c>
      <c r="I4982" s="3">
        <v>0.66780084743448476</v>
      </c>
      <c r="J4982" s="128">
        <v>1.4963199990653761E-3</v>
      </c>
      <c r="K4982" s="128"/>
      <c r="L4982" s="128">
        <v>4.2200000000000001E-2</v>
      </c>
      <c r="O4982" s="2"/>
    </row>
    <row r="4983" spans="2:15" x14ac:dyDescent="0.2">
      <c r="B4983" s="1">
        <f>B4982+1</f>
        <v>4968</v>
      </c>
      <c r="C4983" s="5">
        <f ca="1"/>
        <v>-0.61475974654051135</v>
      </c>
      <c r="D4983" s="5">
        <f ca="1">S0*EXP((μ-0.5*σ*σ)*T+σ*SQRT(T)*$C4983)</f>
        <v>0.6254277647019878</v>
      </c>
      <c r="E4983" s="5">
        <f ca="1">MAX(0,CP*(D4983-K))</f>
        <v>0</v>
      </c>
      <c r="F4983" s="4">
        <f ca="1">(CP*(D4983-K)&gt;0)*1</f>
        <v>0</v>
      </c>
      <c r="H4983" s="4">
        <v>4968</v>
      </c>
      <c r="I4983" s="3">
        <v>0.66773187209065854</v>
      </c>
      <c r="J4983" s="128">
        <v>1.3094236213430938E-3</v>
      </c>
      <c r="K4983" s="128"/>
      <c r="L4983" s="128">
        <v>4.1599999999999998E-2</v>
      </c>
      <c r="O4983" s="2"/>
    </row>
    <row r="4984" spans="2:15" x14ac:dyDescent="0.2">
      <c r="B4984" s="1">
        <f>B4983+1</f>
        <v>4969</v>
      </c>
      <c r="C4984" s="5">
        <f ca="1"/>
        <v>1.601323499930758</v>
      </c>
      <c r="D4984" s="5">
        <f ca="1">S0*EXP((μ-0.5*σ*σ)*T+σ*SQRT(T)*$C4984)</f>
        <v>0.77814577582955624</v>
      </c>
      <c r="E4984" s="5">
        <f ca="1">MAX(0,CP*(D4984-K))</f>
        <v>0</v>
      </c>
      <c r="F4984" s="4">
        <f ca="1">(CP*(D4984-K)&gt;0)*1</f>
        <v>0</v>
      </c>
      <c r="H4984" s="4">
        <v>4969</v>
      </c>
      <c r="I4984" s="3">
        <v>0.66775348992195538</v>
      </c>
      <c r="J4984" s="128">
        <v>1.4518209479701537E-3</v>
      </c>
      <c r="K4984" s="128"/>
      <c r="L4984" s="128">
        <v>4.2799999999999998E-2</v>
      </c>
      <c r="O4984" s="2"/>
    </row>
    <row r="4985" spans="2:15" x14ac:dyDescent="0.2">
      <c r="B4985" s="1">
        <f>B4984+1</f>
        <v>4970</v>
      </c>
      <c r="C4985" s="5">
        <f ca="1"/>
        <v>-1.5328354617929634</v>
      </c>
      <c r="D4985" s="5">
        <f ca="1">S0*EXP((μ-0.5*σ*σ)*T+σ*SQRT(T)*$C4985)</f>
        <v>0.57130606245011883</v>
      </c>
      <c r="E4985" s="5">
        <f ca="1">MAX(0,CP*(D4985-K))</f>
        <v>0</v>
      </c>
      <c r="F4985" s="4">
        <f ca="1">(CP*(D4985-K)&gt;0)*1</f>
        <v>0</v>
      </c>
      <c r="H4985" s="4">
        <v>4970</v>
      </c>
      <c r="I4985" s="3">
        <v>0.66767381216847066</v>
      </c>
      <c r="J4985" s="128">
        <v>1.2665927719677826E-3</v>
      </c>
      <c r="K4985" s="128"/>
      <c r="L4985" s="128">
        <v>4.0599999999999997E-2</v>
      </c>
      <c r="O4985" s="2"/>
    </row>
    <row r="4986" spans="2:15" x14ac:dyDescent="0.2">
      <c r="B4986" s="1">
        <f>B4985+1</f>
        <v>4971</v>
      </c>
      <c r="C4986" s="5">
        <f ca="1"/>
        <v>-1.2746586216394764</v>
      </c>
      <c r="D4986" s="5">
        <f ca="1">S0*EXP((μ-0.5*σ*σ)*T+σ*SQRT(T)*$C4986)</f>
        <v>0.58603415846050877</v>
      </c>
      <c r="E4986" s="5">
        <f ca="1">MAX(0,CP*(D4986-K))</f>
        <v>0</v>
      </c>
      <c r="F4986" s="4">
        <f ca="1">(CP*(D4986-K)&gt;0)*1</f>
        <v>0</v>
      </c>
      <c r="H4986" s="4">
        <v>4971</v>
      </c>
      <c r="I4986" s="3">
        <v>0.66764393218914286</v>
      </c>
      <c r="J4986" s="128">
        <v>1.3008428085302323E-3</v>
      </c>
      <c r="K4986" s="128"/>
      <c r="L4986" s="128">
        <v>3.9399999999999998E-2</v>
      </c>
      <c r="O4986" s="2"/>
    </row>
    <row r="4987" spans="2:15" x14ac:dyDescent="0.2">
      <c r="B4987" s="1">
        <f>B4986+1</f>
        <v>4972</v>
      </c>
      <c r="C4987" s="5">
        <f ca="1"/>
        <v>-1.5362711851161155</v>
      </c>
      <c r="D4987" s="5">
        <f ca="1">S0*EXP((μ-0.5*σ*σ)*T+σ*SQRT(T)*$C4987)</f>
        <v>0.57111258284765998</v>
      </c>
      <c r="E4987" s="5">
        <f ca="1">MAX(0,CP*(D4987-K))</f>
        <v>0</v>
      </c>
      <c r="F4987" s="4">
        <f ca="1">(CP*(D4987-K)&gt;0)*1</f>
        <v>0</v>
      </c>
      <c r="H4987" s="4">
        <v>4972</v>
      </c>
      <c r="I4987" s="3">
        <v>0.66772275891965438</v>
      </c>
      <c r="J4987" s="128">
        <v>1.2688912989103087E-3</v>
      </c>
      <c r="K4987" s="128"/>
      <c r="L4987" s="128">
        <v>4.2999999999999997E-2</v>
      </c>
      <c r="O4987" s="2"/>
    </row>
    <row r="4988" spans="2:15" x14ac:dyDescent="0.2">
      <c r="B4988" s="1">
        <f>B4987+1</f>
        <v>4973</v>
      </c>
      <c r="C4988" s="5">
        <f ca="1"/>
        <v>0.68637524019193197</v>
      </c>
      <c r="D4988" s="5">
        <f ca="1">S0*EXP((μ-0.5*σ*σ)*T+σ*SQRT(T)*$C4988)</f>
        <v>0.71102774054837525</v>
      </c>
      <c r="E4988" s="5">
        <f ca="1">MAX(0,CP*(D4988-K))</f>
        <v>0</v>
      </c>
      <c r="F4988" s="4">
        <f ca="1">(CP*(D4988-K)&gt;0)*1</f>
        <v>0</v>
      </c>
      <c r="H4988" s="4">
        <v>4973</v>
      </c>
      <c r="I4988" s="3">
        <v>0.66779891602175645</v>
      </c>
      <c r="J4988" s="128">
        <v>1.3640502186353179E-3</v>
      </c>
      <c r="K4988" s="128"/>
      <c r="L4988" s="128">
        <v>3.9399999999999998E-2</v>
      </c>
      <c r="O4988" s="2"/>
    </row>
    <row r="4989" spans="2:15" x14ac:dyDescent="0.2">
      <c r="B4989" s="1">
        <f>B4988+1</f>
        <v>4974</v>
      </c>
      <c r="C4989" s="5">
        <f ca="1"/>
        <v>-0.88174160054977468</v>
      </c>
      <c r="D4989" s="5">
        <f ca="1">S0*EXP((μ-0.5*σ*σ)*T+σ*SQRT(T)*$C4989)</f>
        <v>0.60918059891767129</v>
      </c>
      <c r="E4989" s="5">
        <f ca="1">MAX(0,CP*(D4989-K))</f>
        <v>0</v>
      </c>
      <c r="F4989" s="4">
        <f ca="1">(CP*(D4989-K)&gt;0)*1</f>
        <v>0</v>
      </c>
      <c r="H4989" s="4">
        <v>4974</v>
      </c>
      <c r="I4989" s="3">
        <v>0.66770539884810598</v>
      </c>
      <c r="J4989" s="128">
        <v>1.3406144441420965E-3</v>
      </c>
      <c r="K4989" s="128"/>
      <c r="L4989" s="128">
        <v>4.0599999999999997E-2</v>
      </c>
      <c r="O4989" s="2"/>
    </row>
    <row r="4990" spans="2:15" x14ac:dyDescent="0.2">
      <c r="B4990" s="1">
        <f>B4989+1</f>
        <v>4975</v>
      </c>
      <c r="C4990" s="5">
        <f ca="1"/>
        <v>0.46567142859729399</v>
      </c>
      <c r="D4990" s="5">
        <f ca="1">S0*EXP((μ-0.5*σ*σ)*T+σ*SQRT(T)*$C4990)</f>
        <v>0.69572385040125206</v>
      </c>
      <c r="E4990" s="5">
        <f ca="1">MAX(0,CP*(D4990-K))</f>
        <v>0</v>
      </c>
      <c r="F4990" s="4">
        <f ca="1">(CP*(D4990-K)&gt;0)*1</f>
        <v>0</v>
      </c>
      <c r="H4990" s="4">
        <v>4975</v>
      </c>
      <c r="I4990" s="3">
        <v>0.66768680751251586</v>
      </c>
      <c r="J4990" s="128">
        <v>1.3786797988417576E-3</v>
      </c>
      <c r="K4990" s="128"/>
      <c r="L4990" s="128">
        <v>4.2200000000000001E-2</v>
      </c>
      <c r="O4990" s="2"/>
    </row>
    <row r="4991" spans="2:15" x14ac:dyDescent="0.2">
      <c r="B4991" s="1">
        <f>B4990+1</f>
        <v>4976</v>
      </c>
      <c r="C4991" s="5">
        <f ca="1"/>
        <v>-0.53270837040199093</v>
      </c>
      <c r="D4991" s="5">
        <f ca="1">S0*EXP((μ-0.5*σ*σ)*T+σ*SQRT(T)*$C4991)</f>
        <v>0.63050751642827663</v>
      </c>
      <c r="E4991" s="5">
        <f ca="1">MAX(0,CP*(D4991-K))</f>
        <v>0</v>
      </c>
      <c r="F4991" s="4">
        <f ca="1">(CP*(D4991-K)&gt;0)*1</f>
        <v>0</v>
      </c>
      <c r="H4991" s="4">
        <v>4976</v>
      </c>
      <c r="I4991" s="3">
        <v>0.66777321440335891</v>
      </c>
      <c r="J4991" s="128">
        <v>1.3240188437291212E-3</v>
      </c>
      <c r="K4991" s="128"/>
      <c r="L4991" s="128">
        <v>4.0599999999999997E-2</v>
      </c>
      <c r="O4991" s="2"/>
    </row>
    <row r="4992" spans="2:15" x14ac:dyDescent="0.2">
      <c r="B4992" s="1">
        <f>B4991+1</f>
        <v>4977</v>
      </c>
      <c r="C4992" s="5">
        <f ca="1"/>
        <v>-0.53510048034555713</v>
      </c>
      <c r="D4992" s="5">
        <f ca="1">S0*EXP((μ-0.5*σ*σ)*T+σ*SQRT(T)*$C4992)</f>
        <v>0.63035884006963372</v>
      </c>
      <c r="E4992" s="5">
        <f ca="1">MAX(0,CP*(D4992-K))</f>
        <v>0</v>
      </c>
      <c r="F4992" s="4">
        <f ca="1">(CP*(D4992-K)&gt;0)*1</f>
        <v>0</v>
      </c>
      <c r="H4992" s="4">
        <v>4977</v>
      </c>
      <c r="I4992" s="3">
        <v>0.6676286266000373</v>
      </c>
      <c r="J4992" s="128">
        <v>1.3269820735364031E-3</v>
      </c>
      <c r="K4992" s="128"/>
      <c r="L4992" s="128">
        <v>4.2999999999999997E-2</v>
      </c>
      <c r="O4992" s="2"/>
    </row>
    <row r="4993" spans="2:15" x14ac:dyDescent="0.2">
      <c r="B4993" s="1">
        <f>B4992+1</f>
        <v>4978</v>
      </c>
      <c r="C4993" s="5">
        <f ca="1"/>
        <v>1.4351360753219555</v>
      </c>
      <c r="D4993" s="5">
        <f ca="1">S0*EXP((μ-0.5*σ*σ)*T+σ*SQRT(T)*$C4993)</f>
        <v>0.76550051010250142</v>
      </c>
      <c r="E4993" s="5">
        <f ca="1">MAX(0,CP*(D4993-K))</f>
        <v>0</v>
      </c>
      <c r="F4993" s="4">
        <f ca="1">(CP*(D4993-K)&gt;0)*1</f>
        <v>0</v>
      </c>
      <c r="H4993" s="4">
        <v>4978</v>
      </c>
      <c r="I4993" s="3">
        <v>0.66784785701100968</v>
      </c>
      <c r="J4993" s="128">
        <v>1.4941710004040419E-3</v>
      </c>
      <c r="K4993" s="128"/>
      <c r="L4993" s="128">
        <v>4.58E-2</v>
      </c>
      <c r="O4993" s="2"/>
    </row>
    <row r="4994" spans="2:15" x14ac:dyDescent="0.2">
      <c r="B4994" s="1">
        <f>B4993+1</f>
        <v>4979</v>
      </c>
      <c r="C4994" s="5">
        <f ca="1"/>
        <v>0.27630255018730721</v>
      </c>
      <c r="D4994" s="5">
        <f ca="1">S0*EXP((μ-0.5*σ*σ)*T+σ*SQRT(T)*$C4994)</f>
        <v>0.68285559955814146</v>
      </c>
      <c r="E4994" s="5">
        <f ca="1">MAX(0,CP*(D4994-K))</f>
        <v>0</v>
      </c>
      <c r="F4994" s="4">
        <f ca="1">(CP*(D4994-K)&gt;0)*1</f>
        <v>0</v>
      </c>
      <c r="H4994" s="4">
        <v>4979</v>
      </c>
      <c r="I4994" s="3">
        <v>0.66782276888636449</v>
      </c>
      <c r="J4994" s="128">
        <v>1.4616301816527777E-3</v>
      </c>
      <c r="K4994" s="128"/>
      <c r="L4994" s="128">
        <v>4.2799999999999998E-2</v>
      </c>
      <c r="O4994" s="2"/>
    </row>
    <row r="4995" spans="2:15" x14ac:dyDescent="0.2">
      <c r="B4995" s="1">
        <f>B4994+1</f>
        <v>4980</v>
      </c>
      <c r="C4995" s="5">
        <f ca="1"/>
        <v>-1.5586265426341122</v>
      </c>
      <c r="D4995" s="5">
        <f ca="1">S0*EXP((μ-0.5*σ*σ)*T+σ*SQRT(T)*$C4995)</f>
        <v>0.5698552606775501</v>
      </c>
      <c r="E4995" s="5">
        <f ca="1">MAX(0,CP*(D4995-K))</f>
        <v>0</v>
      </c>
      <c r="F4995" s="4">
        <f ca="1">(CP*(D4995-K)&gt;0)*1</f>
        <v>0</v>
      </c>
      <c r="H4995" s="4">
        <v>4980</v>
      </c>
      <c r="I4995" s="3">
        <v>0.66764870309488822</v>
      </c>
      <c r="J4995" s="128">
        <v>1.3409025269249214E-3</v>
      </c>
      <c r="K4995" s="128"/>
      <c r="L4995" s="128">
        <v>3.9600000000000003E-2</v>
      </c>
      <c r="O4995" s="2"/>
    </row>
    <row r="4996" spans="2:15" x14ac:dyDescent="0.2">
      <c r="B4996" s="1">
        <f>B4995+1</f>
        <v>4981</v>
      </c>
      <c r="C4996" s="5">
        <f ca="1"/>
        <v>1.3456868410636809</v>
      </c>
      <c r="D4996" s="5">
        <f ca="1">S0*EXP((μ-0.5*σ*σ)*T+σ*SQRT(T)*$C4996)</f>
        <v>0.75877956558310122</v>
      </c>
      <c r="E4996" s="5">
        <f ca="1">MAX(0,CP*(D4996-K))</f>
        <v>0</v>
      </c>
      <c r="F4996" s="4">
        <f ca="1">(CP*(D4996-K)&gt;0)*1</f>
        <v>0</v>
      </c>
      <c r="H4996" s="4">
        <v>4981</v>
      </c>
      <c r="I4996" s="3">
        <v>0.66773699900951866</v>
      </c>
      <c r="J4996" s="128">
        <v>1.4463412063940449E-3</v>
      </c>
      <c r="K4996" s="128"/>
      <c r="L4996" s="128">
        <v>4.2599999999999999E-2</v>
      </c>
      <c r="O4996" s="2"/>
    </row>
    <row r="4997" spans="2:15" x14ac:dyDescent="0.2">
      <c r="B4997" s="1">
        <f>B4996+1</f>
        <v>4982</v>
      </c>
      <c r="C4997" s="5">
        <f ca="1"/>
        <v>1.1986363570701641</v>
      </c>
      <c r="D4997" s="5">
        <f ca="1">S0*EXP((μ-0.5*σ*σ)*T+σ*SQRT(T)*$C4997)</f>
        <v>0.74785863737332559</v>
      </c>
      <c r="E4997" s="5">
        <f ca="1">MAX(0,CP*(D4997-K))</f>
        <v>0</v>
      </c>
      <c r="F4997" s="4">
        <f ca="1">(CP*(D4997-K)&gt;0)*1</f>
        <v>0</v>
      </c>
      <c r="H4997" s="4">
        <v>4982</v>
      </c>
      <c r="I4997" s="3">
        <v>0.6678019385395344</v>
      </c>
      <c r="J4997" s="128">
        <v>1.3453245919510756E-3</v>
      </c>
      <c r="K4997" s="128"/>
      <c r="L4997" s="128">
        <v>4.1399999999999999E-2</v>
      </c>
      <c r="O4997" s="2"/>
    </row>
    <row r="4998" spans="2:15" x14ac:dyDescent="0.2">
      <c r="B4998" s="1">
        <f>B4997+1</f>
        <v>4983</v>
      </c>
      <c r="C4998" s="5">
        <f ca="1"/>
        <v>-0.53742283349373243</v>
      </c>
      <c r="D4998" s="5">
        <f ca="1">S0*EXP((μ-0.5*σ*σ)*T+σ*SQRT(T)*$C4998)</f>
        <v>0.63021453283193163</v>
      </c>
      <c r="E4998" s="5">
        <f ca="1">MAX(0,CP*(D4998-K))</f>
        <v>0</v>
      </c>
      <c r="F4998" s="4">
        <f ca="1">(CP*(D4998-K)&gt;0)*1</f>
        <v>0</v>
      </c>
      <c r="H4998" s="4">
        <v>4983</v>
      </c>
      <c r="I4998" s="3">
        <v>0.66785968882112423</v>
      </c>
      <c r="J4998" s="128">
        <v>1.5608947052698598E-3</v>
      </c>
      <c r="K4998" s="128"/>
      <c r="L4998" s="128">
        <v>4.6199999999999998E-2</v>
      </c>
      <c r="O4998" s="2"/>
    </row>
    <row r="4999" spans="2:15" x14ac:dyDescent="0.2">
      <c r="B4999" s="1">
        <f>B4998+1</f>
        <v>4984</v>
      </c>
      <c r="C4999" s="5">
        <f ca="1"/>
        <v>-0.73681484551691223</v>
      </c>
      <c r="D4999" s="5">
        <f ca="1">S0*EXP((μ-0.5*σ*σ)*T+σ*SQRT(T)*$C4999)</f>
        <v>0.61794702626834852</v>
      </c>
      <c r="E4999" s="5">
        <f ca="1">MAX(0,CP*(D4999-K))</f>
        <v>0</v>
      </c>
      <c r="F4999" s="4">
        <f ca="1">(CP*(D4999-K)&gt;0)*1</f>
        <v>0</v>
      </c>
      <c r="H4999" s="4">
        <v>4984</v>
      </c>
      <c r="I4999" s="3">
        <v>0.66778398809029094</v>
      </c>
      <c r="J4999" s="128">
        <v>1.3452546780457588E-3</v>
      </c>
      <c r="K4999" s="128"/>
      <c r="L4999" s="128">
        <v>4.1399999999999999E-2</v>
      </c>
      <c r="O4999" s="2"/>
    </row>
    <row r="5000" spans="2:15" x14ac:dyDescent="0.2">
      <c r="B5000" s="1">
        <f>B4999+1</f>
        <v>4985</v>
      </c>
      <c r="C5000" s="5">
        <f ca="1"/>
        <v>-0.82976130701822881</v>
      </c>
      <c r="D5000" s="5">
        <f ca="1">S0*EXP((μ-0.5*σ*σ)*T+σ*SQRT(T)*$C5000)</f>
        <v>0.61231042194071705</v>
      </c>
      <c r="E5000" s="5">
        <f ca="1">MAX(0,CP*(D5000-K))</f>
        <v>0</v>
      </c>
      <c r="F5000" s="4">
        <f ca="1">(CP*(D5000-K)&gt;0)*1</f>
        <v>0</v>
      </c>
      <c r="H5000" s="4">
        <v>4985</v>
      </c>
      <c r="I5000" s="3">
        <v>0.66785934044365669</v>
      </c>
      <c r="J5000" s="128">
        <v>1.4190218119466192E-3</v>
      </c>
      <c r="K5000" s="128"/>
      <c r="L5000" s="128">
        <v>4.1399999999999999E-2</v>
      </c>
      <c r="O5000" s="2"/>
    </row>
    <row r="5001" spans="2:15" x14ac:dyDescent="0.2">
      <c r="B5001" s="1">
        <f>B5000+1</f>
        <v>4986</v>
      </c>
      <c r="C5001" s="5">
        <f ca="1"/>
        <v>0.24594212537388094</v>
      </c>
      <c r="D5001" s="5">
        <f ca="1">S0*EXP((μ-0.5*σ*σ)*T+σ*SQRT(T)*$C5001)</f>
        <v>0.68081476102359317</v>
      </c>
      <c r="E5001" s="5">
        <f ca="1">MAX(0,CP*(D5001-K))</f>
        <v>0</v>
      </c>
      <c r="F5001" s="4">
        <f ca="1">(CP*(D5001-K)&gt;0)*1</f>
        <v>0</v>
      </c>
      <c r="H5001" s="4">
        <v>4986</v>
      </c>
      <c r="I5001" s="3">
        <v>0.66774693755612957</v>
      </c>
      <c r="J5001" s="128">
        <v>1.3778962166504393E-3</v>
      </c>
      <c r="K5001" s="128"/>
      <c r="L5001" s="128">
        <v>4.1000000000000002E-2</v>
      </c>
      <c r="O5001" s="2"/>
    </row>
    <row r="5002" spans="2:15" x14ac:dyDescent="0.2">
      <c r="B5002" s="1">
        <f>B5001+1</f>
        <v>4987</v>
      </c>
      <c r="C5002" s="5">
        <f ca="1"/>
        <v>0.59727628874958805</v>
      </c>
      <c r="D5002" s="5">
        <f ca="1">S0*EXP((μ-0.5*σ*σ)*T+σ*SQRT(T)*$C5002)</f>
        <v>0.70480939538714593</v>
      </c>
      <c r="E5002" s="5">
        <f ca="1">MAX(0,CP*(D5002-K))</f>
        <v>0</v>
      </c>
      <c r="F5002" s="4">
        <f ca="1">(CP*(D5002-K)&gt;0)*1</f>
        <v>0</v>
      </c>
      <c r="H5002" s="4">
        <v>4987</v>
      </c>
      <c r="I5002" s="3">
        <v>0.66781109247295189</v>
      </c>
      <c r="J5002" s="128">
        <v>1.5078600481852479E-3</v>
      </c>
      <c r="K5002" s="128"/>
      <c r="L5002" s="128">
        <v>4.3400000000000001E-2</v>
      </c>
      <c r="O5002" s="2"/>
    </row>
    <row r="5003" spans="2:15" x14ac:dyDescent="0.2">
      <c r="B5003" s="1">
        <f>B5002+1</f>
        <v>4988</v>
      </c>
      <c r="C5003" s="5">
        <f ca="1"/>
        <v>2.1130645257847056</v>
      </c>
      <c r="D5003" s="5">
        <f ca="1">S0*EXP((μ-0.5*σ*σ)*T+σ*SQRT(T)*$C5003)</f>
        <v>0.81841139009831643</v>
      </c>
      <c r="E5003" s="5">
        <f ca="1">MAX(0,CP*(D5003-K))</f>
        <v>3.0211390098316415E-2</v>
      </c>
      <c r="F5003" s="4">
        <f ca="1">(CP*(D5003-K)&gt;0)*1</f>
        <v>1</v>
      </c>
      <c r="H5003" s="4">
        <v>4988</v>
      </c>
      <c r="I5003" s="3">
        <v>0.6677795253182105</v>
      </c>
      <c r="J5003" s="128">
        <v>1.3299911020853974E-3</v>
      </c>
      <c r="K5003" s="128"/>
      <c r="L5003" s="128">
        <v>4.1799999999999997E-2</v>
      </c>
      <c r="O5003" s="2"/>
    </row>
    <row r="5004" spans="2:15" x14ac:dyDescent="0.2">
      <c r="B5004" s="1">
        <f>B5003+1</f>
        <v>4989</v>
      </c>
      <c r="C5004" s="5">
        <f ca="1"/>
        <v>-1.7827035275716931</v>
      </c>
      <c r="D5004" s="5">
        <f ca="1">S0*EXP((μ-0.5*σ*σ)*T+σ*SQRT(T)*$C5004)</f>
        <v>0.55740451603235708</v>
      </c>
      <c r="E5004" s="5">
        <f ca="1">MAX(0,CP*(D5004-K))</f>
        <v>0</v>
      </c>
      <c r="F5004" s="4">
        <f ca="1">(CP*(D5004-K)&gt;0)*1</f>
        <v>0</v>
      </c>
      <c r="H5004" s="4">
        <v>4989</v>
      </c>
      <c r="I5004" s="3">
        <v>0.66764097543982659</v>
      </c>
      <c r="J5004" s="128">
        <v>1.1709268915814695E-3</v>
      </c>
      <c r="K5004" s="128"/>
      <c r="L5004" s="128">
        <v>3.8600000000000002E-2</v>
      </c>
      <c r="O5004" s="2"/>
    </row>
    <row r="5005" spans="2:15" x14ac:dyDescent="0.2">
      <c r="B5005" s="1">
        <f>B5004+1</f>
        <v>4990</v>
      </c>
      <c r="C5005" s="5">
        <f ca="1"/>
        <v>0.69170336175745184</v>
      </c>
      <c r="D5005" s="5">
        <f ca="1">S0*EXP((μ-0.5*σ*σ)*T+σ*SQRT(T)*$C5005)</f>
        <v>0.71140133159538421</v>
      </c>
      <c r="E5005" s="5">
        <f ca="1">MAX(0,CP*(D5005-K))</f>
        <v>0</v>
      </c>
      <c r="F5005" s="4">
        <f ca="1">(CP*(D5005-K)&gt;0)*1</f>
        <v>0</v>
      </c>
      <c r="H5005" s="4">
        <v>4990</v>
      </c>
      <c r="I5005" s="3">
        <v>0.66762775328980006</v>
      </c>
      <c r="J5005" s="128">
        <v>1.2526897104421636E-3</v>
      </c>
      <c r="K5005" s="128"/>
      <c r="L5005" s="128">
        <v>3.7199999999999997E-2</v>
      </c>
      <c r="O5005" s="2"/>
    </row>
    <row r="5006" spans="2:15" x14ac:dyDescent="0.2">
      <c r="B5006" s="1">
        <f>B5005+1</f>
        <v>4991</v>
      </c>
      <c r="C5006" s="5">
        <f ca="1"/>
        <v>1.8225636627263375</v>
      </c>
      <c r="D5006" s="5">
        <f ca="1">S0*EXP((μ-0.5*σ*σ)*T+σ*SQRT(T)*$C5006)</f>
        <v>0.79530475992479144</v>
      </c>
      <c r="E5006" s="5">
        <f ca="1">MAX(0,CP*(D5006-K))</f>
        <v>7.1047599247914262E-3</v>
      </c>
      <c r="F5006" s="4">
        <f ca="1">(CP*(D5006-K)&gt;0)*1</f>
        <v>1</v>
      </c>
      <c r="H5006" s="4">
        <v>4991</v>
      </c>
      <c r="I5006" s="3">
        <v>0.66781295157563159</v>
      </c>
      <c r="J5006" s="128">
        <v>1.5477272255073433E-3</v>
      </c>
      <c r="K5006" s="128"/>
      <c r="L5006" s="128">
        <v>4.3799999999999999E-2</v>
      </c>
      <c r="O5006" s="2"/>
    </row>
    <row r="5007" spans="2:15" x14ac:dyDescent="0.2">
      <c r="B5007" s="1">
        <f>B5006+1</f>
        <v>4992</v>
      </c>
      <c r="C5007" s="5">
        <f ca="1"/>
        <v>-0.15444891255833337</v>
      </c>
      <c r="D5007" s="5">
        <f ca="1">S0*EXP((μ-0.5*σ*σ)*T+σ*SQRT(T)*$C5007)</f>
        <v>0.65446409132960548</v>
      </c>
      <c r="E5007" s="5">
        <f ca="1">MAX(0,CP*(D5007-K))</f>
        <v>0</v>
      </c>
      <c r="F5007" s="4">
        <f ca="1">(CP*(D5007-K)&gt;0)*1</f>
        <v>0</v>
      </c>
      <c r="H5007" s="4">
        <v>4992</v>
      </c>
      <c r="I5007" s="3">
        <v>0.66783083883439442</v>
      </c>
      <c r="J5007" s="128">
        <v>1.2622395182169373E-3</v>
      </c>
      <c r="K5007" s="128"/>
      <c r="L5007" s="128">
        <v>4.24E-2</v>
      </c>
      <c r="O5007" s="2"/>
    </row>
    <row r="5008" spans="2:15" x14ac:dyDescent="0.2">
      <c r="B5008" s="1">
        <f>B5007+1</f>
        <v>4993</v>
      </c>
      <c r="C5008" s="5">
        <f ca="1"/>
        <v>-0.12652549106340244</v>
      </c>
      <c r="D5008" s="5">
        <f ca="1">S0*EXP((μ-0.5*σ*σ)*T+σ*SQRT(T)*$C5008)</f>
        <v>0.65626824737162104</v>
      </c>
      <c r="E5008" s="5">
        <f ca="1">MAX(0,CP*(D5008-K))</f>
        <v>0</v>
      </c>
      <c r="F5008" s="4">
        <f ca="1">(CP*(D5008-K)&gt;0)*1</f>
        <v>0</v>
      </c>
      <c r="H5008" s="4">
        <v>4993</v>
      </c>
      <c r="I5008" s="3">
        <v>0.66788244457761781</v>
      </c>
      <c r="J5008" s="128">
        <v>1.4505615832509711E-3</v>
      </c>
      <c r="K5008" s="128"/>
      <c r="L5008" s="128">
        <v>4.6800000000000001E-2</v>
      </c>
      <c r="O5008" s="2"/>
    </row>
    <row r="5009" spans="2:15" x14ac:dyDescent="0.2">
      <c r="B5009" s="1">
        <f>B5008+1</f>
        <v>4994</v>
      </c>
      <c r="C5009" s="5">
        <f ca="1"/>
        <v>-0.13792122692641684</v>
      </c>
      <c r="D5009" s="5">
        <f ca="1">S0*EXP((μ-0.5*σ*σ)*T+σ*SQRT(T)*$C5009)</f>
        <v>0.65553135926020267</v>
      </c>
      <c r="E5009" s="5">
        <f ca="1">MAX(0,CP*(D5009-K))</f>
        <v>0</v>
      </c>
      <c r="F5009" s="4">
        <f ca="1">(CP*(D5009-K)&gt;0)*1</f>
        <v>0</v>
      </c>
      <c r="H5009" s="4">
        <v>4994</v>
      </c>
      <c r="I5009" s="3">
        <v>0.66768947134214773</v>
      </c>
      <c r="J5009" s="128">
        <v>1.3185587577662992E-3</v>
      </c>
      <c r="K5009" s="128"/>
      <c r="L5009" s="128">
        <v>3.9E-2</v>
      </c>
      <c r="O5009" s="2"/>
    </row>
    <row r="5010" spans="2:15" x14ac:dyDescent="0.2">
      <c r="B5010" s="1">
        <f>B5009+1</f>
        <v>4995</v>
      </c>
      <c r="C5010" s="5">
        <f ca="1"/>
        <v>0.86831489428112296</v>
      </c>
      <c r="D5010" s="5">
        <f ca="1">S0*EXP((μ-0.5*σ*σ)*T+σ*SQRT(T)*$C5010)</f>
        <v>0.72389649208177964</v>
      </c>
      <c r="E5010" s="5">
        <f ca="1">MAX(0,CP*(D5010-K))</f>
        <v>0</v>
      </c>
      <c r="F5010" s="4">
        <f ca="1">(CP*(D5010-K)&gt;0)*1</f>
        <v>0</v>
      </c>
      <c r="H5010" s="4">
        <v>4995</v>
      </c>
      <c r="I5010" s="3">
        <v>0.66764399893518256</v>
      </c>
      <c r="J5010" s="128">
        <v>1.2318453212218606E-3</v>
      </c>
      <c r="K5010" s="128"/>
      <c r="L5010" s="128">
        <v>3.78E-2</v>
      </c>
      <c r="O5010" s="2"/>
    </row>
    <row r="5011" spans="2:15" x14ac:dyDescent="0.2">
      <c r="B5011" s="1">
        <f>B5010+1</f>
        <v>4996</v>
      </c>
      <c r="C5011" s="5">
        <f ca="1"/>
        <v>-1.0860998808459412</v>
      </c>
      <c r="D5011" s="5">
        <f ca="1">S0*EXP((μ-0.5*σ*σ)*T+σ*SQRT(T)*$C5011)</f>
        <v>0.59703014599344795</v>
      </c>
      <c r="E5011" s="5">
        <f ca="1">MAX(0,CP*(D5011-K))</f>
        <v>0</v>
      </c>
      <c r="F5011" s="4">
        <f ca="1">(CP*(D5011-K)&gt;0)*1</f>
        <v>0</v>
      </c>
      <c r="H5011" s="4">
        <v>4996</v>
      </c>
      <c r="I5011" s="3">
        <v>0.66771218577234859</v>
      </c>
      <c r="J5011" s="128">
        <v>1.3249960634021437E-3</v>
      </c>
      <c r="K5011" s="128"/>
      <c r="L5011" s="128">
        <v>4.3400000000000001E-2</v>
      </c>
      <c r="O5011" s="2"/>
    </row>
    <row r="5012" spans="2:15" x14ac:dyDescent="0.2">
      <c r="B5012" s="1">
        <f>B5011+1</f>
        <v>4997</v>
      </c>
      <c r="C5012" s="5">
        <f ca="1"/>
        <v>0.16617426456628545</v>
      </c>
      <c r="D5012" s="5">
        <f ca="1">S0*EXP((μ-0.5*σ*σ)*T+σ*SQRT(T)*$C5012)</f>
        <v>0.67548175495058649</v>
      </c>
      <c r="E5012" s="5">
        <f ca="1">MAX(0,CP*(D5012-K))</f>
        <v>0</v>
      </c>
      <c r="F5012" s="4">
        <f ca="1">(CP*(D5012-K)&gt;0)*1</f>
        <v>0</v>
      </c>
      <c r="H5012" s="4">
        <v>4997</v>
      </c>
      <c r="I5012" s="3">
        <v>0.66787820582629664</v>
      </c>
      <c r="J5012" s="128">
        <v>1.3989265559272782E-3</v>
      </c>
      <c r="K5012" s="128"/>
      <c r="L5012" s="128">
        <v>4.3799999999999999E-2</v>
      </c>
      <c r="O5012" s="2"/>
    </row>
    <row r="5013" spans="2:15" x14ac:dyDescent="0.2">
      <c r="B5013" s="1">
        <f>B5012+1</f>
        <v>4998</v>
      </c>
      <c r="C5013" s="5">
        <f ca="1"/>
        <v>-0.5623094385958366</v>
      </c>
      <c r="D5013" s="5">
        <f ca="1">S0*EXP((μ-0.5*σ*σ)*T+σ*SQRT(T)*$C5013)</f>
        <v>0.62867019209514474</v>
      </c>
      <c r="E5013" s="5">
        <f ca="1">MAX(0,CP*(D5013-K))</f>
        <v>0</v>
      </c>
      <c r="F5013" s="4">
        <f ca="1">(CP*(D5013-K)&gt;0)*1</f>
        <v>0</v>
      </c>
      <c r="H5013" s="4">
        <v>4998</v>
      </c>
      <c r="I5013" s="3">
        <v>0.66767287915545137</v>
      </c>
      <c r="J5013" s="128">
        <v>1.3894933355418535E-3</v>
      </c>
      <c r="K5013" s="128"/>
      <c r="L5013" s="128">
        <v>0.04</v>
      </c>
      <c r="O5013" s="2"/>
    </row>
    <row r="5014" spans="2:15" x14ac:dyDescent="0.2">
      <c r="B5014" s="1">
        <f>B5013+1</f>
        <v>4999</v>
      </c>
      <c r="C5014" s="5">
        <f ca="1"/>
        <v>-0.79270344399810511</v>
      </c>
      <c r="D5014" s="5">
        <f ca="1">S0*EXP((μ-0.5*σ*σ)*T+σ*SQRT(T)*$C5014)</f>
        <v>0.61455155333767153</v>
      </c>
      <c r="E5014" s="5">
        <f ca="1">MAX(0,CP*(D5014-K))</f>
        <v>0</v>
      </c>
      <c r="F5014" s="4">
        <f ca="1">(CP*(D5014-K)&gt;0)*1</f>
        <v>0</v>
      </c>
      <c r="H5014" s="4">
        <v>4999</v>
      </c>
      <c r="I5014" s="3">
        <v>0.6676076880416989</v>
      </c>
      <c r="J5014" s="128">
        <v>1.0977032454651972E-3</v>
      </c>
      <c r="K5014" s="128"/>
      <c r="L5014" s="128">
        <v>3.7600000000000001E-2</v>
      </c>
      <c r="O5014" s="2"/>
    </row>
    <row r="5015" spans="2:15" x14ac:dyDescent="0.2">
      <c r="B5015" s="1">
        <f>B5014+1</f>
        <v>5000</v>
      </c>
      <c r="C5015" s="5">
        <f ca="1"/>
        <v>-0.60392049746930432</v>
      </c>
      <c r="D5015" s="5">
        <f ca="1">S0*EXP((μ-0.5*σ*σ)*T+σ*SQRT(T)*$C5015)</f>
        <v>0.62609646288132981</v>
      </c>
      <c r="E5015" s="5">
        <f ca="1">MAX(0,CP*(D5015-K))</f>
        <v>0</v>
      </c>
      <c r="F5015" s="4">
        <f ca="1">(CP*(D5015-K)&gt;0)*1</f>
        <v>0</v>
      </c>
      <c r="H5015" s="4">
        <v>5000</v>
      </c>
      <c r="I5015" s="3">
        <v>0.66777380978965173</v>
      </c>
      <c r="J5015" s="128">
        <v>1.323560736369457E-3</v>
      </c>
      <c r="K5015" s="128"/>
      <c r="L5015" s="128">
        <v>4.3799999999999999E-2</v>
      </c>
      <c r="O5015" s="2"/>
    </row>
  </sheetData>
  <mergeCells count="1">
    <mergeCell ref="E7:F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_Monte_Carlo">
                <anchor moveWithCells="1" sizeWithCells="1">
                  <from>
                    <xdr:col>14</xdr:col>
                    <xdr:colOff>85725</xdr:colOff>
                    <xdr:row>6</xdr:row>
                    <xdr:rowOff>85725</xdr:rowOff>
                  </from>
                  <to>
                    <xdr:col>16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3F57C-0F79-4DEA-8250-B79DECFAE83B}">
  <sheetPr codeName="Sheet3"/>
  <dimension ref="A1:F2"/>
  <sheetViews>
    <sheetView workbookViewId="0">
      <selection activeCell="H23" sqref="H23"/>
    </sheetView>
  </sheetViews>
  <sheetFormatPr defaultRowHeight="12.75" x14ac:dyDescent="0.2"/>
  <cols>
    <col min="1" max="1" width="4.28515625" style="1" bestFit="1" customWidth="1"/>
    <col min="2" max="2" width="5.28515625" style="1" bestFit="1" customWidth="1"/>
    <col min="3" max="3" width="17.7109375" style="1" bestFit="1" customWidth="1"/>
    <col min="4" max="4" width="9.7109375" style="1" bestFit="1" customWidth="1"/>
    <col min="5" max="5" width="4.140625" style="1" bestFit="1" customWidth="1"/>
    <col min="6" max="6" width="20.140625" style="1" bestFit="1" customWidth="1"/>
    <col min="7" max="16384" width="9.140625" style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">
      <c r="A2" s="1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1" t="s">
        <v>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GK Pricer</vt:lpstr>
      <vt:lpstr>GK Bulk</vt:lpstr>
      <vt:lpstr>MonteCarlo</vt:lpstr>
      <vt:lpstr>Data Validation</vt:lpstr>
      <vt:lpstr>CP</vt:lpstr>
      <vt:lpstr>d1_</vt:lpstr>
      <vt:lpstr>d2_</vt:lpstr>
      <vt:lpstr>Domestic_Ccy_Notional</vt:lpstr>
      <vt:lpstr>F</vt:lpstr>
      <vt:lpstr>Foreign_Ccy_Notional</vt:lpstr>
      <vt:lpstr>H</vt:lpstr>
      <vt:lpstr>K</vt:lpstr>
      <vt:lpstr>Methodology</vt:lpstr>
      <vt:lpstr>Monte_Carlo_Runtime</vt:lpstr>
      <vt:lpstr>Notional_amount</vt:lpstr>
      <vt:lpstr>Notional_Ccy</vt:lpstr>
      <vt:lpstr>Number_Of_Refreshes</vt:lpstr>
      <vt:lpstr>q_</vt:lpstr>
      <vt:lpstr>r_</vt:lpstr>
      <vt:lpstr>r_d</vt:lpstr>
      <vt:lpstr>r_d_basis_adj</vt:lpstr>
      <vt:lpstr>r_f</vt:lpstr>
      <vt:lpstr>ResultCurrency</vt:lpstr>
      <vt:lpstr>ResultDomesticFXSpotRate</vt:lpstr>
      <vt:lpstr>ResultNotionalFXSpotRate</vt:lpstr>
      <vt:lpstr>S0</vt:lpstr>
      <vt:lpstr>T</vt:lpstr>
      <vt:lpstr>μ</vt:lpstr>
      <vt:lpstr>σ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Shasa Foster</cp:lastModifiedBy>
  <dcterms:created xsi:type="dcterms:W3CDTF">2024-09-25T13:34:58Z</dcterms:created>
  <dcterms:modified xsi:type="dcterms:W3CDTF">2024-09-25T13:41:04Z</dcterms:modified>
</cp:coreProperties>
</file>